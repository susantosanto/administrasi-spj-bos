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project\spj-app\template\"/>
    </mc:Choice>
  </mc:AlternateContent>
  <xr:revisionPtr revIDLastSave="0" documentId="8_{F7AF5160-26A3-4BB6-967D-F91F23325E73}" xr6:coauthVersionLast="47" xr6:coauthVersionMax="47" xr10:uidLastSave="{00000000-0000-0000-0000-000000000000}"/>
  <bookViews>
    <workbookView xWindow="105" yWindow="105" windowWidth="28590" windowHeight="15990" activeTab="2" xr2:uid="{00000000-000D-0000-FFFF-FFFF00000000}"/>
  </bookViews>
  <sheets>
    <sheet name="Data" sheetId="5" r:id="rId1"/>
    <sheet name="BKU--" sheetId="6" state="hidden" r:id="rId2"/>
    <sheet name="BKU" sheetId="7" r:id="rId3"/>
    <sheet name="Register_Kas" sheetId="3" r:id="rId4"/>
    <sheet name="BA_Kas" sheetId="4" r:id="rId5"/>
  </sheets>
  <externalReferences>
    <externalReference r:id="rId6"/>
    <externalReference r:id="rId7"/>
  </externalReferences>
  <definedNames>
    <definedName name="bulan">'[1]F-1_Reg'!$R$6:$R$17</definedName>
    <definedName name="jabatan">'[1]Data Sekolah'!$X$4:$X$11</definedName>
    <definedName name="jenis_setoran">[2]Januari!$S$2:$S$5</definedName>
    <definedName name="kap">[2]Januari!$R$2:$R$5</definedName>
    <definedName name="pangkat">'[1]Data Sekolah'!$V$4:$V$12</definedName>
    <definedName name="pendidikan">'[1]Data Sekolah'!$W$4:$W$12</definedName>
    <definedName name="_xlnm.Print_Area" localSheetId="4">BA_Kas!$A$1:$F$51</definedName>
    <definedName name="_xlnm.Print_Area" localSheetId="1">'BKU--'!$A$1:$G$16</definedName>
    <definedName name="_xlnm.Print_Area" localSheetId="3">Register_Kas!$A$1:$I$48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95" i="7" l="1"/>
  <c r="E395" i="7" s="1"/>
  <c r="D368" i="7"/>
  <c r="D334" i="7"/>
  <c r="D300" i="7"/>
  <c r="D266" i="7"/>
  <c r="D265" i="7"/>
  <c r="D270" i="7"/>
  <c r="D269" i="7"/>
  <c r="D264" i="7"/>
  <c r="D263" i="7"/>
  <c r="D262" i="7"/>
  <c r="D268" i="7" s="1"/>
  <c r="D261" i="7"/>
  <c r="D259" i="7"/>
  <c r="C259" i="7"/>
  <c r="C241" i="7"/>
  <c r="E241" i="7" s="1"/>
  <c r="E242" i="7" s="1"/>
  <c r="E243" i="7" s="1"/>
  <c r="E244" i="7" s="1"/>
  <c r="E245" i="7" s="1"/>
  <c r="E246" i="7" s="1"/>
  <c r="E247" i="7" s="1"/>
  <c r="E248" i="7" s="1"/>
  <c r="E249" i="7" s="1"/>
  <c r="E250" i="7" s="1"/>
  <c r="E251" i="7" s="1"/>
  <c r="E252" i="7" s="1"/>
  <c r="E253" i="7" s="1"/>
  <c r="E254" i="7" s="1"/>
  <c r="E255" i="7" s="1"/>
  <c r="E256" i="7" s="1"/>
  <c r="E257" i="7" s="1"/>
  <c r="E258" i="7" s="1"/>
  <c r="C242" i="7"/>
  <c r="D198" i="7"/>
  <c r="D267" i="7" l="1"/>
  <c r="B5" i="4"/>
  <c r="D406" i="7"/>
  <c r="G15" i="6" s="1"/>
  <c r="D405" i="7"/>
  <c r="D400" i="7"/>
  <c r="D399" i="7"/>
  <c r="D398" i="7"/>
  <c r="D404" i="7" s="1"/>
  <c r="C15" i="6" s="1"/>
  <c r="D372" i="7"/>
  <c r="G14" i="6" s="1"/>
  <c r="D371" i="7"/>
  <c r="D366" i="7"/>
  <c r="C378" i="7" s="1"/>
  <c r="D365" i="7"/>
  <c r="D364" i="7"/>
  <c r="D370" i="7" s="1"/>
  <c r="C14" i="6" s="1"/>
  <c r="D361" i="7"/>
  <c r="D338" i="7"/>
  <c r="G13" i="6" s="1"/>
  <c r="D337" i="7"/>
  <c r="D332" i="7"/>
  <c r="D331" i="7"/>
  <c r="D330" i="7"/>
  <c r="D327" i="7"/>
  <c r="D304" i="7"/>
  <c r="G12" i="6" s="1"/>
  <c r="D303" i="7"/>
  <c r="D298" i="7"/>
  <c r="D297" i="7"/>
  <c r="D296" i="7"/>
  <c r="D293" i="7"/>
  <c r="G11" i="6"/>
  <c r="C11" i="6"/>
  <c r="G10" i="6"/>
  <c r="D236" i="7"/>
  <c r="D235" i="7"/>
  <c r="D230" i="7"/>
  <c r="D232" i="7" s="1"/>
  <c r="D229" i="7"/>
  <c r="D228" i="7"/>
  <c r="D225" i="7"/>
  <c r="D202" i="7"/>
  <c r="G9" i="6" s="1"/>
  <c r="D201" i="7"/>
  <c r="D196" i="7"/>
  <c r="D195" i="7"/>
  <c r="D194" i="7"/>
  <c r="D200" i="7" s="1"/>
  <c r="C9" i="6" s="1"/>
  <c r="D191" i="7"/>
  <c r="D168" i="7"/>
  <c r="G8" i="6" s="1"/>
  <c r="D167" i="7"/>
  <c r="D162" i="7"/>
  <c r="D161" i="7"/>
  <c r="D160" i="7"/>
  <c r="D157" i="7"/>
  <c r="B16" i="4"/>
  <c r="B3" i="4"/>
  <c r="B5" i="3"/>
  <c r="D134" i="7"/>
  <c r="G7" i="6" s="1"/>
  <c r="D133" i="7"/>
  <c r="D128" i="7"/>
  <c r="D127" i="7"/>
  <c r="D126" i="7"/>
  <c r="D132" i="7" s="1"/>
  <c r="C7" i="6" s="1"/>
  <c r="D123" i="7"/>
  <c r="D100" i="7"/>
  <c r="G6" i="6" s="1"/>
  <c r="D99" i="7"/>
  <c r="D94" i="7"/>
  <c r="D93" i="7"/>
  <c r="D92" i="7"/>
  <c r="D89" i="7"/>
  <c r="D55" i="7"/>
  <c r="C21" i="7"/>
  <c r="D66" i="7"/>
  <c r="G5" i="6" s="1"/>
  <c r="D65" i="7"/>
  <c r="D60" i="7"/>
  <c r="D59" i="7"/>
  <c r="D58" i="7"/>
  <c r="D21" i="7"/>
  <c r="C344" i="7" l="1"/>
  <c r="E10" i="6"/>
  <c r="E14" i="6"/>
  <c r="D62" i="7"/>
  <c r="C72" i="7" s="1"/>
  <c r="D96" i="7" s="1"/>
  <c r="D234" i="7"/>
  <c r="C10" i="6" s="1"/>
  <c r="D336" i="7"/>
  <c r="C13" i="6" s="1"/>
  <c r="D402" i="7"/>
  <c r="E15" i="6" s="1"/>
  <c r="D302" i="7"/>
  <c r="C12" i="6" s="1"/>
  <c r="D166" i="7"/>
  <c r="C8" i="6" s="1"/>
  <c r="D98" i="7"/>
  <c r="C6" i="6" s="1"/>
  <c r="D64" i="7"/>
  <c r="C5" i="6" s="1"/>
  <c r="E13" i="6" l="1"/>
  <c r="E5" i="6"/>
  <c r="E9" i="6"/>
  <c r="C208" i="7"/>
  <c r="E12" i="6"/>
  <c r="C310" i="7"/>
  <c r="E11" i="6"/>
  <c r="C276" i="7"/>
  <c r="E6" i="6"/>
  <c r="C106" i="7"/>
  <c r="D130" i="7" s="1"/>
  <c r="F11" i="3"/>
  <c r="D32" i="7"/>
  <c r="G4" i="6" s="1"/>
  <c r="D31" i="7"/>
  <c r="D23" i="7"/>
  <c r="D26" i="7"/>
  <c r="D25" i="7"/>
  <c r="D24" i="7"/>
  <c r="C140" i="7" l="1"/>
  <c r="D164" i="7" s="1"/>
  <c r="E7" i="6"/>
  <c r="D30" i="7"/>
  <c r="C4" i="6" s="1"/>
  <c r="D27" i="7"/>
  <c r="D61" i="7" s="1"/>
  <c r="D95" i="7" s="1"/>
  <c r="D28" i="7"/>
  <c r="C38" i="7" s="1"/>
  <c r="E21" i="7"/>
  <c r="E8" i="6" l="1"/>
  <c r="C174" i="7"/>
  <c r="C37" i="7"/>
  <c r="C71" i="7" s="1"/>
  <c r="E71" i="7" s="1"/>
  <c r="E72" i="7" s="1"/>
  <c r="E73" i="7" s="1"/>
  <c r="E74" i="7" s="1"/>
  <c r="E75" i="7" s="1"/>
  <c r="E76" i="7" s="1"/>
  <c r="E77" i="7" s="1"/>
  <c r="E78" i="7" s="1"/>
  <c r="E79" i="7" s="1"/>
  <c r="E80" i="7" s="1"/>
  <c r="E81" i="7" s="1"/>
  <c r="E82" i="7" s="1"/>
  <c r="D129" i="7"/>
  <c r="C105" i="7"/>
  <c r="E4" i="6"/>
  <c r="C89" i="7"/>
  <c r="F4" i="6"/>
  <c r="D29" i="7"/>
  <c r="D4" i="6" s="1"/>
  <c r="C55" i="7" l="1"/>
  <c r="E55" i="7" s="1"/>
  <c r="E37" i="7"/>
  <c r="E38" i="7" s="1"/>
  <c r="E39" i="7" s="1"/>
  <c r="E40" i="7" s="1"/>
  <c r="E41" i="7" s="1"/>
  <c r="E42" i="7" s="1"/>
  <c r="E43" i="7" s="1"/>
  <c r="E44" i="7" s="1"/>
  <c r="E45" i="7" s="1"/>
  <c r="E46" i="7" s="1"/>
  <c r="E47" i="7" s="1"/>
  <c r="E48" i="7" s="1"/>
  <c r="E49" i="7" s="1"/>
  <c r="E50" i="7" s="1"/>
  <c r="E51" i="7" s="1"/>
  <c r="E52" i="7" s="1"/>
  <c r="E53" i="7" s="1"/>
  <c r="E54" i="7" s="1"/>
  <c r="C123" i="7"/>
  <c r="E105" i="7"/>
  <c r="E106" i="7" s="1"/>
  <c r="E107" i="7" s="1"/>
  <c r="E108" i="7" s="1"/>
  <c r="E109" i="7" s="1"/>
  <c r="E110" i="7" s="1"/>
  <c r="E111" i="7" s="1"/>
  <c r="E112" i="7" s="1"/>
  <c r="E113" i="7" s="1"/>
  <c r="E114" i="7" s="1"/>
  <c r="E115" i="7" s="1"/>
  <c r="E116" i="7" s="1"/>
  <c r="E117" i="7" s="1"/>
  <c r="E118" i="7" s="1"/>
  <c r="E119" i="7" s="1"/>
  <c r="E120" i="7" s="1"/>
  <c r="E121" i="7" s="1"/>
  <c r="E122" i="7" s="1"/>
  <c r="D163" i="7"/>
  <c r="C139" i="7"/>
  <c r="D131" i="7"/>
  <c r="F7" i="6"/>
  <c r="E83" i="7"/>
  <c r="E84" i="7" s="1"/>
  <c r="E85" i="7" s="1"/>
  <c r="E86" i="7" s="1"/>
  <c r="E87" i="7" s="1"/>
  <c r="E88" i="7" s="1"/>
  <c r="D97" i="7"/>
  <c r="F6" i="6"/>
  <c r="E89" i="7"/>
  <c r="D91" i="7"/>
  <c r="B6" i="6" s="1"/>
  <c r="E3" i="7"/>
  <c r="E4" i="7" s="1"/>
  <c r="B4" i="6" s="1"/>
  <c r="H4" i="6" s="1"/>
  <c r="D57" i="7" l="1"/>
  <c r="D197" i="7"/>
  <c r="D231" i="7" s="1"/>
  <c r="D299" i="7" s="1"/>
  <c r="D333" i="7" s="1"/>
  <c r="D367" i="7" s="1"/>
  <c r="D401" i="7" s="1"/>
  <c r="D165" i="7"/>
  <c r="C173" i="7"/>
  <c r="F8" i="6"/>
  <c r="C157" i="7"/>
  <c r="E139" i="7"/>
  <c r="E140" i="7" s="1"/>
  <c r="E141" i="7" s="1"/>
  <c r="E142" i="7" s="1"/>
  <c r="E143" i="7" s="1"/>
  <c r="E144" i="7" s="1"/>
  <c r="E145" i="7" s="1"/>
  <c r="E146" i="7" s="1"/>
  <c r="E147" i="7" s="1"/>
  <c r="E148" i="7" s="1"/>
  <c r="E149" i="7" s="1"/>
  <c r="E150" i="7" s="1"/>
  <c r="E151" i="7" s="1"/>
  <c r="E152" i="7" s="1"/>
  <c r="E153" i="7" s="1"/>
  <c r="E154" i="7" s="1"/>
  <c r="E155" i="7" s="1"/>
  <c r="E156" i="7" s="1"/>
  <c r="E123" i="7"/>
  <c r="D125" i="7"/>
  <c r="B7" i="6" s="1"/>
  <c r="F5" i="6"/>
  <c r="D63" i="7"/>
  <c r="B5" i="6"/>
  <c r="E5" i="7"/>
  <c r="E6" i="7" s="1"/>
  <c r="E7" i="7" s="1"/>
  <c r="E8" i="7" s="1"/>
  <c r="E9" i="7" s="1"/>
  <c r="E10" i="7" s="1"/>
  <c r="E11" i="7" s="1"/>
  <c r="E12" i="7" s="1"/>
  <c r="E13" i="7" s="1"/>
  <c r="E14" i="7" s="1"/>
  <c r="E15" i="7" s="1"/>
  <c r="E16" i="7" s="1"/>
  <c r="E17" i="7" s="1"/>
  <c r="E18" i="7" s="1"/>
  <c r="E19" i="7" s="1"/>
  <c r="E20" i="7" s="1"/>
  <c r="D199" i="7" l="1"/>
  <c r="F9" i="6"/>
  <c r="C207" i="7"/>
  <c r="C225" i="7" s="1"/>
  <c r="E173" i="7"/>
  <c r="E174" i="7" s="1"/>
  <c r="E175" i="7" s="1"/>
  <c r="E176" i="7" s="1"/>
  <c r="E177" i="7" s="1"/>
  <c r="E178" i="7" s="1"/>
  <c r="E179" i="7" s="1"/>
  <c r="E180" i="7" s="1"/>
  <c r="E181" i="7" s="1"/>
  <c r="E182" i="7" s="1"/>
  <c r="E183" i="7" s="1"/>
  <c r="E184" i="7" s="1"/>
  <c r="E185" i="7" s="1"/>
  <c r="E186" i="7" s="1"/>
  <c r="E187" i="7" s="1"/>
  <c r="E188" i="7" s="1"/>
  <c r="E189" i="7" s="1"/>
  <c r="E190" i="7" s="1"/>
  <c r="C191" i="7"/>
  <c r="E157" i="7"/>
  <c r="D159" i="7"/>
  <c r="B8" i="6" s="1"/>
  <c r="K16" i="3"/>
  <c r="E207" i="7" l="1"/>
  <c r="E208" i="7" s="1"/>
  <c r="E209" i="7" s="1"/>
  <c r="E210" i="7" s="1"/>
  <c r="E211" i="7" s="1"/>
  <c r="E212" i="7" s="1"/>
  <c r="E213" i="7" s="1"/>
  <c r="E214" i="7" s="1"/>
  <c r="E215" i="7" s="1"/>
  <c r="E216" i="7" s="1"/>
  <c r="E217" i="7" s="1"/>
  <c r="E218" i="7" s="1"/>
  <c r="E219" i="7" s="1"/>
  <c r="E220" i="7" s="1"/>
  <c r="E221" i="7" s="1"/>
  <c r="E222" i="7" s="1"/>
  <c r="E223" i="7" s="1"/>
  <c r="E224" i="7" s="1"/>
  <c r="E191" i="7"/>
  <c r="D193" i="7"/>
  <c r="B9" i="6" s="1"/>
  <c r="F10" i="3" s="1"/>
  <c r="E225" i="7"/>
  <c r="D227" i="7"/>
  <c r="B10" i="6" s="1"/>
  <c r="D233" i="7"/>
  <c r="F10" i="6"/>
  <c r="D37" i="3"/>
  <c r="D5" i="6" l="1"/>
  <c r="H5" i="6" s="1"/>
  <c r="D10" i="6"/>
  <c r="H10" i="6" s="1"/>
  <c r="D9" i="6"/>
  <c r="H9" i="6" s="1"/>
  <c r="D6" i="6"/>
  <c r="H6" i="6" s="1"/>
  <c r="D7" i="6"/>
  <c r="H7" i="6" s="1"/>
  <c r="D8" i="6"/>
  <c r="H8" i="6" s="1"/>
  <c r="E259" i="7" l="1"/>
  <c r="B11" i="6"/>
  <c r="D11" i="6" s="1"/>
  <c r="H11" i="6" s="1"/>
  <c r="E28" i="4"/>
  <c r="F11" i="6"/>
  <c r="C275" i="7"/>
  <c r="C16" i="6"/>
  <c r="H39" i="3"/>
  <c r="B16" i="6" l="1"/>
  <c r="E275" i="7"/>
  <c r="E276" i="7" s="1"/>
  <c r="E277" i="7" s="1"/>
  <c r="E278" i="7" s="1"/>
  <c r="E279" i="7" s="1"/>
  <c r="E280" i="7" s="1"/>
  <c r="E281" i="7" s="1"/>
  <c r="E282" i="7" s="1"/>
  <c r="E283" i="7" s="1"/>
  <c r="E284" i="7" s="1"/>
  <c r="E285" i="7" s="1"/>
  <c r="E286" i="7" s="1"/>
  <c r="E287" i="7" s="1"/>
  <c r="E288" i="7" s="1"/>
  <c r="E289" i="7" s="1"/>
  <c r="E290" i="7" s="1"/>
  <c r="E291" i="7" s="1"/>
  <c r="E292" i="7" s="1"/>
  <c r="C293" i="7"/>
  <c r="O16" i="3"/>
  <c r="E30" i="4"/>
  <c r="E27" i="4"/>
  <c r="E23" i="4"/>
  <c r="E22" i="4"/>
  <c r="D13" i="4"/>
  <c r="D8" i="4"/>
  <c r="H31" i="3"/>
  <c r="H25" i="3"/>
  <c r="H48" i="3"/>
  <c r="E37" i="4" s="1"/>
  <c r="H47" i="3"/>
  <c r="E36" i="4" s="1"/>
  <c r="C48" i="3"/>
  <c r="C37" i="4" s="1"/>
  <c r="C47" i="3"/>
  <c r="C36" i="4" s="1"/>
  <c r="F7" i="3"/>
  <c r="E293" i="7" l="1"/>
  <c r="D295" i="7"/>
  <c r="B12" i="6" s="1"/>
  <c r="D12" i="6" s="1"/>
  <c r="H12" i="6" s="1"/>
  <c r="F12" i="6"/>
  <c r="C309" i="7"/>
  <c r="D301" i="7"/>
  <c r="P16" i="3"/>
  <c r="H16" i="3" s="1"/>
  <c r="E16" i="3" s="1"/>
  <c r="E25" i="4"/>
  <c r="F12" i="3"/>
  <c r="F9" i="3"/>
  <c r="F8" i="3"/>
  <c r="C327" i="7" l="1"/>
  <c r="E309" i="7"/>
  <c r="E310" i="7" s="1"/>
  <c r="E311" i="7" s="1"/>
  <c r="E312" i="7" s="1"/>
  <c r="E313" i="7" s="1"/>
  <c r="E314" i="7" s="1"/>
  <c r="E315" i="7" s="1"/>
  <c r="E316" i="7" s="1"/>
  <c r="E317" i="7" s="1"/>
  <c r="E318" i="7" s="1"/>
  <c r="E319" i="7" s="1"/>
  <c r="E320" i="7" s="1"/>
  <c r="E321" i="7" s="1"/>
  <c r="E322" i="7" s="1"/>
  <c r="E323" i="7" s="1"/>
  <c r="E324" i="7" s="1"/>
  <c r="E325" i="7" s="1"/>
  <c r="E326" i="7" s="1"/>
  <c r="Q16" i="3"/>
  <c r="D335" i="7" l="1"/>
  <c r="F13" i="6"/>
  <c r="C343" i="7"/>
  <c r="E327" i="7"/>
  <c r="D329" i="7"/>
  <c r="B13" i="6" s="1"/>
  <c r="D13" i="6" s="1"/>
  <c r="H13" i="6" s="1"/>
  <c r="R16" i="3"/>
  <c r="H17" i="3"/>
  <c r="E343" i="7" l="1"/>
  <c r="E344" i="7" s="1"/>
  <c r="E345" i="7" s="1"/>
  <c r="E346" i="7" s="1"/>
  <c r="E347" i="7" s="1"/>
  <c r="E348" i="7" s="1"/>
  <c r="E349" i="7" s="1"/>
  <c r="E350" i="7" s="1"/>
  <c r="E351" i="7" s="1"/>
  <c r="E352" i="7" s="1"/>
  <c r="E353" i="7" s="1"/>
  <c r="E354" i="7" s="1"/>
  <c r="E355" i="7" s="1"/>
  <c r="E356" i="7" s="1"/>
  <c r="E357" i="7" s="1"/>
  <c r="E358" i="7" s="1"/>
  <c r="E359" i="7" s="1"/>
  <c r="E360" i="7" s="1"/>
  <c r="C361" i="7"/>
  <c r="S16" i="3"/>
  <c r="H19" i="3" s="1"/>
  <c r="E19" i="3" s="1"/>
  <c r="H18" i="3"/>
  <c r="E18" i="3" s="1"/>
  <c r="E17" i="3"/>
  <c r="D363" i="7" l="1"/>
  <c r="B14" i="6" s="1"/>
  <c r="D14" i="6" s="1"/>
  <c r="H14" i="6" s="1"/>
  <c r="E361" i="7"/>
  <c r="D369" i="7"/>
  <c r="C377" i="7"/>
  <c r="F14" i="6"/>
  <c r="T16" i="3"/>
  <c r="H20" i="3" s="1"/>
  <c r="E20" i="3" s="1"/>
  <c r="C395" i="7" l="1"/>
  <c r="E377" i="7"/>
  <c r="E378" i="7" s="1"/>
  <c r="E379" i="7" s="1"/>
  <c r="E380" i="7" s="1"/>
  <c r="E381" i="7" s="1"/>
  <c r="E382" i="7" s="1"/>
  <c r="E383" i="7" s="1"/>
  <c r="E384" i="7" s="1"/>
  <c r="E385" i="7" s="1"/>
  <c r="E386" i="7" s="1"/>
  <c r="E387" i="7" s="1"/>
  <c r="E388" i="7" s="1"/>
  <c r="E389" i="7" s="1"/>
  <c r="E390" i="7" s="1"/>
  <c r="E391" i="7" s="1"/>
  <c r="E392" i="7" s="1"/>
  <c r="E393" i="7" s="1"/>
  <c r="E394" i="7" s="1"/>
  <c r="U16" i="3"/>
  <c r="D403" i="7" l="1"/>
  <c r="F15" i="6"/>
  <c r="D397" i="7"/>
  <c r="B15" i="6" s="1"/>
  <c r="D15" i="6" s="1"/>
  <c r="H15" i="6" s="1"/>
  <c r="V16" i="3"/>
  <c r="H22" i="3" s="1"/>
  <c r="E22" i="3" s="1"/>
  <c r="H21" i="3"/>
  <c r="W16" i="3" l="1"/>
  <c r="H26" i="3" s="1"/>
  <c r="E21" i="3"/>
  <c r="H23" i="3"/>
  <c r="X16" i="3" l="1"/>
  <c r="Y16" i="3" s="1"/>
  <c r="H28" i="3" s="1"/>
  <c r="E28" i="3" s="1"/>
  <c r="E26" i="3"/>
  <c r="H27" i="3" l="1"/>
  <c r="E27" i="3" s="1"/>
  <c r="H29" i="3" l="1"/>
  <c r="H33" i="3" l="1"/>
  <c r="F13" i="3"/>
  <c r="H35" i="3" s="1"/>
</calcChain>
</file>

<file path=xl/sharedStrings.xml><?xml version="1.0" encoding="utf-8"?>
<sst xmlns="http://schemas.openxmlformats.org/spreadsheetml/2006/main" count="485" uniqueCount="147">
  <si>
    <t>REGISTER PENUTUPAN KAS</t>
  </si>
  <si>
    <t>BOS REGULER</t>
  </si>
  <si>
    <t>Desember</t>
  </si>
  <si>
    <t>Tanggal Penutupan Kas</t>
  </si>
  <si>
    <t xml:space="preserve">: </t>
  </si>
  <si>
    <t>Nama Penutup Kas (Pemegang kas)</t>
  </si>
  <si>
    <t>Tanggal penutupan Kas yang lalu</t>
  </si>
  <si>
    <t>Jumlah Total Penerimaan (D)</t>
  </si>
  <si>
    <t>:</t>
  </si>
  <si>
    <t>Jumlah Total Pengeluaran (K)</t>
  </si>
  <si>
    <t xml:space="preserve">Saldo Buku (A = D - K)    </t>
  </si>
  <si>
    <t xml:space="preserve">Saldo Kas ( B )    </t>
  </si>
  <si>
    <t>Sado Kas B terdiri dari :</t>
  </si>
  <si>
    <t>1.</t>
  </si>
  <si>
    <t>Lembaran uang kertas</t>
  </si>
  <si>
    <t>Lembar</t>
  </si>
  <si>
    <t>Sub Jumlah (1)</t>
  </si>
  <si>
    <t>2.</t>
  </si>
  <si>
    <t>Keping uang logam</t>
  </si>
  <si>
    <t>Keping</t>
  </si>
  <si>
    <t>Sub Jumlah (2)</t>
  </si>
  <si>
    <t>3.</t>
  </si>
  <si>
    <t>Saldo Bank, Surat Berharga, dll.</t>
  </si>
  <si>
    <t>Sub Jumlah (3)</t>
  </si>
  <si>
    <t>Jumlah ( 1 + 2 + 3 )</t>
  </si>
  <si>
    <t>Perbedaan (A - B)</t>
  </si>
  <si>
    <t>Penjelasan Perbedaan</t>
  </si>
  <si>
    <t>Yang diperiksa,</t>
  </si>
  <si>
    <t>Yang memeriksa</t>
  </si>
  <si>
    <t>Bendahara/Pemegang Kas,</t>
  </si>
  <si>
    <t>Kepala Sekolah,</t>
  </si>
  <si>
    <t>BERITA ACARA PEMERIKSAAN KAS</t>
  </si>
  <si>
    <t>Nama</t>
  </si>
  <si>
    <t>Jabatan</t>
  </si>
  <si>
    <t>: Kepala Sekolah</t>
  </si>
  <si>
    <t>melakukan pemeriksaan kas kepada:</t>
  </si>
  <si>
    <t>: Bendahara</t>
  </si>
  <si>
    <t>Berdasarkan pemeriksaan kas serta bukti-bukti dalam pengurusan itu, kami menemui kenyataan sebagai berikut:</t>
  </si>
  <si>
    <t>Jumlah uang yang dihitung dihadapan Bendahara/Pemegang Kas adalah :</t>
  </si>
  <si>
    <t>a)</t>
  </si>
  <si>
    <t>Uang kertas bank, uang logam</t>
  </si>
  <si>
    <t>b)</t>
  </si>
  <si>
    <t>Saldo Bank</t>
  </si>
  <si>
    <t>c)</t>
  </si>
  <si>
    <t>Surat berharga, dll.</t>
  </si>
  <si>
    <t>Jumlah</t>
  </si>
  <si>
    <t>Saldo uang menurut Kas Umum</t>
  </si>
  <si>
    <t>Perbedaan antara saldo Kas dan saldo Buku</t>
  </si>
  <si>
    <t>Mei</t>
  </si>
  <si>
    <t>Nama Kepala Sekolah</t>
  </si>
  <si>
    <t>NIP</t>
  </si>
  <si>
    <t>No. SK. Kepala Sekolah</t>
  </si>
  <si>
    <t>Tanggal</t>
  </si>
  <si>
    <t>Nama Bendahara</t>
  </si>
  <si>
    <t>No. SK. Bendahara</t>
  </si>
  <si>
    <t>No. SK</t>
  </si>
  <si>
    <t>Uraian</t>
  </si>
  <si>
    <t>Januari</t>
  </si>
  <si>
    <t>Februari</t>
  </si>
  <si>
    <t>Maret</t>
  </si>
  <si>
    <t>April</t>
  </si>
  <si>
    <t>Juni</t>
  </si>
  <si>
    <t>Juli</t>
  </si>
  <si>
    <t>Agustus</t>
  </si>
  <si>
    <t>September</t>
  </si>
  <si>
    <t>Oktober</t>
  </si>
  <si>
    <t>November</t>
  </si>
  <si>
    <t>Bulan</t>
  </si>
  <si>
    <t>Pilih</t>
  </si>
  <si>
    <t>Penerimaan</t>
  </si>
  <si>
    <t>Pengeluaran</t>
  </si>
  <si>
    <t>Pajak</t>
  </si>
  <si>
    <t>tiga puluh</t>
  </si>
  <si>
    <t>tiga puluh satu</t>
  </si>
  <si>
    <t>Sabtu</t>
  </si>
  <si>
    <t>Rabu</t>
  </si>
  <si>
    <t>Selasa</t>
  </si>
  <si>
    <t>Kamis</t>
  </si>
  <si>
    <t>Jumat</t>
  </si>
  <si>
    <t>Saldo Kas</t>
  </si>
  <si>
    <t>Senin</t>
  </si>
  <si>
    <t>Saldo Akhir Buku Kas Umum</t>
  </si>
  <si>
    <t>TARIK TUNAI</t>
  </si>
  <si>
    <t>dua puluh sembilan</t>
  </si>
  <si>
    <t>Saldo BKU Akhir Kas Tunai</t>
  </si>
  <si>
    <t>Saldo BKU Akhir Bank</t>
  </si>
  <si>
    <t>100.3.3.2/Kep.77-BKAD/2025</t>
  </si>
  <si>
    <t>dua puluh delapan</t>
  </si>
  <si>
    <t>dua puluh tujuh</t>
  </si>
  <si>
    <t>Saldo</t>
  </si>
  <si>
    <t>Saldo Bank Bulan Desember 2024</t>
  </si>
  <si>
    <t>Saldo Tunai Bulan Desember 2024</t>
  </si>
  <si>
    <t>Tarik Tunai</t>
  </si>
  <si>
    <t>Penarimaan</t>
  </si>
  <si>
    <t>BELANJA BNU</t>
  </si>
  <si>
    <t>BELANJA BPU</t>
  </si>
  <si>
    <t>Saldo 2024</t>
  </si>
  <si>
    <t>TERIMA PAJAK</t>
  </si>
  <si>
    <t>SETOR PAJAK</t>
  </si>
  <si>
    <t>Belanja Januari 2025</t>
  </si>
  <si>
    <t>JUMLAH</t>
  </si>
  <si>
    <t>SALDO BANK</t>
  </si>
  <si>
    <t>PENERIMAAN TAHAP 1</t>
  </si>
  <si>
    <t>SALDO KAS</t>
  </si>
  <si>
    <t>SALDO KAS UMUM</t>
  </si>
  <si>
    <t>PENGELUARAN BKU</t>
  </si>
  <si>
    <t>Belanja Februari 2025</t>
  </si>
  <si>
    <t>Saldo Bank Bulan Januari 2025</t>
  </si>
  <si>
    <t>Saldo Tunai Bulan Januari 2025</t>
  </si>
  <si>
    <t>SALDO BULAN LALU</t>
  </si>
  <si>
    <t>Belanja Maret 2025</t>
  </si>
  <si>
    <t>Saldo Bank Bulan Februari 2025</t>
  </si>
  <si>
    <t>Saldo Tunai Bulan Februari 2025</t>
  </si>
  <si>
    <t>Saldo Bank Bulan Maret 2025</t>
  </si>
  <si>
    <t>Saldo Tunai Bulan Maret 2025</t>
  </si>
  <si>
    <t>Belanja April 2025</t>
  </si>
  <si>
    <t>Belanja Mei 2025</t>
  </si>
  <si>
    <t>Saldo Bank Bulan April 2025</t>
  </si>
  <si>
    <t>Saldo Tunai Bulan April 2025</t>
  </si>
  <si>
    <t>Belanja Juni 2025</t>
  </si>
  <si>
    <t>Saldo Bank Bulan Mei 2025</t>
  </si>
  <si>
    <t>Saldo Tunai Bulan Mei 2025</t>
  </si>
  <si>
    <t>PENERIMAAN TAHAP 2</t>
  </si>
  <si>
    <t>Belanja Juli 2025</t>
  </si>
  <si>
    <t>Saldo Bank Bulan Juni 2025</t>
  </si>
  <si>
    <t>Saldo Tunai Bulan Juni 2025</t>
  </si>
  <si>
    <t>Belanja Agustus 2025</t>
  </si>
  <si>
    <t>Belanja September 2025</t>
  </si>
  <si>
    <t>Belanja Oktober 2025</t>
  </si>
  <si>
    <t>Belanja November 2025</t>
  </si>
  <si>
    <t>Belanja Desember 2025</t>
  </si>
  <si>
    <t>Saldo Bank Bulan November 2025</t>
  </si>
  <si>
    <t>Saldo Tunai Bulan November 2025</t>
  </si>
  <si>
    <t>Saldo Bank Bulan Oktober 2025</t>
  </si>
  <si>
    <t>Saldo Tunai Bulan Oktober 2025</t>
  </si>
  <si>
    <t>Saldo Bank Bulan September 2025</t>
  </si>
  <si>
    <t>Saldo Tunai Bulan September 2025</t>
  </si>
  <si>
    <t>Saldo Bank Bulan Agustus 2025</t>
  </si>
  <si>
    <t>Saldo Tunai Bulan Agustus 2025</t>
  </si>
  <si>
    <t>Saldo Bank Bulan Juli 2025</t>
  </si>
  <si>
    <t>Saldo Tunai Bulan Juli 2025</t>
  </si>
  <si>
    <t>YUNIARTI, S.Pd</t>
  </si>
  <si>
    <t>196607071986102005</t>
  </si>
  <si>
    <t>AHMAD, S.Pd</t>
  </si>
  <si>
    <t>196805251992121003</t>
  </si>
  <si>
    <t>821.2/Kep.391-BKD/2014</t>
  </si>
  <si>
    <t xml:space="preserve"> 400.3.5.5/083/SDNPSR/2024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</si>
</sst>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F800]dddd\,\ mmmm\ dd\,\ yyyy"/>
    <numFmt numFmtId="165" formatCode="_(* #,##0_);_(* \(#,##0\);_(* &quot;-&quot;_);_(@_)"/>
    <numFmt numFmtId="166" formatCode="_(&quot;Rp&quot;* #,##0.\-_);_(&quot;Rp&quot;* \(#,##0.\-\);_(&quot;Rp&quot;* &quot;0&quot;??_);_(@_)"/>
    <numFmt numFmtId="167" formatCode="_(&quot;Rp&quot;* #,##0.\-_);_(&quot;Rp&quot;* \(#,##0.\-\);_(&quot;Rp&quot;* &quot;-&quot;??_);_(@_)"/>
    <numFmt numFmtId="168" formatCode="_(&quot;Rp&quot;* #,##0_);_(&quot;Rp&quot;* \(#,##0\);_(&quot;Rp&quot;* &quot;0&quot;_);_(@_)"/>
    <numFmt numFmtId="169" formatCode="_-* #,##0_-;\-* #,##0_-;_-* &quot;-&quot;??_-;_-@_-"/>
    <numFmt numFmtId="170" formatCode="[$-421]dddd\,\ dd\ mmmm\ yyyy"/>
  </numFmts>
  <fonts count="11" x14ac:knownFonts="1">
    <font>
      <sz val="11"/>
      <color theme="1"/>
      <name val="Calibri"/>
      <family val="2"/>
      <charset val="1"/>
      <scheme val="minor"/>
    </font>
    <font>
      <sz val="11"/>
      <color theme="1"/>
      <name val="Calibri"/>
      <family val="2"/>
      <charset val="1"/>
      <scheme val="minor"/>
    </font>
    <font>
      <sz val="11"/>
      <color theme="1"/>
      <name val="Calibri"/>
      <family val="2"/>
      <scheme val="minor"/>
    </font>
    <font>
      <sz val="9"/>
      <color theme="1"/>
      <name val="Bookman Old Style"/>
      <family val="1"/>
    </font>
    <font>
      <b/>
      <sz val="11"/>
      <color theme="1"/>
      <name val="Bookman Old Style"/>
      <family val="1"/>
    </font>
    <font>
      <b/>
      <sz val="9"/>
      <color theme="1"/>
      <name val="Bookman Old Style"/>
      <family val="1"/>
    </font>
    <font>
      <i/>
      <sz val="9"/>
      <color theme="1"/>
      <name val="Bookman Old Style"/>
      <family val="1"/>
    </font>
    <font>
      <sz val="12"/>
      <color theme="1"/>
      <name val="Calibri"/>
      <family val="2"/>
      <charset val="1"/>
      <scheme val="minor"/>
    </font>
    <font>
      <b/>
      <sz val="12"/>
      <color theme="1"/>
      <name val="Calibri"/>
      <family val="2"/>
      <scheme val="minor"/>
    </font>
    <font>
      <b/>
      <sz val="11"/>
      <color theme="1"/>
      <name val="Calibri"/>
      <family val="2"/>
      <scheme val="minor"/>
    </font>
    <font>
      <sz val="10"/>
      <color rgb="FFFFFFFF"/>
      <name val="Calibri"/>
      <family val="2"/>
    </font>
  </fonts>
  <fills count="8">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9"/>
        <bgColor indexed="64"/>
      </patternFill>
    </fill>
    <fill>
      <patternFill patternType="solid">
        <fgColor theme="1" tint="0.499984740745262"/>
        <bgColor indexed="64"/>
      </patternFill>
    </fill>
    <fill>
      <patternFill patternType="solid">
        <fgColor rgb="FF0070C0"/>
        <bgColor rgb="FF0070C0"/>
      </patternFill>
    </fill>
    <fill>
      <patternFill patternType="solid">
        <fgColor rgb="FF00B050"/>
        <bgColor rgb="FF00B050"/>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dotted">
        <color auto="1"/>
      </bottom>
      <diagonal/>
    </border>
    <border>
      <left/>
      <right/>
      <top style="dotted">
        <color auto="1"/>
      </top>
      <bottom style="dotted">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165" fontId="1" fillId="0" borderId="0" applyFont="0" applyFill="0" applyBorder="0" applyAlignment="0" applyProtection="0"/>
    <xf numFmtId="0" fontId="2" fillId="0" borderId="0"/>
  </cellStyleXfs>
  <cellXfs count="85">
    <xf numFmtId="0" fontId="0" fillId="0" borderId="0" xfId="0"/>
    <xf numFmtId="0" fontId="3" fillId="0" borderId="0" xfId="3" applyFont="1" applyAlignment="1">
      <alignment vertical="center"/>
    </xf>
    <xf numFmtId="167" fontId="3" fillId="0" borderId="0" xfId="2" applyNumberFormat="1" applyFont="1" applyFill="1" applyAlignment="1" applyProtection="1">
      <alignment vertical="center"/>
      <protection hidden="1"/>
    </xf>
    <xf numFmtId="0" fontId="5" fillId="0" borderId="0" xfId="3" applyFont="1" applyAlignment="1">
      <alignment vertical="center"/>
    </xf>
    <xf numFmtId="167" fontId="5" fillId="0" borderId="0" xfId="2" applyNumberFormat="1" applyFont="1" applyFill="1" applyAlignment="1" applyProtection="1">
      <alignment vertical="center"/>
      <protection hidden="1"/>
    </xf>
    <xf numFmtId="167" fontId="3" fillId="0" borderId="0" xfId="3" applyNumberFormat="1" applyFont="1" applyAlignment="1">
      <alignment vertical="center"/>
    </xf>
    <xf numFmtId="167" fontId="3" fillId="0" borderId="0" xfId="2" applyNumberFormat="1" applyFont="1" applyFill="1" applyAlignment="1">
      <alignment vertical="center"/>
    </xf>
    <xf numFmtId="0" fontId="3" fillId="0" borderId="0" xfId="3" applyFont="1" applyAlignment="1">
      <alignment horizontal="center" vertical="center"/>
    </xf>
    <xf numFmtId="168" fontId="3" fillId="0" borderId="2" xfId="2" applyNumberFormat="1" applyFont="1" applyFill="1" applyBorder="1" applyAlignment="1" applyProtection="1">
      <alignment vertical="center"/>
      <protection hidden="1"/>
    </xf>
    <xf numFmtId="167" fontId="5" fillId="0" borderId="0" xfId="2" applyNumberFormat="1" applyFont="1" applyFill="1" applyAlignment="1">
      <alignment vertical="center"/>
    </xf>
    <xf numFmtId="0" fontId="5" fillId="0" borderId="0" xfId="3" applyFont="1" applyAlignment="1" applyProtection="1">
      <alignment vertical="center"/>
      <protection hidden="1"/>
    </xf>
    <xf numFmtId="168" fontId="5" fillId="0" borderId="0" xfId="2" applyNumberFormat="1" applyFont="1" applyFill="1" applyAlignment="1" applyProtection="1">
      <alignment vertical="center"/>
      <protection hidden="1"/>
    </xf>
    <xf numFmtId="0" fontId="3" fillId="0" borderId="0" xfId="3" applyFont="1" applyAlignment="1" applyProtection="1">
      <alignment vertical="center"/>
      <protection hidden="1"/>
    </xf>
    <xf numFmtId="168" fontId="3" fillId="0" borderId="0" xfId="2" applyNumberFormat="1" applyFont="1" applyFill="1" applyBorder="1" applyAlignment="1" applyProtection="1">
      <alignment vertical="center"/>
      <protection hidden="1"/>
    </xf>
    <xf numFmtId="167" fontId="5" fillId="0" borderId="0" xfId="3" applyNumberFormat="1" applyFont="1" applyAlignment="1">
      <alignment vertical="center"/>
    </xf>
    <xf numFmtId="168" fontId="3" fillId="0" borderId="0" xfId="2" applyNumberFormat="1" applyFont="1" applyFill="1" applyAlignment="1" applyProtection="1">
      <alignment vertical="center"/>
      <protection hidden="1"/>
    </xf>
    <xf numFmtId="168" fontId="5" fillId="0" borderId="0" xfId="3" applyNumberFormat="1" applyFont="1" applyAlignment="1" applyProtection="1">
      <alignment horizontal="left" vertical="center"/>
      <protection hidden="1"/>
    </xf>
    <xf numFmtId="168" fontId="5" fillId="0" borderId="0" xfId="3" applyNumberFormat="1" applyFont="1" applyAlignment="1">
      <alignment horizontal="left" vertical="center"/>
    </xf>
    <xf numFmtId="0" fontId="6" fillId="0" borderId="0" xfId="3" applyFont="1" applyAlignment="1" applyProtection="1">
      <alignment vertical="center"/>
      <protection hidden="1"/>
    </xf>
    <xf numFmtId="0" fontId="5" fillId="0" borderId="0" xfId="3" applyFont="1" applyAlignment="1">
      <alignment horizontal="right" vertical="center"/>
    </xf>
    <xf numFmtId="164" fontId="5" fillId="0" borderId="0" xfId="3" applyNumberFormat="1" applyFont="1" applyAlignment="1" applyProtection="1">
      <alignment horizontal="left" vertical="center"/>
      <protection hidden="1"/>
    </xf>
    <xf numFmtId="165" fontId="5" fillId="0" borderId="0" xfId="3" applyNumberFormat="1" applyFont="1" applyAlignment="1" applyProtection="1">
      <alignment vertical="center"/>
      <protection hidden="1"/>
    </xf>
    <xf numFmtId="0" fontId="5" fillId="0" borderId="0" xfId="3" applyFont="1" applyAlignment="1" applyProtection="1">
      <alignment horizontal="left" vertical="center"/>
      <protection hidden="1"/>
    </xf>
    <xf numFmtId="0" fontId="3" fillId="0" borderId="0" xfId="3" applyFont="1" applyAlignment="1" applyProtection="1">
      <alignment horizontal="left" vertical="center"/>
      <protection hidden="1"/>
    </xf>
    <xf numFmtId="0" fontId="0" fillId="0" borderId="0" xfId="0" applyAlignment="1" applyProtection="1">
      <alignment horizontal="left"/>
      <protection hidden="1"/>
    </xf>
    <xf numFmtId="0" fontId="3" fillId="0" borderId="0" xfId="3" applyFont="1" applyAlignment="1">
      <alignment vertical="top"/>
    </xf>
    <xf numFmtId="0" fontId="3" fillId="0" borderId="0" xfId="3" applyFont="1" applyAlignment="1">
      <alignment horizontal="left" vertical="center"/>
    </xf>
    <xf numFmtId="0" fontId="5" fillId="0" borderId="0" xfId="3" applyFont="1" applyAlignment="1" applyProtection="1">
      <alignment horizontal="center" vertical="center"/>
      <protection hidden="1"/>
    </xf>
    <xf numFmtId="0" fontId="3" fillId="0" borderId="0" xfId="3" applyFont="1" applyAlignment="1" applyProtection="1">
      <alignment horizontal="center" vertical="center"/>
      <protection hidden="1"/>
    </xf>
    <xf numFmtId="14" fontId="0" fillId="0" borderId="0" xfId="0" applyNumberFormat="1"/>
    <xf numFmtId="0" fontId="0" fillId="0" borderId="0" xfId="0" applyAlignment="1">
      <alignment horizontal="center"/>
    </xf>
    <xf numFmtId="0" fontId="0" fillId="0" borderId="0" xfId="0" applyAlignment="1">
      <alignment horizontal="center" vertical="center"/>
    </xf>
    <xf numFmtId="0" fontId="5" fillId="0" borderId="0" xfId="3" applyFont="1" applyProtection="1">
      <protection hidden="1"/>
    </xf>
    <xf numFmtId="14" fontId="0" fillId="0" borderId="0" xfId="0" applyNumberFormat="1" applyAlignment="1">
      <alignment horizontal="center" vertical="center"/>
    </xf>
    <xf numFmtId="169" fontId="0" fillId="0" borderId="0" xfId="1" applyNumberFormat="1" applyFont="1"/>
    <xf numFmtId="169" fontId="3" fillId="0" borderId="0" xfId="1" applyNumberFormat="1" applyFont="1" applyFill="1" applyAlignment="1">
      <alignment vertical="center"/>
    </xf>
    <xf numFmtId="0" fontId="0" fillId="2" borderId="1" xfId="0" applyFill="1" applyBorder="1" applyAlignment="1">
      <alignment horizontal="center"/>
    </xf>
    <xf numFmtId="0" fontId="9" fillId="0" borderId="0" xfId="0" applyFont="1" applyAlignment="1">
      <alignment horizontal="center"/>
    </xf>
    <xf numFmtId="169" fontId="0" fillId="2" borderId="0" xfId="1" applyNumberFormat="1" applyFont="1" applyFill="1"/>
    <xf numFmtId="169" fontId="0" fillId="0" borderId="0" xfId="0" applyNumberFormat="1"/>
    <xf numFmtId="0" fontId="0" fillId="2" borderId="0" xfId="0" applyFill="1"/>
    <xf numFmtId="0" fontId="0" fillId="2" borderId="0" xfId="0" quotePrefix="1" applyFill="1"/>
    <xf numFmtId="14" fontId="0" fillId="2" borderId="0" xfId="0" applyNumberFormat="1" applyFill="1" applyAlignment="1">
      <alignment horizontal="left"/>
    </xf>
    <xf numFmtId="0" fontId="0" fillId="3" borderId="0" xfId="0" applyFill="1"/>
    <xf numFmtId="0" fontId="0" fillId="4" borderId="0" xfId="0" applyFill="1"/>
    <xf numFmtId="14" fontId="0" fillId="4" borderId="0" xfId="0" applyNumberFormat="1" applyFill="1" applyAlignment="1">
      <alignment horizontal="left"/>
    </xf>
    <xf numFmtId="0" fontId="8" fillId="3" borderId="0" xfId="0" applyFont="1" applyFill="1" applyAlignment="1">
      <alignment horizontal="center" vertical="center"/>
    </xf>
    <xf numFmtId="0" fontId="7" fillId="3" borderId="0" xfId="0" applyFont="1" applyFill="1"/>
    <xf numFmtId="169" fontId="7" fillId="3" borderId="0" xfId="0" applyNumberFormat="1" applyFont="1" applyFill="1"/>
    <xf numFmtId="169" fontId="7" fillId="2" borderId="1" xfId="1" applyNumberFormat="1" applyFont="1" applyFill="1" applyBorder="1"/>
    <xf numFmtId="0" fontId="9" fillId="3" borderId="1" xfId="0" applyFont="1" applyFill="1" applyBorder="1"/>
    <xf numFmtId="169" fontId="0" fillId="5" borderId="1" xfId="1" applyNumberFormat="1" applyFont="1" applyFill="1" applyBorder="1"/>
    <xf numFmtId="169" fontId="7" fillId="5" borderId="1" xfId="1" applyNumberFormat="1" applyFont="1" applyFill="1" applyBorder="1"/>
    <xf numFmtId="0" fontId="8" fillId="3" borderId="8" xfId="0" applyFont="1" applyFill="1" applyBorder="1" applyAlignment="1">
      <alignment horizontal="center" vertical="center"/>
    </xf>
    <xf numFmtId="0" fontId="8" fillId="3" borderId="8" xfId="0" applyFont="1" applyFill="1" applyBorder="1" applyAlignment="1">
      <alignment horizontal="center" vertical="center" wrapText="1"/>
    </xf>
    <xf numFmtId="170" fontId="0" fillId="0" borderId="0" xfId="0" applyNumberFormat="1"/>
    <xf numFmtId="0" fontId="8" fillId="3" borderId="8" xfId="0" applyFont="1" applyFill="1" applyBorder="1" applyAlignment="1">
      <alignment horizontal="left" vertical="center"/>
    </xf>
    <xf numFmtId="0" fontId="10" fillId="6" borderId="1" xfId="0" applyFont="1" applyFill="1" applyBorder="1" applyAlignment="1">
      <alignment horizontal="center" vertical="center" wrapText="1"/>
    </xf>
    <xf numFmtId="0" fontId="10" fillId="7" borderId="1" xfId="0" applyFont="1" applyFill="1" applyBorder="1" applyAlignment="1">
      <alignment horizontal="left" vertical="center"/>
    </xf>
    <xf numFmtId="165" fontId="10" fillId="7" borderId="1" xfId="0" applyNumberFormat="1" applyFont="1" applyFill="1" applyBorder="1" applyAlignment="1">
      <alignment horizontal="center" vertical="center"/>
    </xf>
    <xf numFmtId="0" fontId="0" fillId="0" borderId="1" xfId="0" applyBorder="1"/>
    <xf numFmtId="169" fontId="0" fillId="0" borderId="1" xfId="1" applyNumberFormat="1" applyFont="1" applyBorder="1"/>
    <xf numFmtId="0" fontId="3" fillId="0" borderId="0" xfId="3" applyFont="1" applyAlignment="1">
      <alignment horizontal="left" vertical="center" wrapText="1"/>
    </xf>
    <xf numFmtId="0" fontId="4" fillId="0" borderId="0" xfId="3" applyFont="1" applyAlignment="1">
      <alignment horizontal="center" vertical="center"/>
    </xf>
    <xf numFmtId="0" fontId="5" fillId="0" borderId="0" xfId="3" applyFont="1" applyAlignment="1" applyProtection="1">
      <alignment horizontal="center"/>
      <protection hidden="1"/>
    </xf>
    <xf numFmtId="0" fontId="3" fillId="0" borderId="0" xfId="3" applyFont="1" applyAlignment="1" applyProtection="1">
      <alignment horizontal="justify" vertical="top" wrapText="1"/>
      <protection hidden="1"/>
    </xf>
    <xf numFmtId="0" fontId="3" fillId="0" borderId="0" xfId="3" applyFont="1" applyAlignment="1" applyProtection="1">
      <alignment horizontal="left" vertical="center" readingOrder="1"/>
      <protection hidden="1"/>
    </xf>
    <xf numFmtId="0" fontId="3" fillId="0" borderId="0" xfId="3" applyFont="1" applyAlignment="1" applyProtection="1">
      <alignment horizontal="justify" vertical="center" wrapText="1"/>
      <protection hidden="1"/>
    </xf>
    <xf numFmtId="0" fontId="8" fillId="3" borderId="4"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5" fillId="0" borderId="0" xfId="3" applyFont="1" applyAlignment="1">
      <alignment horizontal="right" vertical="center"/>
    </xf>
    <xf numFmtId="166" fontId="5" fillId="0" borderId="0" xfId="2" applyNumberFormat="1" applyFont="1" applyFill="1" applyAlignment="1" applyProtection="1">
      <alignment horizontal="center" vertical="center"/>
      <protection hidden="1"/>
    </xf>
    <xf numFmtId="3" fontId="3" fillId="0" borderId="3" xfId="3" applyNumberFormat="1" applyFont="1" applyBorder="1" applyAlignment="1" applyProtection="1">
      <alignment horizontal="center" vertical="center"/>
      <protection hidden="1"/>
    </xf>
    <xf numFmtId="0" fontId="3" fillId="0" borderId="3" xfId="3" applyFont="1" applyBorder="1" applyAlignment="1" applyProtection="1">
      <alignment horizontal="center" vertical="center"/>
      <protection hidden="1"/>
    </xf>
    <xf numFmtId="164" fontId="3" fillId="0" borderId="0" xfId="3" applyNumberFormat="1" applyFont="1" applyAlignment="1" applyProtection="1">
      <alignment horizontal="left" vertical="center"/>
      <protection hidden="1"/>
    </xf>
    <xf numFmtId="1" fontId="3" fillId="0" borderId="0" xfId="3" applyNumberFormat="1" applyFont="1" applyAlignment="1" applyProtection="1">
      <alignment horizontal="left" vertical="center"/>
      <protection hidden="1"/>
    </xf>
    <xf numFmtId="0" fontId="3" fillId="0" borderId="0" xfId="3" applyFont="1" applyAlignment="1" applyProtection="1">
      <alignment horizontal="left" vertical="center"/>
      <protection hidden="1"/>
    </xf>
    <xf numFmtId="169" fontId="3" fillId="0" borderId="0" xfId="1" applyNumberFormat="1" applyFont="1" applyFill="1" applyAlignment="1" applyProtection="1">
      <alignment horizontal="center" vertical="center"/>
      <protection hidden="1"/>
    </xf>
    <xf numFmtId="3" fontId="3" fillId="0" borderId="2" xfId="3" applyNumberFormat="1" applyFont="1" applyBorder="1" applyAlignment="1" applyProtection="1">
      <alignment horizontal="center" vertical="center"/>
      <protection hidden="1"/>
    </xf>
    <xf numFmtId="0" fontId="3" fillId="0" borderId="2" xfId="3" applyFont="1" applyBorder="1" applyAlignment="1" applyProtection="1">
      <alignment horizontal="center" vertical="center"/>
      <protection hidden="1"/>
    </xf>
  </cellXfs>
  <cellStyles count="4">
    <cellStyle name="Comma" xfId="1" builtinId="3"/>
    <cellStyle name="Comma [0]" xfId="2" builtinId="6"/>
    <cellStyle name="Normal" xfId="0" builtinId="0"/>
    <cellStyle name="Normal 14" xfId="3" xr:uid="{00000000-0005-0000-0000-000003000000}"/>
  </cellStyles>
  <dxfs count="2">
    <dxf>
      <font>
        <b/>
        <i/>
        <color rgb="FFFF0000"/>
      </font>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Apk_LPJ_BOS_versi-2020.b_SDN%201%20RENDE.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ownloads\REKAP%20PEMBAYARAN%20PAJAK%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kolah"/>
      <sheetName val="Regist_Reg (2)"/>
      <sheetName val="Menu"/>
      <sheetName val="Data Sekolah"/>
      <sheetName val="Template_Reg-1"/>
      <sheetName val="Template_Reg-2"/>
      <sheetName val="Template_Reg-3"/>
      <sheetName val="verval_reg"/>
      <sheetName val="Template_Silpa_Reg-1"/>
      <sheetName val="Template_Silpa_Reg-2"/>
      <sheetName val="Template_Silpa_Reg-3"/>
      <sheetName val="verval_silpa_reg"/>
      <sheetName val="rkp_aset_1"/>
      <sheetName val="rkp_aset_2"/>
      <sheetName val="rkp_aset_thn"/>
      <sheetName val="F-1_Reg"/>
      <sheetName val="F-2_Reg"/>
      <sheetName val="F-3_Reg"/>
      <sheetName val="F-1_Silpa_Reg"/>
      <sheetName val="F-2_Silpa_Reg"/>
      <sheetName val="F-3_Silpa_Reg"/>
      <sheetName val="rms_reg-1"/>
      <sheetName val="rms_reg-2.1"/>
      <sheetName val="rms_reg-2.2"/>
      <sheetName val="rms_reg-3"/>
      <sheetName val="ROB-1"/>
      <sheetName val="rms_silpa_reg-1"/>
      <sheetName val="rms_silpa_reg-2.1"/>
      <sheetName val="rms_silpa_reg-2.2"/>
      <sheetName val="rms_silpa_reg-3"/>
      <sheetName val="ROB-2"/>
      <sheetName val="Lap. realisasi_Reg-1"/>
      <sheetName val="Lap. realisasi_Reg-2"/>
      <sheetName val="Papan_Reg-thp"/>
      <sheetName val="Papan_Reg-smt.1"/>
      <sheetName val="Papan_Reg-smt.2"/>
      <sheetName val="Papan_Reg-thn"/>
      <sheetName val="Rekap_Pajak_1"/>
      <sheetName val="Rekap_Pajak_2"/>
      <sheetName val="Aset_1"/>
      <sheetName val="Aset_2"/>
      <sheetName val="Aset_thn"/>
      <sheetName val="Pengg.Dana_Reg-1"/>
      <sheetName val="Pengg.Dana_Reg-2"/>
      <sheetName val="SPTJM_1"/>
      <sheetName val="SPTJM_2"/>
      <sheetName val="BKU_Reg-1"/>
      <sheetName val="BKU_Reg-2"/>
      <sheetName val="BKU_Reg-3"/>
      <sheetName val="BKU_Reg-4"/>
      <sheetName val="BKU_Reg-5"/>
      <sheetName val="BKU_Reg-6"/>
      <sheetName val="BKU_Reg-7"/>
      <sheetName val="BKU_Reg-8"/>
      <sheetName val="BKU_Reg-9"/>
      <sheetName val="BKU_Reg-10"/>
      <sheetName val="BKU_Reg-11"/>
      <sheetName val="BKU_Reg-12"/>
      <sheetName val="BKU_Silpa_Reg-1"/>
      <sheetName val="BKU_Silpa_Reg-2"/>
      <sheetName val="BKU_Silpa_Reg-3"/>
      <sheetName val="BKU_Silpa_Reg-4"/>
      <sheetName val="BKU_Silpa_Reg-5"/>
      <sheetName val="BKU_Silpa_Reg-6"/>
      <sheetName val="BKU_Silpa_Reg-7"/>
      <sheetName val="BKU_Silpa_Reg-8"/>
      <sheetName val="BKU_Silpa_Reg-9"/>
      <sheetName val="BKU_Silpa_Reg-10"/>
      <sheetName val="BKU_Silpa_Reg-11"/>
      <sheetName val="BKU_Silpa_Reg-12"/>
      <sheetName val="KAS_Reg-1"/>
      <sheetName val="KAS_Reg-2"/>
      <sheetName val="KAS_Reg-3"/>
      <sheetName val="KAS_Reg-4"/>
      <sheetName val="KAS_Reg-5"/>
      <sheetName val="KAS_Reg-6"/>
      <sheetName val="KAS_Reg-7"/>
      <sheetName val="KAS_Reg-8"/>
      <sheetName val="KAS_Reg-9"/>
      <sheetName val="KAS_Reg-10"/>
      <sheetName val="KAS_Reg-11"/>
      <sheetName val="KAS_Reg-12"/>
      <sheetName val="KAS_Silpa_Reg-1"/>
      <sheetName val="KAS_Silpa_Reg-2"/>
      <sheetName val="KAS_Silpa_Reg-3"/>
      <sheetName val="KAS_Silpa_Reg-4"/>
      <sheetName val="KAS_Silpa_Reg-5"/>
      <sheetName val="KAS_Silpa_Reg-6"/>
      <sheetName val="KAS_Silpa_Reg-7"/>
      <sheetName val="KAS_Silpa_Reg-8"/>
      <sheetName val="KAS_Silpa_Reg-9"/>
      <sheetName val="KAS_Silpa_Reg-10"/>
      <sheetName val="KAS_Silpa_Reg-11"/>
      <sheetName val="KAS_Silpa_Reg-12"/>
      <sheetName val="BANK_Reg-1"/>
      <sheetName val="BANK_Reg-2"/>
      <sheetName val="BANK_Reg-3"/>
      <sheetName val="BANK_Reg-4"/>
      <sheetName val="BANK_Reg-5"/>
      <sheetName val="BANK_Reg-6"/>
      <sheetName val="BANK_Reg-7"/>
      <sheetName val="BANK_Reg-8"/>
      <sheetName val="BANK_Reg-9"/>
      <sheetName val="BANK_Reg-10"/>
      <sheetName val="BANK_Reg-11"/>
      <sheetName val="BANK_Reg-12"/>
      <sheetName val="BANK_Silpa_Reg-1"/>
      <sheetName val="BANK_Silpa_Reg-2"/>
      <sheetName val="BANK_Silpa_Reg-3"/>
      <sheetName val="BANK_Silpa_Reg-4"/>
      <sheetName val="BANK_Silpa_Reg-5"/>
      <sheetName val="BANK_Silpa_Reg-6"/>
      <sheetName val="BANK_Silpa_Reg-7"/>
      <sheetName val="BANK_Silpa_Reg-8"/>
      <sheetName val="BANK_Silpa_Reg-9"/>
      <sheetName val="BANK_Silpa_Reg-10"/>
      <sheetName val="BANK_Silpa_Reg-11"/>
      <sheetName val="BANK_Silpa_Reg-12"/>
      <sheetName val="PAJAK_Reg-1"/>
      <sheetName val="PAJAK_Reg-2"/>
      <sheetName val="PAJAK_Reg-3"/>
      <sheetName val="PAJAK_Reg-4"/>
      <sheetName val="PAJAK_Reg-5"/>
      <sheetName val="PAJAK_Reg-6"/>
      <sheetName val="PAJAK_Reg-7"/>
      <sheetName val="PAJAK_Reg-8"/>
      <sheetName val="PAJAK_Reg-9"/>
      <sheetName val="PAJAK_Reg-10"/>
      <sheetName val="PAJAK_Reg-11"/>
      <sheetName val="PAJAK_Reg-12"/>
      <sheetName val="PAJAK_Silpa_Reg-1"/>
      <sheetName val="PAJAK_Silpa_Reg-2"/>
      <sheetName val="PAJAK_Silpa_Reg-3"/>
      <sheetName val="PAJAK_Silpa_Reg-4"/>
      <sheetName val="PAJAK_Silpa_Reg-5"/>
      <sheetName val="PAJAK_Silpa_Reg-6"/>
      <sheetName val="PAJAK_Silpa_Reg-7"/>
      <sheetName val="PAJAK_Silpa_Reg-8"/>
      <sheetName val="PAJAK_Silpa_Reg-9"/>
      <sheetName val="PAJAK_Silpa_Reg-10"/>
      <sheetName val="PAJAK_Silpa_Reg-11"/>
      <sheetName val="PAJAK_Silpa_Reg-12"/>
      <sheetName val="Regist_Reg"/>
      <sheetName val="BA_Reg"/>
      <sheetName val="data regist_bap"/>
      <sheetName val="LPM-REG"/>
      <sheetName val="LPKS-REG"/>
    </sheetNames>
    <sheetDataSet>
      <sheetData sheetId="0" refreshError="1"/>
      <sheetData sheetId="1" refreshError="1"/>
      <sheetData sheetId="2" refreshError="1"/>
      <sheetData sheetId="3">
        <row r="4">
          <cell r="V4" t="str">
            <v>Penata Muda, III/a</v>
          </cell>
          <cell r="W4" t="str">
            <v>SD</v>
          </cell>
          <cell r="X4" t="str">
            <v>Fungsional</v>
          </cell>
        </row>
        <row r="5">
          <cell r="V5" t="str">
            <v>Penata Muda Tk.I, III/b</v>
          </cell>
          <cell r="W5" t="str">
            <v>SMP</v>
          </cell>
          <cell r="X5" t="str">
            <v>Fungsional - Guru</v>
          </cell>
        </row>
        <row r="6">
          <cell r="V6" t="str">
            <v>Penata, III/c</v>
          </cell>
          <cell r="W6" t="str">
            <v>SMA</v>
          </cell>
          <cell r="X6" t="str">
            <v>Fungsional - Umum</v>
          </cell>
        </row>
        <row r="7">
          <cell r="V7" t="str">
            <v>Penata Tk.I, III/d</v>
          </cell>
          <cell r="W7" t="str">
            <v>D-I</v>
          </cell>
          <cell r="X7" t="str">
            <v>Struktural</v>
          </cell>
        </row>
        <row r="8">
          <cell r="V8" t="str">
            <v>Pembina, IV/a</v>
          </cell>
          <cell r="W8" t="str">
            <v>D-II</v>
          </cell>
          <cell r="X8" t="str">
            <v>Kepala Urusan</v>
          </cell>
        </row>
        <row r="9">
          <cell r="V9" t="str">
            <v>Pembina Tk.I, IV/b</v>
          </cell>
          <cell r="W9" t="str">
            <v>D-III</v>
          </cell>
          <cell r="X9" t="str">
            <v>Kepala Urusan Administrasi Umum</v>
          </cell>
        </row>
        <row r="10">
          <cell r="V10" t="str">
            <v>Pembina Utama Muda, IV/c</v>
          </cell>
          <cell r="W10" t="str">
            <v>S-1</v>
          </cell>
          <cell r="X10" t="str">
            <v>Pelaksana Urusan Administrasi Umum</v>
          </cell>
        </row>
        <row r="11">
          <cell r="V11" t="str">
            <v>Pembina Utama Madya, IV/d</v>
          </cell>
          <cell r="W11" t="str">
            <v>S-2</v>
          </cell>
          <cell r="X11" t="str">
            <v>Staf TU</v>
          </cell>
        </row>
        <row r="12">
          <cell r="V12" t="str">
            <v>-</v>
          </cell>
          <cell r="W12" t="str">
            <v>S-3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6">
          <cell r="R6" t="str">
            <v>Januari</v>
          </cell>
        </row>
        <row r="7">
          <cell r="R7" t="str">
            <v>Februari</v>
          </cell>
        </row>
        <row r="8">
          <cell r="R8" t="str">
            <v>Maret</v>
          </cell>
        </row>
        <row r="9">
          <cell r="R9" t="str">
            <v>April</v>
          </cell>
        </row>
        <row r="10">
          <cell r="R10" t="str">
            <v>Mei</v>
          </cell>
        </row>
        <row r="11">
          <cell r="R11" t="str">
            <v>Juni</v>
          </cell>
        </row>
        <row r="12">
          <cell r="R12" t="str">
            <v>Juli</v>
          </cell>
        </row>
        <row r="13">
          <cell r="R13" t="str">
            <v>Agustus</v>
          </cell>
        </row>
        <row r="14">
          <cell r="R14" t="str">
            <v>September</v>
          </cell>
        </row>
        <row r="15">
          <cell r="R15" t="str">
            <v>Oktober</v>
          </cell>
        </row>
        <row r="16">
          <cell r="R16" t="str">
            <v>November</v>
          </cell>
        </row>
        <row r="17">
          <cell r="R17" t="str">
            <v>Desember</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refreshError="1"/>
      <sheetData sheetId="14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i"/>
      <sheetName val="Februari"/>
      <sheetName val="Maret"/>
      <sheetName val="April"/>
      <sheetName val="Mei"/>
      <sheetName val="Juni"/>
      <sheetName val="Juli"/>
      <sheetName val="Agustus"/>
      <sheetName val="September"/>
      <sheetName val="Oktober"/>
      <sheetName val="November"/>
      <sheetName val="Desember"/>
      <sheetName val="Rekap"/>
    </sheetNames>
    <sheetDataSet>
      <sheetData sheetId="0">
        <row r="2">
          <cell r="R2">
            <v>411211</v>
          </cell>
          <cell r="S2" t="str">
            <v>PPN</v>
          </cell>
        </row>
        <row r="3">
          <cell r="R3">
            <v>411121</v>
          </cell>
          <cell r="S3" t="str">
            <v>PPh 21</v>
          </cell>
        </row>
        <row r="4">
          <cell r="R4">
            <v>411122</v>
          </cell>
          <cell r="S4" t="str">
            <v>PPh 22</v>
          </cell>
        </row>
        <row r="5">
          <cell r="R5">
            <v>411124</v>
          </cell>
          <cell r="S5" t="str">
            <v>PPh 23</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3:C14"/>
  <sheetViews>
    <sheetView workbookViewId="0">
      <selection activeCell="C17" sqref="C17"/>
    </sheetView>
  </sheetViews>
  <sheetFormatPr defaultColWidth="8.7109375" defaultRowHeight="15" x14ac:dyDescent="0.25"/>
  <cols>
    <col min="1" max="1" width="26" style="43" customWidth="1"/>
    <col min="2" max="2" width="3.5703125" style="43" customWidth="1"/>
    <col min="3" max="3" width="34.85546875" style="43" customWidth="1"/>
    <col min="4" max="16384" width="8.7109375" style="43"/>
  </cols>
  <sheetData>
    <row r="3" spans="1:3" x14ac:dyDescent="0.25">
      <c r="A3" s="43" t="s">
        <v>49</v>
      </c>
      <c r="B3" s="43" t="s">
        <v>8</v>
      </c>
      <c r="C3" s="40" t="s">
        <v>141</v>
      </c>
    </row>
    <row r="4" spans="1:3" x14ac:dyDescent="0.25">
      <c r="A4" s="43" t="s">
        <v>50</v>
      </c>
      <c r="B4" s="43" t="s">
        <v>8</v>
      </c>
      <c r="C4" s="41" t="s">
        <v>142</v>
      </c>
    </row>
    <row r="5" spans="1:3" x14ac:dyDescent="0.25">
      <c r="A5" s="43" t="s">
        <v>51</v>
      </c>
      <c r="B5" s="43" t="s">
        <v>8</v>
      </c>
      <c r="C5" s="40" t="s">
        <v>145</v>
      </c>
    </row>
    <row r="6" spans="1:3" x14ac:dyDescent="0.25">
      <c r="A6" s="43" t="s">
        <v>52</v>
      </c>
      <c r="B6" s="43" t="s">
        <v>8</v>
      </c>
      <c r="C6" s="42">
        <v>41873</v>
      </c>
    </row>
    <row r="8" spans="1:3" x14ac:dyDescent="0.25">
      <c r="A8" s="43" t="s">
        <v>53</v>
      </c>
      <c r="B8" s="43" t="s">
        <v>8</v>
      </c>
      <c r="C8" s="40" t="s">
        <v>143</v>
      </c>
    </row>
    <row r="9" spans="1:3" x14ac:dyDescent="0.25">
      <c r="A9" s="43" t="s">
        <v>50</v>
      </c>
      <c r="B9" s="43" t="s">
        <v>8</v>
      </c>
      <c r="C9" s="41" t="s">
        <v>144</v>
      </c>
    </row>
    <row r="10" spans="1:3" x14ac:dyDescent="0.25">
      <c r="A10" s="43" t="s">
        <v>54</v>
      </c>
      <c r="B10" s="43" t="s">
        <v>8</v>
      </c>
      <c r="C10" s="40" t="s">
        <v>146</v>
      </c>
    </row>
    <row r="11" spans="1:3" x14ac:dyDescent="0.25">
      <c r="A11" s="43" t="s">
        <v>52</v>
      </c>
      <c r="B11" s="43" t="s">
        <v>8</v>
      </c>
      <c r="C11" s="42">
        <v>45605</v>
      </c>
    </row>
    <row r="13" spans="1:3" x14ac:dyDescent="0.25">
      <c r="A13" s="43" t="s">
        <v>55</v>
      </c>
      <c r="B13" s="43" t="s">
        <v>8</v>
      </c>
      <c r="C13" s="44" t="s">
        <v>86</v>
      </c>
    </row>
    <row r="14" spans="1:3" x14ac:dyDescent="0.25">
      <c r="A14" s="43" t="s">
        <v>52</v>
      </c>
      <c r="B14" s="43" t="s">
        <v>8</v>
      </c>
      <c r="C14" s="45">
        <v>45707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I16"/>
  <sheetViews>
    <sheetView view="pageBreakPreview" zoomScale="80" zoomScaleNormal="90" zoomScaleSheetLayoutView="80" workbookViewId="0">
      <selection activeCell="G16" sqref="G16"/>
    </sheetView>
  </sheetViews>
  <sheetFormatPr defaultColWidth="8.7109375" defaultRowHeight="15.75" x14ac:dyDescent="0.25"/>
  <cols>
    <col min="1" max="1" width="11.42578125" style="47" customWidth="1"/>
    <col min="2" max="3" width="13.5703125" style="47" customWidth="1"/>
    <col min="4" max="4" width="14.42578125" style="47" customWidth="1"/>
    <col min="5" max="5" width="13.28515625" style="47" customWidth="1"/>
    <col min="6" max="6" width="14" style="47" customWidth="1"/>
    <col min="7" max="7" width="13.5703125" style="47" customWidth="1"/>
    <col min="8" max="8" width="13.5703125" style="47" bestFit="1" customWidth="1"/>
    <col min="9" max="9" width="12.7109375" style="47" bestFit="1" customWidth="1"/>
    <col min="10" max="16384" width="8.7109375" style="47"/>
  </cols>
  <sheetData>
    <row r="1" spans="1:9" s="46" customFormat="1" ht="31.5" customHeight="1" x14ac:dyDescent="0.25">
      <c r="A1" s="71" t="s">
        <v>56</v>
      </c>
      <c r="B1" s="71" t="s">
        <v>69</v>
      </c>
      <c r="C1" s="71" t="s">
        <v>70</v>
      </c>
      <c r="D1" s="73" t="s">
        <v>81</v>
      </c>
      <c r="E1" s="73" t="s">
        <v>84</v>
      </c>
      <c r="F1" s="73" t="s">
        <v>85</v>
      </c>
      <c r="G1" s="71" t="s">
        <v>71</v>
      </c>
    </row>
    <row r="2" spans="1:9" x14ac:dyDescent="0.25">
      <c r="A2" s="72"/>
      <c r="B2" s="72"/>
      <c r="C2" s="72"/>
      <c r="D2" s="74"/>
      <c r="E2" s="74"/>
      <c r="F2" s="74"/>
      <c r="G2" s="72"/>
    </row>
    <row r="3" spans="1:9" x14ac:dyDescent="0.25">
      <c r="A3" s="56" t="s">
        <v>96</v>
      </c>
      <c r="B3" s="68"/>
      <c r="C3" s="69"/>
      <c r="D3" s="70"/>
      <c r="E3" s="54">
        <v>0</v>
      </c>
      <c r="F3" s="54">
        <v>0</v>
      </c>
      <c r="G3" s="53"/>
    </row>
    <row r="4" spans="1:9" x14ac:dyDescent="0.25">
      <c r="A4" s="50" t="s">
        <v>57</v>
      </c>
      <c r="B4" s="51">
        <f>BKU!C21+BKU!E4</f>
        <v>82560000</v>
      </c>
      <c r="C4" s="51">
        <f>BKU!D30</f>
        <v>0</v>
      </c>
      <c r="D4" s="52">
        <f>BKU!D29</f>
        <v>82560000</v>
      </c>
      <c r="E4" s="49">
        <f>BKU!D28</f>
        <v>0</v>
      </c>
      <c r="F4" s="49">
        <f>BKU!D27</f>
        <v>82560000</v>
      </c>
      <c r="G4" s="52">
        <f>BKU!D32</f>
        <v>0</v>
      </c>
      <c r="H4" s="48">
        <f>B4-C4-D4</f>
        <v>0</v>
      </c>
    </row>
    <row r="5" spans="1:9" x14ac:dyDescent="0.25">
      <c r="A5" s="50" t="s">
        <v>58</v>
      </c>
      <c r="B5" s="51">
        <f>BKU!D57</f>
        <v>82560000</v>
      </c>
      <c r="C5" s="51">
        <f>BKU!D64</f>
        <v>26100000</v>
      </c>
      <c r="D5" s="52">
        <f>B5-C5</f>
        <v>56460000</v>
      </c>
      <c r="E5" s="49">
        <f>BKU!D62</f>
        <v>7990000</v>
      </c>
      <c r="F5" s="49">
        <f>BKU!D61</f>
        <v>48470000</v>
      </c>
      <c r="G5" s="52">
        <f>BKU!D66</f>
        <v>168000</v>
      </c>
      <c r="H5" s="48">
        <f t="shared" ref="H5:H15" si="0">B5-C5-D5</f>
        <v>0</v>
      </c>
      <c r="I5" s="48"/>
    </row>
    <row r="6" spans="1:9" x14ac:dyDescent="0.25">
      <c r="A6" s="50" t="s">
        <v>59</v>
      </c>
      <c r="B6" s="51">
        <f>BKU!D91</f>
        <v>56460000</v>
      </c>
      <c r="C6" s="51">
        <f>BKU!D98</f>
        <v>1650000</v>
      </c>
      <c r="D6" s="52">
        <f t="shared" ref="D6:D15" si="1">B6-C6</f>
        <v>54810000</v>
      </c>
      <c r="E6" s="49">
        <f>BKU!D96</f>
        <v>6340000</v>
      </c>
      <c r="F6" s="49">
        <f>BKU!D95</f>
        <v>48470000</v>
      </c>
      <c r="G6" s="52">
        <f>BKU!D100</f>
        <v>96000</v>
      </c>
      <c r="H6" s="48">
        <f t="shared" si="0"/>
        <v>0</v>
      </c>
    </row>
    <row r="7" spans="1:9" x14ac:dyDescent="0.25">
      <c r="A7" s="50" t="s">
        <v>60</v>
      </c>
      <c r="B7" s="51">
        <f>BKU!D125</f>
        <v>54810000</v>
      </c>
      <c r="C7" s="51">
        <f>BKU!D132</f>
        <v>33810000</v>
      </c>
      <c r="D7" s="52">
        <f t="shared" si="1"/>
        <v>21000000</v>
      </c>
      <c r="E7" s="49">
        <f>BKU!D130</f>
        <v>3570000</v>
      </c>
      <c r="F7" s="49">
        <f>BKU!D129</f>
        <v>17430000</v>
      </c>
      <c r="G7" s="52">
        <f>BKU!D134</f>
        <v>168000</v>
      </c>
      <c r="H7" s="48">
        <f t="shared" si="0"/>
        <v>0</v>
      </c>
    </row>
    <row r="8" spans="1:9" x14ac:dyDescent="0.25">
      <c r="A8" s="50" t="s">
        <v>48</v>
      </c>
      <c r="B8" s="51">
        <f>BKU!D159</f>
        <v>21000000</v>
      </c>
      <c r="C8" s="51">
        <f>BKU!D166</f>
        <v>1650000</v>
      </c>
      <c r="D8" s="52">
        <f t="shared" si="1"/>
        <v>19350000</v>
      </c>
      <c r="E8" s="49">
        <f>BKU!D164</f>
        <v>1920000</v>
      </c>
      <c r="F8" s="49">
        <f>BKU!D163</f>
        <v>17430000</v>
      </c>
      <c r="G8" s="52">
        <f>BKU!D168</f>
        <v>24000</v>
      </c>
      <c r="H8" s="48">
        <f>B8-C8-D8</f>
        <v>0</v>
      </c>
    </row>
    <row r="9" spans="1:9" x14ac:dyDescent="0.25">
      <c r="A9" s="50" t="s">
        <v>61</v>
      </c>
      <c r="B9" s="51">
        <f>BKU!D193</f>
        <v>19350000</v>
      </c>
      <c r="C9" s="51">
        <f>BKU!D200</f>
        <v>19350000</v>
      </c>
      <c r="D9" s="52">
        <f t="shared" si="1"/>
        <v>0</v>
      </c>
      <c r="E9" s="49">
        <f>BKU!D198</f>
        <v>0</v>
      </c>
      <c r="F9" s="49">
        <f>BKU!D197</f>
        <v>0</v>
      </c>
      <c r="G9" s="52">
        <f>BKU!D202</f>
        <v>210000</v>
      </c>
      <c r="H9" s="48">
        <f t="shared" si="0"/>
        <v>0</v>
      </c>
    </row>
    <row r="10" spans="1:9" x14ac:dyDescent="0.25">
      <c r="A10" s="50" t="s">
        <v>62</v>
      </c>
      <c r="B10" s="51">
        <f>BKU!D227</f>
        <v>0</v>
      </c>
      <c r="C10" s="51">
        <f>BKU!D234</f>
        <v>0</v>
      </c>
      <c r="D10" s="52">
        <f t="shared" si="1"/>
        <v>0</v>
      </c>
      <c r="E10" s="49">
        <f>BKU!D232</f>
        <v>0</v>
      </c>
      <c r="F10" s="49">
        <f>BKU!D231</f>
        <v>0</v>
      </c>
      <c r="G10" s="52">
        <f>BKU!D236</f>
        <v>0</v>
      </c>
      <c r="H10" s="48">
        <f t="shared" si="0"/>
        <v>0</v>
      </c>
    </row>
    <row r="11" spans="1:9" x14ac:dyDescent="0.25">
      <c r="A11" s="50" t="s">
        <v>63</v>
      </c>
      <c r="B11" s="51">
        <f>BKU!D261</f>
        <v>82560000</v>
      </c>
      <c r="C11" s="51">
        <f>BKU!D268</f>
        <v>47710000</v>
      </c>
      <c r="D11" s="52">
        <f t="shared" si="1"/>
        <v>34850000</v>
      </c>
      <c r="E11" s="49">
        <f>BKU!D266</f>
        <v>14040000</v>
      </c>
      <c r="F11" s="49">
        <f>BKU!D265</f>
        <v>20810000</v>
      </c>
      <c r="G11" s="52">
        <f>BKU!D270</f>
        <v>0</v>
      </c>
      <c r="H11" s="48">
        <f t="shared" si="0"/>
        <v>0</v>
      </c>
    </row>
    <row r="12" spans="1:9" x14ac:dyDescent="0.25">
      <c r="A12" s="50" t="s">
        <v>64</v>
      </c>
      <c r="B12" s="51">
        <f>BKU!D295</f>
        <v>34850000</v>
      </c>
      <c r="C12" s="51">
        <f>BKU!D302</f>
        <v>5650000</v>
      </c>
      <c r="D12" s="52">
        <f t="shared" si="1"/>
        <v>29200000</v>
      </c>
      <c r="E12" s="49">
        <f>BKU!D300</f>
        <v>8390000</v>
      </c>
      <c r="F12" s="49">
        <f>BKU!D299</f>
        <v>20810000</v>
      </c>
      <c r="G12" s="52">
        <f>BKU!D304</f>
        <v>208000</v>
      </c>
      <c r="H12" s="48">
        <f t="shared" si="0"/>
        <v>0</v>
      </c>
    </row>
    <row r="13" spans="1:9" x14ac:dyDescent="0.25">
      <c r="A13" s="50" t="s">
        <v>65</v>
      </c>
      <c r="B13" s="51">
        <f>BKU!D329</f>
        <v>29200000</v>
      </c>
      <c r="C13" s="51">
        <f>BKU!D336</f>
        <v>12300000</v>
      </c>
      <c r="D13" s="52">
        <f t="shared" si="1"/>
        <v>16900000</v>
      </c>
      <c r="E13" s="49">
        <f>BKU!D334</f>
        <v>1490000</v>
      </c>
      <c r="F13" s="49">
        <f>BKU!D333</f>
        <v>15410000</v>
      </c>
      <c r="G13" s="52">
        <f>BKU!D338</f>
        <v>246000</v>
      </c>
      <c r="H13" s="48">
        <f t="shared" si="0"/>
        <v>0</v>
      </c>
    </row>
    <row r="14" spans="1:9" x14ac:dyDescent="0.25">
      <c r="A14" s="50" t="s">
        <v>66</v>
      </c>
      <c r="B14" s="51">
        <f>BKU!D363</f>
        <v>16900000</v>
      </c>
      <c r="C14" s="51">
        <f>BKU!D370</f>
        <v>1490000</v>
      </c>
      <c r="D14" s="52">
        <f t="shared" si="1"/>
        <v>15410000</v>
      </c>
      <c r="E14" s="49">
        <f>BKU!D368</f>
        <v>0</v>
      </c>
      <c r="F14" s="49">
        <f>BKU!D367</f>
        <v>15410000</v>
      </c>
      <c r="G14" s="52">
        <f>BKU!D372</f>
        <v>24000</v>
      </c>
      <c r="H14" s="48">
        <f t="shared" si="0"/>
        <v>0</v>
      </c>
    </row>
    <row r="15" spans="1:9" x14ac:dyDescent="0.25">
      <c r="A15" s="50" t="s">
        <v>2</v>
      </c>
      <c r="B15" s="51">
        <f>BKU!D397</f>
        <v>15410000</v>
      </c>
      <c r="C15" s="51">
        <f>BKU!D404</f>
        <v>15410000</v>
      </c>
      <c r="D15" s="52">
        <f t="shared" si="1"/>
        <v>0</v>
      </c>
      <c r="E15" s="49">
        <f>BKU!D402</f>
        <v>0</v>
      </c>
      <c r="F15" s="49">
        <f>BKU!D401</f>
        <v>0</v>
      </c>
      <c r="G15" s="52">
        <f>BKU!D406</f>
        <v>166000</v>
      </c>
      <c r="H15" s="48">
        <f t="shared" si="0"/>
        <v>0</v>
      </c>
    </row>
    <row r="16" spans="1:9" x14ac:dyDescent="0.25">
      <c r="B16" s="48">
        <f>SUM(B5:B11)</f>
        <v>316740000</v>
      </c>
      <c r="C16" s="48">
        <f>SUM(C5:C11)</f>
        <v>130270000</v>
      </c>
    </row>
  </sheetData>
  <mergeCells count="8">
    <mergeCell ref="B3:D3"/>
    <mergeCell ref="G1:G2"/>
    <mergeCell ref="A1:A2"/>
    <mergeCell ref="B1:B2"/>
    <mergeCell ref="C1:C2"/>
    <mergeCell ref="D1:D2"/>
    <mergeCell ref="E1:E2"/>
    <mergeCell ref="F1:F2"/>
  </mergeCells>
  <pageMargins left="0.7" right="0.7" top="0.75" bottom="0.75" header="0.3" footer="0.3"/>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1581-7654-44F1-8FCF-1ED2D3ED385C}">
  <dimension ref="B1:H540"/>
  <sheetViews>
    <sheetView tabSelected="1" view="pageBreakPreview" zoomScaleNormal="100" zoomScaleSheetLayoutView="100" workbookViewId="0">
      <pane ySplit="1" topLeftCell="A2" activePane="bottomLeft" state="frozen"/>
      <selection pane="bottomLeft" activeCell="E26" sqref="E26"/>
    </sheetView>
  </sheetViews>
  <sheetFormatPr defaultRowHeight="15" x14ac:dyDescent="0.25"/>
  <cols>
    <col min="1" max="1" width="5.28515625" customWidth="1"/>
    <col min="2" max="2" width="47.140625" customWidth="1"/>
    <col min="3" max="3" width="13.28515625" customWidth="1"/>
    <col min="4" max="4" width="13.7109375" customWidth="1"/>
    <col min="5" max="5" width="14.5703125" customWidth="1"/>
    <col min="7" max="7" width="12.42578125" bestFit="1" customWidth="1"/>
    <col min="8" max="8" width="11.42578125" bestFit="1" customWidth="1"/>
  </cols>
  <sheetData>
    <row r="1" spans="2:8" x14ac:dyDescent="0.25">
      <c r="B1" s="57" t="s">
        <v>56</v>
      </c>
      <c r="C1" s="57" t="s">
        <v>93</v>
      </c>
      <c r="D1" s="57" t="s">
        <v>70</v>
      </c>
      <c r="E1" s="57" t="s">
        <v>89</v>
      </c>
    </row>
    <row r="2" spans="2:8" x14ac:dyDescent="0.25">
      <c r="B2" s="58" t="s">
        <v>99</v>
      </c>
      <c r="C2" s="59"/>
      <c r="D2" s="59"/>
      <c r="E2" s="59"/>
    </row>
    <row r="3" spans="2:8" x14ac:dyDescent="0.25">
      <c r="B3" s="60" t="s">
        <v>90</v>
      </c>
      <c r="C3" s="61">
        <v>0</v>
      </c>
      <c r="D3" s="61"/>
      <c r="E3" s="61">
        <f>C3</f>
        <v>0</v>
      </c>
    </row>
    <row r="4" spans="2:8" x14ac:dyDescent="0.25">
      <c r="B4" s="60" t="s">
        <v>91</v>
      </c>
      <c r="C4" s="61">
        <v>0</v>
      </c>
      <c r="D4" s="61"/>
      <c r="E4" s="61">
        <f>E3+C4-D4</f>
        <v>0</v>
      </c>
    </row>
    <row r="5" spans="2:8" x14ac:dyDescent="0.25">
      <c r="B5" s="60" t="s">
        <v>102</v>
      </c>
      <c r="C5" s="61">
        <v>82560000</v>
      </c>
      <c r="D5" s="61"/>
      <c r="E5" s="61">
        <f t="shared" ref="E5:E20" si="0">E4+C5-D5</f>
        <v>82560000</v>
      </c>
    </row>
    <row r="6" spans="2:8" x14ac:dyDescent="0.25">
      <c r="B6" s="60" t="s">
        <v>92</v>
      </c>
      <c r="C6" s="61"/>
      <c r="D6" s="61"/>
      <c r="E6" s="61">
        <f t="shared" si="0"/>
        <v>82560000</v>
      </c>
      <c r="H6" s="39"/>
    </row>
    <row r="7" spans="2:8" x14ac:dyDescent="0.25">
      <c r="B7" s="60" t="s">
        <v>92</v>
      </c>
      <c r="C7" s="61"/>
      <c r="D7" s="61"/>
      <c r="E7" s="61">
        <f t="shared" si="0"/>
        <v>82560000</v>
      </c>
    </row>
    <row r="8" spans="2:8" x14ac:dyDescent="0.25">
      <c r="B8" s="60" t="s">
        <v>92</v>
      </c>
      <c r="C8" s="61"/>
      <c r="D8" s="61"/>
      <c r="E8" s="61">
        <f t="shared" si="0"/>
        <v>82560000</v>
      </c>
    </row>
    <row r="9" spans="2:8" x14ac:dyDescent="0.25">
      <c r="B9" s="60" t="s">
        <v>95</v>
      </c>
      <c r="C9" s="61"/>
      <c r="D9" s="61"/>
      <c r="E9" s="61">
        <f t="shared" si="0"/>
        <v>82560000</v>
      </c>
    </row>
    <row r="10" spans="2:8" x14ac:dyDescent="0.25">
      <c r="B10" s="60" t="s">
        <v>94</v>
      </c>
      <c r="C10" s="61"/>
      <c r="D10" s="61"/>
      <c r="E10" s="61">
        <f t="shared" si="0"/>
        <v>82560000</v>
      </c>
    </row>
    <row r="11" spans="2:8" x14ac:dyDescent="0.25">
      <c r="B11" s="60" t="s">
        <v>97</v>
      </c>
      <c r="C11" s="61"/>
      <c r="D11" s="61"/>
      <c r="E11" s="61">
        <f t="shared" si="0"/>
        <v>82560000</v>
      </c>
    </row>
    <row r="12" spans="2:8" x14ac:dyDescent="0.25">
      <c r="B12" s="60" t="s">
        <v>98</v>
      </c>
      <c r="C12" s="61"/>
      <c r="D12" s="61"/>
      <c r="E12" s="61">
        <f t="shared" si="0"/>
        <v>82560000</v>
      </c>
    </row>
    <row r="13" spans="2:8" x14ac:dyDescent="0.25">
      <c r="B13" s="60"/>
      <c r="C13" s="61"/>
      <c r="D13" s="61"/>
      <c r="E13" s="61">
        <f t="shared" si="0"/>
        <v>82560000</v>
      </c>
    </row>
    <row r="14" spans="2:8" x14ac:dyDescent="0.25">
      <c r="B14" s="60"/>
      <c r="C14" s="61"/>
      <c r="D14" s="61"/>
      <c r="E14" s="61">
        <f t="shared" si="0"/>
        <v>82560000</v>
      </c>
    </row>
    <row r="15" spans="2:8" x14ac:dyDescent="0.25">
      <c r="B15" s="60"/>
      <c r="C15" s="61"/>
      <c r="D15" s="61"/>
      <c r="E15" s="61">
        <f t="shared" si="0"/>
        <v>82560000</v>
      </c>
    </row>
    <row r="16" spans="2:8" hidden="1" x14ac:dyDescent="0.25">
      <c r="B16" s="60"/>
      <c r="C16" s="61"/>
      <c r="D16" s="61"/>
      <c r="E16" s="61">
        <f t="shared" si="0"/>
        <v>82560000</v>
      </c>
    </row>
    <row r="17" spans="2:7" hidden="1" x14ac:dyDescent="0.25">
      <c r="B17" s="60"/>
      <c r="C17" s="61"/>
      <c r="D17" s="61"/>
      <c r="E17" s="61">
        <f t="shared" si="0"/>
        <v>82560000</v>
      </c>
    </row>
    <row r="18" spans="2:7" hidden="1" x14ac:dyDescent="0.25">
      <c r="B18" s="60"/>
      <c r="C18" s="61"/>
      <c r="D18" s="61"/>
      <c r="E18" s="61">
        <f t="shared" si="0"/>
        <v>82560000</v>
      </c>
    </row>
    <row r="19" spans="2:7" hidden="1" x14ac:dyDescent="0.25">
      <c r="B19" s="60"/>
      <c r="C19" s="61"/>
      <c r="D19" s="61"/>
      <c r="E19" s="61">
        <f t="shared" si="0"/>
        <v>82560000</v>
      </c>
    </row>
    <row r="20" spans="2:7" x14ac:dyDescent="0.25">
      <c r="B20" s="60"/>
      <c r="C20" s="61"/>
      <c r="D20" s="61"/>
      <c r="E20" s="61">
        <f t="shared" si="0"/>
        <v>82560000</v>
      </c>
    </row>
    <row r="21" spans="2:7" x14ac:dyDescent="0.25">
      <c r="B21" s="60" t="s">
        <v>100</v>
      </c>
      <c r="C21" s="61">
        <f>C5</f>
        <v>82560000</v>
      </c>
      <c r="D21" s="61">
        <f>SUM(D6:D10)</f>
        <v>0</v>
      </c>
      <c r="E21" s="61">
        <f>C21-D21</f>
        <v>82560000</v>
      </c>
      <c r="G21" s="39"/>
    </row>
    <row r="22" spans="2:7" x14ac:dyDescent="0.25">
      <c r="C22" s="34"/>
      <c r="D22" s="34"/>
      <c r="E22" s="34"/>
    </row>
    <row r="23" spans="2:7" x14ac:dyDescent="0.25">
      <c r="B23" s="60" t="s">
        <v>102</v>
      </c>
      <c r="C23" s="61"/>
      <c r="D23" s="61">
        <f>SUMIF(B5:B20,"PENERIMAAN TAHAP 1",C5:C20)</f>
        <v>82560000</v>
      </c>
      <c r="E23" s="34"/>
    </row>
    <row r="24" spans="2:7" x14ac:dyDescent="0.25">
      <c r="B24" s="60" t="s">
        <v>94</v>
      </c>
      <c r="C24" s="61"/>
      <c r="D24" s="61">
        <f>SUMIF(B6:B20,"BELANJA BNU",D6:D20)</f>
        <v>0</v>
      </c>
      <c r="E24" s="34"/>
    </row>
    <row r="25" spans="2:7" x14ac:dyDescent="0.25">
      <c r="B25" s="60" t="s">
        <v>95</v>
      </c>
      <c r="C25" s="61"/>
      <c r="D25" s="61">
        <f>SUMIF(B6:B20,"BELANJA BPU",D6:D20)</f>
        <v>0</v>
      </c>
      <c r="E25" s="34"/>
    </row>
    <row r="26" spans="2:7" x14ac:dyDescent="0.25">
      <c r="B26" s="60" t="s">
        <v>82</v>
      </c>
      <c r="C26" s="61"/>
      <c r="D26" s="61">
        <f>SUMIF(B5:B20,"TARIK TUNAI",D5:D20)</f>
        <v>0</v>
      </c>
      <c r="E26" s="34"/>
    </row>
    <row r="27" spans="2:7" x14ac:dyDescent="0.25">
      <c r="B27" s="60" t="s">
        <v>101</v>
      </c>
      <c r="C27" s="61"/>
      <c r="D27" s="61">
        <f>D23-D26-D24</f>
        <v>82560000</v>
      </c>
      <c r="E27" s="34"/>
    </row>
    <row r="28" spans="2:7" x14ac:dyDescent="0.25">
      <c r="B28" s="60" t="s">
        <v>103</v>
      </c>
      <c r="C28" s="61"/>
      <c r="D28" s="61">
        <f>MAX(0,D26-D25)</f>
        <v>0</v>
      </c>
      <c r="E28" s="34"/>
    </row>
    <row r="29" spans="2:7" x14ac:dyDescent="0.25">
      <c r="B29" s="60" t="s">
        <v>104</v>
      </c>
      <c r="C29" s="61"/>
      <c r="D29" s="61">
        <f>D27+D28</f>
        <v>82560000</v>
      </c>
      <c r="E29" s="34"/>
    </row>
    <row r="30" spans="2:7" x14ac:dyDescent="0.25">
      <c r="B30" s="60" t="s">
        <v>105</v>
      </c>
      <c r="C30" s="61"/>
      <c r="D30" s="61">
        <f>D24+D25</f>
        <v>0</v>
      </c>
      <c r="E30" s="34"/>
    </row>
    <row r="31" spans="2:7" x14ac:dyDescent="0.25">
      <c r="B31" s="60" t="s">
        <v>97</v>
      </c>
      <c r="C31" s="61"/>
      <c r="D31" s="61">
        <f>SUMIF(B5:B20,"TERIMA PAJAK",C5:C20)</f>
        <v>0</v>
      </c>
      <c r="E31" s="34"/>
    </row>
    <row r="32" spans="2:7" x14ac:dyDescent="0.25">
      <c r="B32" s="60" t="s">
        <v>98</v>
      </c>
      <c r="C32" s="61"/>
      <c r="D32" s="61">
        <f>SUMIF(B5:B20,"SETOR PAJAK",D5:D20)</f>
        <v>0</v>
      </c>
      <c r="E32" s="34"/>
    </row>
    <row r="33" spans="2:5" x14ac:dyDescent="0.25">
      <c r="C33" s="34"/>
      <c r="D33" s="34"/>
      <c r="E33" s="34"/>
    </row>
    <row r="34" spans="2:5" x14ac:dyDescent="0.25">
      <c r="C34" s="34"/>
      <c r="D34" s="34"/>
      <c r="E34" s="34"/>
    </row>
    <row r="35" spans="2:5" x14ac:dyDescent="0.25">
      <c r="B35" s="57" t="s">
        <v>56</v>
      </c>
      <c r="C35" s="57" t="s">
        <v>93</v>
      </c>
      <c r="D35" s="57" t="s">
        <v>70</v>
      </c>
      <c r="E35" s="57" t="s">
        <v>89</v>
      </c>
    </row>
    <row r="36" spans="2:5" x14ac:dyDescent="0.25">
      <c r="B36" s="58" t="s">
        <v>106</v>
      </c>
      <c r="C36" s="59"/>
      <c r="D36" s="59"/>
      <c r="E36" s="59"/>
    </row>
    <row r="37" spans="2:5" x14ac:dyDescent="0.25">
      <c r="B37" s="60" t="s">
        <v>107</v>
      </c>
      <c r="C37" s="61">
        <f>D27</f>
        <v>82560000</v>
      </c>
      <c r="D37" s="61"/>
      <c r="E37" s="61">
        <f>C37</f>
        <v>82560000</v>
      </c>
    </row>
    <row r="38" spans="2:5" x14ac:dyDescent="0.25">
      <c r="B38" s="60" t="s">
        <v>108</v>
      </c>
      <c r="C38" s="61">
        <f>D28</f>
        <v>0</v>
      </c>
      <c r="D38" s="61"/>
      <c r="E38" s="61">
        <f>E37+C38-D38</f>
        <v>82560000</v>
      </c>
    </row>
    <row r="39" spans="2:5" x14ac:dyDescent="0.25">
      <c r="B39" s="60"/>
      <c r="C39" s="61"/>
      <c r="D39" s="61"/>
      <c r="E39" s="61">
        <f t="shared" ref="E39:E54" si="1">E38+C39-D39</f>
        <v>82560000</v>
      </c>
    </row>
    <row r="40" spans="2:5" x14ac:dyDescent="0.25">
      <c r="B40" s="60" t="s">
        <v>92</v>
      </c>
      <c r="C40" s="61"/>
      <c r="D40" s="61">
        <v>12410000</v>
      </c>
      <c r="E40" s="61">
        <f t="shared" si="1"/>
        <v>70150000</v>
      </c>
    </row>
    <row r="41" spans="2:5" x14ac:dyDescent="0.25">
      <c r="B41" s="60" t="s">
        <v>92</v>
      </c>
      <c r="C41" s="61"/>
      <c r="D41" s="61"/>
      <c r="E41" s="61">
        <f t="shared" si="1"/>
        <v>70150000</v>
      </c>
    </row>
    <row r="42" spans="2:5" x14ac:dyDescent="0.25">
      <c r="B42" s="60" t="s">
        <v>92</v>
      </c>
      <c r="C42" s="61"/>
      <c r="D42" s="61"/>
      <c r="E42" s="61">
        <f t="shared" si="1"/>
        <v>70150000</v>
      </c>
    </row>
    <row r="43" spans="2:5" x14ac:dyDescent="0.25">
      <c r="B43" s="60" t="s">
        <v>95</v>
      </c>
      <c r="C43" s="61"/>
      <c r="D43" s="61">
        <v>4420000</v>
      </c>
      <c r="E43" s="61">
        <f t="shared" si="1"/>
        <v>65730000</v>
      </c>
    </row>
    <row r="44" spans="2:5" x14ac:dyDescent="0.25">
      <c r="B44" s="60" t="s">
        <v>94</v>
      </c>
      <c r="C44" s="61"/>
      <c r="D44" s="61">
        <v>21680000</v>
      </c>
      <c r="E44" s="61">
        <f t="shared" si="1"/>
        <v>44050000</v>
      </c>
    </row>
    <row r="45" spans="2:5" x14ac:dyDescent="0.25">
      <c r="B45" s="60" t="s">
        <v>97</v>
      </c>
      <c r="C45" s="61">
        <v>168000</v>
      </c>
      <c r="D45" s="61"/>
      <c r="E45" s="61" t="e">
        <f>E44+C45-#REF!</f>
        <v>#REF!</v>
      </c>
    </row>
    <row r="46" spans="2:5" x14ac:dyDescent="0.25">
      <c r="B46" s="60" t="s">
        <v>98</v>
      </c>
      <c r="C46" s="61"/>
      <c r="D46" s="61">
        <v>168000</v>
      </c>
      <c r="E46" s="61" t="e">
        <f>E45+C46-D45</f>
        <v>#REF!</v>
      </c>
    </row>
    <row r="47" spans="2:5" x14ac:dyDescent="0.25">
      <c r="B47" s="60"/>
      <c r="C47" s="61"/>
      <c r="E47" s="61" t="e">
        <f>E46+C47-D46</f>
        <v>#REF!</v>
      </c>
    </row>
    <row r="48" spans="2:5" x14ac:dyDescent="0.25">
      <c r="B48" s="60"/>
      <c r="C48" s="61"/>
      <c r="D48" s="61"/>
      <c r="E48" s="61" t="e">
        <f t="shared" si="1"/>
        <v>#REF!</v>
      </c>
    </row>
    <row r="49" spans="2:5" hidden="1" x14ac:dyDescent="0.25">
      <c r="B49" s="60"/>
      <c r="C49" s="61"/>
      <c r="D49" s="61"/>
      <c r="E49" s="61" t="e">
        <f t="shared" si="1"/>
        <v>#REF!</v>
      </c>
    </row>
    <row r="50" spans="2:5" hidden="1" x14ac:dyDescent="0.25">
      <c r="B50" s="60"/>
      <c r="C50" s="61"/>
      <c r="D50" s="61"/>
      <c r="E50" s="61" t="e">
        <f t="shared" si="1"/>
        <v>#REF!</v>
      </c>
    </row>
    <row r="51" spans="2:5" hidden="1" x14ac:dyDescent="0.25">
      <c r="B51" s="60"/>
      <c r="C51" s="61"/>
      <c r="D51" s="61"/>
      <c r="E51" s="61" t="e">
        <f t="shared" si="1"/>
        <v>#REF!</v>
      </c>
    </row>
    <row r="52" spans="2:5" hidden="1" x14ac:dyDescent="0.25">
      <c r="B52" s="60"/>
      <c r="C52" s="61"/>
      <c r="D52" s="61"/>
      <c r="E52" s="61" t="e">
        <f t="shared" si="1"/>
        <v>#REF!</v>
      </c>
    </row>
    <row r="53" spans="2:5" hidden="1" x14ac:dyDescent="0.25">
      <c r="B53" s="60"/>
      <c r="C53" s="61"/>
      <c r="D53" s="61"/>
      <c r="E53" s="61" t="e">
        <f t="shared" si="1"/>
        <v>#REF!</v>
      </c>
    </row>
    <row r="54" spans="2:5" x14ac:dyDescent="0.25">
      <c r="B54" s="60"/>
      <c r="C54" s="61"/>
      <c r="D54" s="61"/>
      <c r="E54" s="61" t="e">
        <f t="shared" si="1"/>
        <v>#REF!</v>
      </c>
    </row>
    <row r="55" spans="2:5" x14ac:dyDescent="0.25">
      <c r="B55" s="60" t="s">
        <v>100</v>
      </c>
      <c r="C55" s="61">
        <f>SUM(C37:C38)</f>
        <v>82560000</v>
      </c>
      <c r="D55" s="61">
        <f>SUM(D40:D44)</f>
        <v>38510000</v>
      </c>
      <c r="E55" s="61">
        <f>C55-D55</f>
        <v>44050000</v>
      </c>
    </row>
    <row r="56" spans="2:5" x14ac:dyDescent="0.25">
      <c r="C56" s="34"/>
      <c r="D56" s="34"/>
      <c r="E56" s="34"/>
    </row>
    <row r="57" spans="2:5" x14ac:dyDescent="0.25">
      <c r="B57" s="60" t="s">
        <v>109</v>
      </c>
      <c r="C57" s="61"/>
      <c r="D57" s="61">
        <f>C55</f>
        <v>82560000</v>
      </c>
      <c r="E57" s="34"/>
    </row>
    <row r="58" spans="2:5" x14ac:dyDescent="0.25">
      <c r="B58" s="60" t="s">
        <v>94</v>
      </c>
      <c r="C58" s="61"/>
      <c r="D58" s="61">
        <f>SUMIF(B40:B54,"BELANJA BNU",D40:D54)</f>
        <v>21680000</v>
      </c>
      <c r="E58" s="34"/>
    </row>
    <row r="59" spans="2:5" x14ac:dyDescent="0.25">
      <c r="B59" s="60" t="s">
        <v>95</v>
      </c>
      <c r="C59" s="61"/>
      <c r="D59" s="61">
        <f>SUMIF(B40:B54,"BELANJA BPU",D40:D54)</f>
        <v>4420000</v>
      </c>
      <c r="E59" s="34"/>
    </row>
    <row r="60" spans="2:5" x14ac:dyDescent="0.25">
      <c r="B60" s="60" t="s">
        <v>82</v>
      </c>
      <c r="C60" s="61"/>
      <c r="D60" s="61">
        <f>SUMIF(B39:B54,"TARIK TUNAI",D39:D54)</f>
        <v>12410000</v>
      </c>
      <c r="E60" s="34"/>
    </row>
    <row r="61" spans="2:5" x14ac:dyDescent="0.25">
      <c r="B61" s="60" t="s">
        <v>101</v>
      </c>
      <c r="C61" s="61"/>
      <c r="D61" s="61">
        <f>D27-D58-D60</f>
        <v>48470000</v>
      </c>
      <c r="E61" s="34"/>
    </row>
    <row r="62" spans="2:5" x14ac:dyDescent="0.25">
      <c r="B62" s="60" t="s">
        <v>103</v>
      </c>
      <c r="C62" s="61"/>
      <c r="D62" s="61">
        <f>MAX(0,D60-D59)</f>
        <v>7990000</v>
      </c>
      <c r="E62" s="34"/>
    </row>
    <row r="63" spans="2:5" x14ac:dyDescent="0.25">
      <c r="B63" s="60" t="s">
        <v>104</v>
      </c>
      <c r="C63" s="61"/>
      <c r="D63" s="61">
        <f>D61+D62</f>
        <v>56460000</v>
      </c>
      <c r="E63" s="34"/>
    </row>
    <row r="64" spans="2:5" x14ac:dyDescent="0.25">
      <c r="B64" s="60" t="s">
        <v>105</v>
      </c>
      <c r="C64" s="61"/>
      <c r="D64" s="61">
        <f>D58+D59</f>
        <v>26100000</v>
      </c>
      <c r="E64" s="34"/>
    </row>
    <row r="65" spans="2:5" x14ac:dyDescent="0.25">
      <c r="B65" s="60" t="s">
        <v>97</v>
      </c>
      <c r="C65" s="61"/>
      <c r="D65" s="61">
        <f>SUMIF(B39:B54,"TERIMA PAJAK",C39:C54)</f>
        <v>168000</v>
      </c>
      <c r="E65" s="34"/>
    </row>
    <row r="66" spans="2:5" x14ac:dyDescent="0.25">
      <c r="B66" s="60" t="s">
        <v>98</v>
      </c>
      <c r="C66" s="61"/>
      <c r="D66" s="61">
        <f>SUMIF(B39:B54,"SETOR PAJAK",D39:D54)</f>
        <v>168000</v>
      </c>
      <c r="E66" s="34"/>
    </row>
    <row r="67" spans="2:5" x14ac:dyDescent="0.25">
      <c r="C67" s="34"/>
      <c r="D67" s="34"/>
      <c r="E67" s="34"/>
    </row>
    <row r="68" spans="2:5" x14ac:dyDescent="0.25">
      <c r="C68" s="34"/>
      <c r="D68" s="34"/>
      <c r="E68" s="34"/>
    </row>
    <row r="69" spans="2:5" x14ac:dyDescent="0.25">
      <c r="B69" s="57" t="s">
        <v>56</v>
      </c>
      <c r="C69" s="57" t="s">
        <v>93</v>
      </c>
      <c r="D69" s="57" t="s">
        <v>70</v>
      </c>
      <c r="E69" s="57" t="s">
        <v>89</v>
      </c>
    </row>
    <row r="70" spans="2:5" x14ac:dyDescent="0.25">
      <c r="B70" s="58" t="s">
        <v>110</v>
      </c>
      <c r="C70" s="59"/>
      <c r="D70" s="59"/>
      <c r="E70" s="59"/>
    </row>
    <row r="71" spans="2:5" x14ac:dyDescent="0.25">
      <c r="B71" s="60" t="s">
        <v>111</v>
      </c>
      <c r="C71" s="61">
        <f>D61</f>
        <v>48470000</v>
      </c>
      <c r="D71" s="61"/>
      <c r="E71" s="61">
        <f>C71</f>
        <v>48470000</v>
      </c>
    </row>
    <row r="72" spans="2:5" x14ac:dyDescent="0.25">
      <c r="B72" s="60" t="s">
        <v>112</v>
      </c>
      <c r="C72" s="61">
        <f>D62</f>
        <v>7990000</v>
      </c>
      <c r="D72" s="61"/>
      <c r="E72" s="61">
        <f>E71+C72-D72</f>
        <v>56460000</v>
      </c>
    </row>
    <row r="73" spans="2:5" x14ac:dyDescent="0.25">
      <c r="B73" s="60"/>
      <c r="C73" s="61"/>
      <c r="D73" s="61"/>
      <c r="E73" s="61">
        <f t="shared" ref="E73:E88" si="2">E72+C73-D73</f>
        <v>56460000</v>
      </c>
    </row>
    <row r="74" spans="2:5" x14ac:dyDescent="0.25">
      <c r="B74" s="60" t="s">
        <v>92</v>
      </c>
      <c r="C74" s="61"/>
      <c r="D74" s="61"/>
      <c r="E74" s="61">
        <f t="shared" si="2"/>
        <v>56460000</v>
      </c>
    </row>
    <row r="75" spans="2:5" x14ac:dyDescent="0.25">
      <c r="B75" s="60" t="s">
        <v>92</v>
      </c>
      <c r="C75" s="61"/>
      <c r="D75" s="61"/>
      <c r="E75" s="61">
        <f t="shared" si="2"/>
        <v>56460000</v>
      </c>
    </row>
    <row r="76" spans="2:5" x14ac:dyDescent="0.25">
      <c r="B76" s="60" t="s">
        <v>92</v>
      </c>
      <c r="C76" s="61"/>
      <c r="D76" s="61"/>
      <c r="E76" s="61">
        <f t="shared" si="2"/>
        <v>56460000</v>
      </c>
    </row>
    <row r="77" spans="2:5" x14ac:dyDescent="0.25">
      <c r="B77" s="60" t="s">
        <v>95</v>
      </c>
      <c r="C77" s="61"/>
      <c r="D77" s="61">
        <v>1650000</v>
      </c>
      <c r="E77" s="61">
        <f t="shared" si="2"/>
        <v>54810000</v>
      </c>
    </row>
    <row r="78" spans="2:5" x14ac:dyDescent="0.25">
      <c r="B78" s="60" t="s">
        <v>94</v>
      </c>
      <c r="C78" s="61"/>
      <c r="D78" s="61"/>
      <c r="E78" s="61">
        <f t="shared" si="2"/>
        <v>54810000</v>
      </c>
    </row>
    <row r="79" spans="2:5" x14ac:dyDescent="0.25">
      <c r="B79" s="60" t="s">
        <v>97</v>
      </c>
      <c r="C79" s="61">
        <v>96000</v>
      </c>
      <c r="D79" s="61"/>
      <c r="E79" s="61">
        <f t="shared" si="2"/>
        <v>54906000</v>
      </c>
    </row>
    <row r="80" spans="2:5" x14ac:dyDescent="0.25">
      <c r="B80" s="60" t="s">
        <v>98</v>
      </c>
      <c r="C80" s="61"/>
      <c r="D80" s="61">
        <v>96000</v>
      </c>
      <c r="E80" s="61">
        <f t="shared" si="2"/>
        <v>54810000</v>
      </c>
    </row>
    <row r="81" spans="2:5" x14ac:dyDescent="0.25">
      <c r="B81" s="60"/>
      <c r="C81" s="61"/>
      <c r="D81" s="61"/>
      <c r="E81" s="61">
        <f t="shared" si="2"/>
        <v>54810000</v>
      </c>
    </row>
    <row r="82" spans="2:5" x14ac:dyDescent="0.25">
      <c r="B82" s="60"/>
      <c r="C82" s="61"/>
      <c r="D82" s="61"/>
      <c r="E82" s="61">
        <f t="shared" si="2"/>
        <v>54810000</v>
      </c>
    </row>
    <row r="83" spans="2:5" hidden="1" x14ac:dyDescent="0.25">
      <c r="B83" s="60"/>
      <c r="C83" s="61"/>
      <c r="D83" s="61"/>
      <c r="E83" s="61">
        <f t="shared" si="2"/>
        <v>54810000</v>
      </c>
    </row>
    <row r="84" spans="2:5" hidden="1" x14ac:dyDescent="0.25">
      <c r="B84" s="60"/>
      <c r="C84" s="61"/>
      <c r="D84" s="61"/>
      <c r="E84" s="61">
        <f t="shared" si="2"/>
        <v>54810000</v>
      </c>
    </row>
    <row r="85" spans="2:5" hidden="1" x14ac:dyDescent="0.25">
      <c r="B85" s="60"/>
      <c r="C85" s="61"/>
      <c r="D85" s="61"/>
      <c r="E85" s="61">
        <f t="shared" si="2"/>
        <v>54810000</v>
      </c>
    </row>
    <row r="86" spans="2:5" hidden="1" x14ac:dyDescent="0.25">
      <c r="B86" s="60"/>
      <c r="C86" s="61"/>
      <c r="D86" s="61"/>
      <c r="E86" s="61">
        <f t="shared" si="2"/>
        <v>54810000</v>
      </c>
    </row>
    <row r="87" spans="2:5" hidden="1" x14ac:dyDescent="0.25">
      <c r="B87" s="60"/>
      <c r="C87" s="61"/>
      <c r="D87" s="61"/>
      <c r="E87" s="61">
        <f t="shared" si="2"/>
        <v>54810000</v>
      </c>
    </row>
    <row r="88" spans="2:5" x14ac:dyDescent="0.25">
      <c r="B88" s="60"/>
      <c r="C88" s="61"/>
      <c r="D88" s="61"/>
      <c r="E88" s="61">
        <f t="shared" si="2"/>
        <v>54810000</v>
      </c>
    </row>
    <row r="89" spans="2:5" x14ac:dyDescent="0.25">
      <c r="B89" s="60" t="s">
        <v>100</v>
      </c>
      <c r="C89" s="61">
        <f>SUM(C71:C72)</f>
        <v>56460000</v>
      </c>
      <c r="D89" s="61">
        <f>SUM(D74:D78)</f>
        <v>1650000</v>
      </c>
      <c r="E89" s="61">
        <f>C89-D89</f>
        <v>54810000</v>
      </c>
    </row>
    <row r="90" spans="2:5" x14ac:dyDescent="0.25">
      <c r="C90" s="34"/>
      <c r="D90" s="34"/>
      <c r="E90" s="34"/>
    </row>
    <row r="91" spans="2:5" x14ac:dyDescent="0.25">
      <c r="B91" s="60" t="s">
        <v>109</v>
      </c>
      <c r="C91" s="61"/>
      <c r="D91" s="61">
        <f>C89</f>
        <v>56460000</v>
      </c>
      <c r="E91" s="34"/>
    </row>
    <row r="92" spans="2:5" x14ac:dyDescent="0.25">
      <c r="B92" s="60" t="s">
        <v>94</v>
      </c>
      <c r="C92" s="61"/>
      <c r="D92" s="61">
        <f>SUMIF(B74:B88,"BELANJA BNU",D74:D88)</f>
        <v>0</v>
      </c>
      <c r="E92" s="34"/>
    </row>
    <row r="93" spans="2:5" x14ac:dyDescent="0.25">
      <c r="B93" s="60" t="s">
        <v>95</v>
      </c>
      <c r="C93" s="61"/>
      <c r="D93" s="61">
        <f>SUMIF(B74:B88,"BELANJA BPU",D74:D88)</f>
        <v>1650000</v>
      </c>
      <c r="E93" s="34"/>
    </row>
    <row r="94" spans="2:5" x14ac:dyDescent="0.25">
      <c r="B94" s="60" t="s">
        <v>82</v>
      </c>
      <c r="C94" s="61"/>
      <c r="D94" s="61">
        <f>SUMIF(B73:B88,"TARIK TUNAI",D73:D88)</f>
        <v>0</v>
      </c>
      <c r="E94" s="34"/>
    </row>
    <row r="95" spans="2:5" x14ac:dyDescent="0.25">
      <c r="B95" s="60" t="s">
        <v>101</v>
      </c>
      <c r="C95" s="61"/>
      <c r="D95" s="61">
        <f>D61-D92-D94</f>
        <v>48470000</v>
      </c>
      <c r="E95" s="34"/>
    </row>
    <row r="96" spans="2:5" x14ac:dyDescent="0.25">
      <c r="B96" s="60" t="s">
        <v>103</v>
      </c>
      <c r="C96" s="61"/>
      <c r="D96" s="61">
        <f>C72-D89</f>
        <v>6340000</v>
      </c>
      <c r="E96" s="34"/>
    </row>
    <row r="97" spans="2:5" x14ac:dyDescent="0.25">
      <c r="B97" s="60" t="s">
        <v>104</v>
      </c>
      <c r="C97" s="61"/>
      <c r="D97" s="61">
        <f>D95+D96</f>
        <v>54810000</v>
      </c>
      <c r="E97" s="34"/>
    </row>
    <row r="98" spans="2:5" x14ac:dyDescent="0.25">
      <c r="B98" s="60" t="s">
        <v>105</v>
      </c>
      <c r="C98" s="61"/>
      <c r="D98" s="61">
        <f>D92+D93</f>
        <v>1650000</v>
      </c>
      <c r="E98" s="34"/>
    </row>
    <row r="99" spans="2:5" x14ac:dyDescent="0.25">
      <c r="B99" s="60" t="s">
        <v>97</v>
      </c>
      <c r="C99" s="61"/>
      <c r="D99" s="61">
        <f>SUMIF(B73:B88,"TERIMA PAJAK",C73:C88)</f>
        <v>96000</v>
      </c>
      <c r="E99" s="34"/>
    </row>
    <row r="100" spans="2:5" x14ac:dyDescent="0.25">
      <c r="B100" s="60" t="s">
        <v>98</v>
      </c>
      <c r="C100" s="61"/>
      <c r="D100" s="61">
        <f>SUMIF(B73:B88,"SETOR PAJAK",D73:D88)</f>
        <v>96000</v>
      </c>
      <c r="E100" s="34"/>
    </row>
    <row r="101" spans="2:5" x14ac:dyDescent="0.25">
      <c r="C101" s="34"/>
      <c r="D101" s="34"/>
      <c r="E101" s="34"/>
    </row>
    <row r="102" spans="2:5" x14ac:dyDescent="0.25">
      <c r="C102" s="34"/>
      <c r="D102" s="34"/>
      <c r="E102" s="34"/>
    </row>
    <row r="103" spans="2:5" x14ac:dyDescent="0.25">
      <c r="B103" s="57" t="s">
        <v>56</v>
      </c>
      <c r="C103" s="57" t="s">
        <v>93</v>
      </c>
      <c r="D103" s="57" t="s">
        <v>70</v>
      </c>
      <c r="E103" s="57" t="s">
        <v>89</v>
      </c>
    </row>
    <row r="104" spans="2:5" x14ac:dyDescent="0.25">
      <c r="B104" s="58" t="s">
        <v>115</v>
      </c>
      <c r="C104" s="59"/>
      <c r="D104" s="59"/>
      <c r="E104" s="59"/>
    </row>
    <row r="105" spans="2:5" x14ac:dyDescent="0.25">
      <c r="B105" s="60" t="s">
        <v>113</v>
      </c>
      <c r="C105" s="61">
        <f>D95</f>
        <v>48470000</v>
      </c>
      <c r="D105" s="61"/>
      <c r="E105" s="61">
        <f>C105</f>
        <v>48470000</v>
      </c>
    </row>
    <row r="106" spans="2:5" x14ac:dyDescent="0.25">
      <c r="B106" s="60" t="s">
        <v>114</v>
      </c>
      <c r="C106" s="61">
        <f>D96</f>
        <v>6340000</v>
      </c>
      <c r="D106" s="61"/>
      <c r="E106" s="61">
        <f>E105+C106-D106</f>
        <v>54810000</v>
      </c>
    </row>
    <row r="107" spans="2:5" x14ac:dyDescent="0.25">
      <c r="B107" s="60"/>
      <c r="C107" s="61"/>
      <c r="D107" s="61"/>
      <c r="E107" s="61">
        <f t="shared" ref="E107:E122" si="3">E106+C107-D107</f>
        <v>54810000</v>
      </c>
    </row>
    <row r="108" spans="2:5" x14ac:dyDescent="0.25">
      <c r="B108" s="60" t="s">
        <v>92</v>
      </c>
      <c r="C108" s="61"/>
      <c r="D108" s="61"/>
      <c r="E108" s="61">
        <f t="shared" si="3"/>
        <v>54810000</v>
      </c>
    </row>
    <row r="109" spans="2:5" x14ac:dyDescent="0.25">
      <c r="B109" s="60" t="s">
        <v>92</v>
      </c>
      <c r="C109" s="61"/>
      <c r="D109" s="61"/>
      <c r="E109" s="61">
        <f t="shared" si="3"/>
        <v>54810000</v>
      </c>
    </row>
    <row r="110" spans="2:5" x14ac:dyDescent="0.25">
      <c r="B110" s="60" t="s">
        <v>92</v>
      </c>
      <c r="C110" s="61"/>
      <c r="D110" s="61"/>
      <c r="E110" s="61">
        <f t="shared" si="3"/>
        <v>54810000</v>
      </c>
    </row>
    <row r="111" spans="2:5" x14ac:dyDescent="0.25">
      <c r="B111" s="60" t="s">
        <v>95</v>
      </c>
      <c r="C111" s="61"/>
      <c r="D111" s="61">
        <v>2770000</v>
      </c>
      <c r="E111" s="61">
        <f t="shared" si="3"/>
        <v>52040000</v>
      </c>
    </row>
    <row r="112" spans="2:5" x14ac:dyDescent="0.25">
      <c r="B112" s="60" t="s">
        <v>94</v>
      </c>
      <c r="C112" s="61"/>
      <c r="D112" s="61">
        <v>31040000</v>
      </c>
      <c r="E112" s="61">
        <f t="shared" si="3"/>
        <v>21000000</v>
      </c>
    </row>
    <row r="113" spans="2:5" x14ac:dyDescent="0.25">
      <c r="B113" s="60" t="s">
        <v>97</v>
      </c>
      <c r="C113" s="61">
        <v>168000</v>
      </c>
      <c r="D113" s="61"/>
      <c r="E113" s="61">
        <f t="shared" si="3"/>
        <v>21168000</v>
      </c>
    </row>
    <row r="114" spans="2:5" x14ac:dyDescent="0.25">
      <c r="B114" s="60" t="s">
        <v>98</v>
      </c>
      <c r="C114" s="61"/>
      <c r="D114" s="61">
        <v>168000</v>
      </c>
      <c r="E114" s="61">
        <f t="shared" si="3"/>
        <v>21000000</v>
      </c>
    </row>
    <row r="115" spans="2:5" x14ac:dyDescent="0.25">
      <c r="B115" s="60"/>
      <c r="C115" s="61"/>
      <c r="D115" s="61"/>
      <c r="E115" s="61">
        <f t="shared" si="3"/>
        <v>21000000</v>
      </c>
    </row>
    <row r="116" spans="2:5" x14ac:dyDescent="0.25">
      <c r="B116" s="60"/>
      <c r="C116" s="61"/>
      <c r="D116" s="61"/>
      <c r="E116" s="61">
        <f t="shared" si="3"/>
        <v>21000000</v>
      </c>
    </row>
    <row r="117" spans="2:5" x14ac:dyDescent="0.25">
      <c r="B117" s="60"/>
      <c r="C117" s="61"/>
      <c r="D117" s="61"/>
      <c r="E117" s="61">
        <f t="shared" si="3"/>
        <v>21000000</v>
      </c>
    </row>
    <row r="118" spans="2:5" x14ac:dyDescent="0.25">
      <c r="B118" s="60"/>
      <c r="C118" s="61"/>
      <c r="D118" s="61"/>
      <c r="E118" s="61">
        <f t="shared" si="3"/>
        <v>21000000</v>
      </c>
    </row>
    <row r="119" spans="2:5" x14ac:dyDescent="0.25">
      <c r="B119" s="60"/>
      <c r="C119" s="61"/>
      <c r="D119" s="61"/>
      <c r="E119" s="61">
        <f t="shared" si="3"/>
        <v>21000000</v>
      </c>
    </row>
    <row r="120" spans="2:5" x14ac:dyDescent="0.25">
      <c r="B120" s="60"/>
      <c r="C120" s="61"/>
      <c r="D120" s="61"/>
      <c r="E120" s="61">
        <f t="shared" si="3"/>
        <v>21000000</v>
      </c>
    </row>
    <row r="121" spans="2:5" x14ac:dyDescent="0.25">
      <c r="B121" s="60"/>
      <c r="C121" s="61"/>
      <c r="D121" s="61"/>
      <c r="E121" s="61">
        <f t="shared" si="3"/>
        <v>21000000</v>
      </c>
    </row>
    <row r="122" spans="2:5" x14ac:dyDescent="0.25">
      <c r="B122" s="60"/>
      <c r="C122" s="61"/>
      <c r="D122" s="61"/>
      <c r="E122" s="61">
        <f t="shared" si="3"/>
        <v>21000000</v>
      </c>
    </row>
    <row r="123" spans="2:5" x14ac:dyDescent="0.25">
      <c r="B123" s="60" t="s">
        <v>100</v>
      </c>
      <c r="C123" s="61">
        <f>SUM(C105:C106)</f>
        <v>54810000</v>
      </c>
      <c r="D123" s="61">
        <f>SUM(D108:D112)</f>
        <v>33810000</v>
      </c>
      <c r="E123" s="61">
        <f>C123-D123</f>
        <v>21000000</v>
      </c>
    </row>
    <row r="124" spans="2:5" x14ac:dyDescent="0.25">
      <c r="C124" s="34"/>
      <c r="D124" s="34"/>
      <c r="E124" s="34"/>
    </row>
    <row r="125" spans="2:5" x14ac:dyDescent="0.25">
      <c r="B125" s="60" t="s">
        <v>109</v>
      </c>
      <c r="C125" s="61"/>
      <c r="D125" s="61">
        <f>C123</f>
        <v>54810000</v>
      </c>
      <c r="E125" s="34"/>
    </row>
    <row r="126" spans="2:5" x14ac:dyDescent="0.25">
      <c r="B126" s="60" t="s">
        <v>94</v>
      </c>
      <c r="C126" s="61"/>
      <c r="D126" s="61">
        <f>SUMIF(B108:B122,"BELANJA BNU",D108:D122)</f>
        <v>31040000</v>
      </c>
      <c r="E126" s="34"/>
    </row>
    <row r="127" spans="2:5" x14ac:dyDescent="0.25">
      <c r="B127" s="60" t="s">
        <v>95</v>
      </c>
      <c r="C127" s="61"/>
      <c r="D127" s="61">
        <f>SUMIF(B108:B122,"BELANJA BPU",D108:D122)</f>
        <v>2770000</v>
      </c>
      <c r="E127" s="34"/>
    </row>
    <row r="128" spans="2:5" x14ac:dyDescent="0.25">
      <c r="B128" s="60" t="s">
        <v>82</v>
      </c>
      <c r="C128" s="61"/>
      <c r="D128" s="61">
        <f>SUMIF(B107:B122,"TARIK TUNAI",D107:D122)</f>
        <v>0</v>
      </c>
      <c r="E128" s="34"/>
    </row>
    <row r="129" spans="2:5" x14ac:dyDescent="0.25">
      <c r="B129" s="60" t="s">
        <v>101</v>
      </c>
      <c r="C129" s="61"/>
      <c r="D129" s="61">
        <f>D95-D126-D128</f>
        <v>17430000</v>
      </c>
      <c r="E129" s="34"/>
    </row>
    <row r="130" spans="2:5" x14ac:dyDescent="0.25">
      <c r="B130" s="60" t="s">
        <v>103</v>
      </c>
      <c r="C130" s="61"/>
      <c r="D130" s="61">
        <f>C106-D111</f>
        <v>3570000</v>
      </c>
      <c r="E130" s="34"/>
    </row>
    <row r="131" spans="2:5" x14ac:dyDescent="0.25">
      <c r="B131" s="60" t="s">
        <v>104</v>
      </c>
      <c r="C131" s="61"/>
      <c r="D131" s="61">
        <f>D129+D130</f>
        <v>21000000</v>
      </c>
      <c r="E131" s="34"/>
    </row>
    <row r="132" spans="2:5" x14ac:dyDescent="0.25">
      <c r="B132" s="60" t="s">
        <v>105</v>
      </c>
      <c r="C132" s="61"/>
      <c r="D132" s="61">
        <f>D126+D127</f>
        <v>33810000</v>
      </c>
      <c r="E132" s="34"/>
    </row>
    <row r="133" spans="2:5" x14ac:dyDescent="0.25">
      <c r="B133" s="60" t="s">
        <v>97</v>
      </c>
      <c r="C133" s="61"/>
      <c r="D133" s="61">
        <f>SUMIF(B107:B122,"TERIMA PAJAK",C107:C122)</f>
        <v>168000</v>
      </c>
      <c r="E133" s="34"/>
    </row>
    <row r="134" spans="2:5" x14ac:dyDescent="0.25">
      <c r="B134" s="60" t="s">
        <v>98</v>
      </c>
      <c r="C134" s="61"/>
      <c r="D134" s="61">
        <f>SUMIF(B107:B122,"SETOR PAJAK",D107:D122)</f>
        <v>168000</v>
      </c>
      <c r="E134" s="34"/>
    </row>
    <row r="135" spans="2:5" x14ac:dyDescent="0.25">
      <c r="C135" s="34"/>
      <c r="D135" s="34"/>
      <c r="E135" s="34"/>
    </row>
    <row r="136" spans="2:5" x14ac:dyDescent="0.25">
      <c r="C136" s="34"/>
      <c r="D136" s="34"/>
      <c r="E136" s="34"/>
    </row>
    <row r="137" spans="2:5" x14ac:dyDescent="0.25">
      <c r="B137" s="57" t="s">
        <v>56</v>
      </c>
      <c r="C137" s="57" t="s">
        <v>93</v>
      </c>
      <c r="D137" s="57" t="s">
        <v>70</v>
      </c>
      <c r="E137" s="57" t="s">
        <v>89</v>
      </c>
    </row>
    <row r="138" spans="2:5" x14ac:dyDescent="0.25">
      <c r="B138" s="58" t="s">
        <v>116</v>
      </c>
      <c r="C138" s="59"/>
      <c r="D138" s="59"/>
      <c r="E138" s="59"/>
    </row>
    <row r="139" spans="2:5" x14ac:dyDescent="0.25">
      <c r="B139" s="60" t="s">
        <v>117</v>
      </c>
      <c r="C139" s="61">
        <f>D129</f>
        <v>17430000</v>
      </c>
      <c r="D139" s="61"/>
      <c r="E139" s="61">
        <f>C139</f>
        <v>17430000</v>
      </c>
    </row>
    <row r="140" spans="2:5" x14ac:dyDescent="0.25">
      <c r="B140" s="60" t="s">
        <v>118</v>
      </c>
      <c r="C140" s="61">
        <f>D130</f>
        <v>3570000</v>
      </c>
      <c r="D140" s="61"/>
      <c r="E140" s="61">
        <f>E139+C140-D140</f>
        <v>21000000</v>
      </c>
    </row>
    <row r="141" spans="2:5" x14ac:dyDescent="0.25">
      <c r="B141" s="60"/>
      <c r="C141" s="61"/>
      <c r="D141" s="61"/>
      <c r="E141" s="61">
        <f t="shared" ref="E141:E156" si="4">E140+C141-D141</f>
        <v>21000000</v>
      </c>
    </row>
    <row r="142" spans="2:5" x14ac:dyDescent="0.25">
      <c r="B142" s="60" t="s">
        <v>92</v>
      </c>
      <c r="C142" s="61"/>
      <c r="D142" s="61"/>
      <c r="E142" s="61">
        <f t="shared" si="4"/>
        <v>21000000</v>
      </c>
    </row>
    <row r="143" spans="2:5" x14ac:dyDescent="0.25">
      <c r="B143" s="60" t="s">
        <v>92</v>
      </c>
      <c r="C143" s="61"/>
      <c r="D143" s="61"/>
      <c r="E143" s="61">
        <f t="shared" si="4"/>
        <v>21000000</v>
      </c>
    </row>
    <row r="144" spans="2:5" x14ac:dyDescent="0.25">
      <c r="B144" s="60" t="s">
        <v>92</v>
      </c>
      <c r="C144" s="61"/>
      <c r="D144" s="61"/>
      <c r="E144" s="61">
        <f t="shared" si="4"/>
        <v>21000000</v>
      </c>
    </row>
    <row r="145" spans="2:5" x14ac:dyDescent="0.25">
      <c r="B145" s="60" t="s">
        <v>95</v>
      </c>
      <c r="C145" s="61"/>
      <c r="D145" s="61">
        <v>1650000</v>
      </c>
      <c r="E145" s="61">
        <f t="shared" si="4"/>
        <v>19350000</v>
      </c>
    </row>
    <row r="146" spans="2:5" x14ac:dyDescent="0.25">
      <c r="B146" s="60" t="s">
        <v>94</v>
      </c>
      <c r="C146" s="61"/>
      <c r="D146" s="61"/>
      <c r="E146" s="61">
        <f t="shared" si="4"/>
        <v>19350000</v>
      </c>
    </row>
    <row r="147" spans="2:5" x14ac:dyDescent="0.25">
      <c r="B147" s="60" t="s">
        <v>97</v>
      </c>
      <c r="C147" s="61">
        <v>24000</v>
      </c>
      <c r="D147" s="61"/>
      <c r="E147" s="61">
        <f t="shared" si="4"/>
        <v>19374000</v>
      </c>
    </row>
    <row r="148" spans="2:5" x14ac:dyDescent="0.25">
      <c r="B148" s="60" t="s">
        <v>98</v>
      </c>
      <c r="C148" s="61"/>
      <c r="D148" s="61">
        <v>24000</v>
      </c>
      <c r="E148" s="61">
        <f t="shared" si="4"/>
        <v>19350000</v>
      </c>
    </row>
    <row r="149" spans="2:5" x14ac:dyDescent="0.25">
      <c r="B149" s="60"/>
      <c r="C149" s="61"/>
      <c r="D149" s="61"/>
      <c r="E149" s="61">
        <f t="shared" si="4"/>
        <v>19350000</v>
      </c>
    </row>
    <row r="150" spans="2:5" x14ac:dyDescent="0.25">
      <c r="B150" s="60"/>
      <c r="C150" s="61"/>
      <c r="D150" s="61"/>
      <c r="E150" s="61">
        <f t="shared" si="4"/>
        <v>19350000</v>
      </c>
    </row>
    <row r="151" spans="2:5" hidden="1" x14ac:dyDescent="0.25">
      <c r="B151" s="60"/>
      <c r="C151" s="61"/>
      <c r="D151" s="61"/>
      <c r="E151" s="61">
        <f t="shared" si="4"/>
        <v>19350000</v>
      </c>
    </row>
    <row r="152" spans="2:5" hidden="1" x14ac:dyDescent="0.25">
      <c r="B152" s="60"/>
      <c r="C152" s="61"/>
      <c r="D152" s="61"/>
      <c r="E152" s="61">
        <f t="shared" si="4"/>
        <v>19350000</v>
      </c>
    </row>
    <row r="153" spans="2:5" hidden="1" x14ac:dyDescent="0.25">
      <c r="B153" s="60"/>
      <c r="C153" s="61"/>
      <c r="D153" s="61"/>
      <c r="E153" s="61">
        <f t="shared" si="4"/>
        <v>19350000</v>
      </c>
    </row>
    <row r="154" spans="2:5" hidden="1" x14ac:dyDescent="0.25">
      <c r="B154" s="60"/>
      <c r="C154" s="61"/>
      <c r="D154" s="61"/>
      <c r="E154" s="61">
        <f t="shared" si="4"/>
        <v>19350000</v>
      </c>
    </row>
    <row r="155" spans="2:5" hidden="1" x14ac:dyDescent="0.25">
      <c r="B155" s="60"/>
      <c r="C155" s="61"/>
      <c r="D155" s="61"/>
      <c r="E155" s="61">
        <f t="shared" si="4"/>
        <v>19350000</v>
      </c>
    </row>
    <row r="156" spans="2:5" x14ac:dyDescent="0.25">
      <c r="B156" s="60"/>
      <c r="C156" s="61"/>
      <c r="D156" s="61"/>
      <c r="E156" s="61">
        <f t="shared" si="4"/>
        <v>19350000</v>
      </c>
    </row>
    <row r="157" spans="2:5" x14ac:dyDescent="0.25">
      <c r="B157" s="60" t="s">
        <v>100</v>
      </c>
      <c r="C157" s="61">
        <f>SUM(C139:C140)</f>
        <v>21000000</v>
      </c>
      <c r="D157" s="61">
        <f>SUM(D142:D146)</f>
        <v>1650000</v>
      </c>
      <c r="E157" s="61">
        <f>C157-D157</f>
        <v>19350000</v>
      </c>
    </row>
    <row r="158" spans="2:5" x14ac:dyDescent="0.25">
      <c r="C158" s="34"/>
      <c r="D158" s="34"/>
      <c r="E158" s="34"/>
    </row>
    <row r="159" spans="2:5" x14ac:dyDescent="0.25">
      <c r="B159" s="60" t="s">
        <v>109</v>
      </c>
      <c r="C159" s="61"/>
      <c r="D159" s="61">
        <f>C157</f>
        <v>21000000</v>
      </c>
      <c r="E159" s="34"/>
    </row>
    <row r="160" spans="2:5" x14ac:dyDescent="0.25">
      <c r="B160" s="60" t="s">
        <v>94</v>
      </c>
      <c r="C160" s="61"/>
      <c r="D160" s="61">
        <f>SUMIF(B142:B156,"BELANJA BNU",D142:D156)</f>
        <v>0</v>
      </c>
      <c r="E160" s="34"/>
    </row>
    <row r="161" spans="2:5" x14ac:dyDescent="0.25">
      <c r="B161" s="60" t="s">
        <v>95</v>
      </c>
      <c r="C161" s="61"/>
      <c r="D161" s="61">
        <f>SUMIF(B142:B156,"BELANJA BPU",D142:D156)</f>
        <v>1650000</v>
      </c>
      <c r="E161" s="34"/>
    </row>
    <row r="162" spans="2:5" x14ac:dyDescent="0.25">
      <c r="B162" s="60" t="s">
        <v>82</v>
      </c>
      <c r="C162" s="61"/>
      <c r="D162" s="61">
        <f>SUMIF(B141:B156,"TARIK TUNAI",D141:D156)</f>
        <v>0</v>
      </c>
      <c r="E162" s="34"/>
    </row>
    <row r="163" spans="2:5" x14ac:dyDescent="0.25">
      <c r="B163" s="60" t="s">
        <v>101</v>
      </c>
      <c r="C163" s="61"/>
      <c r="D163" s="61">
        <f>D129-D160-D162</f>
        <v>17430000</v>
      </c>
      <c r="E163" s="34"/>
    </row>
    <row r="164" spans="2:5" x14ac:dyDescent="0.25">
      <c r="B164" s="60" t="s">
        <v>103</v>
      </c>
      <c r="C164" s="61"/>
      <c r="D164" s="61">
        <f>C140-D145</f>
        <v>1920000</v>
      </c>
      <c r="E164" s="34"/>
    </row>
    <row r="165" spans="2:5" x14ac:dyDescent="0.25">
      <c r="B165" s="60" t="s">
        <v>104</v>
      </c>
      <c r="C165" s="61"/>
      <c r="D165" s="61">
        <f>D163+D164</f>
        <v>19350000</v>
      </c>
      <c r="E165" s="34"/>
    </row>
    <row r="166" spans="2:5" x14ac:dyDescent="0.25">
      <c r="B166" s="60" t="s">
        <v>105</v>
      </c>
      <c r="C166" s="61"/>
      <c r="D166" s="61">
        <f>D160+D161</f>
        <v>1650000</v>
      </c>
      <c r="E166" s="34"/>
    </row>
    <row r="167" spans="2:5" x14ac:dyDescent="0.25">
      <c r="B167" s="60" t="s">
        <v>97</v>
      </c>
      <c r="C167" s="61"/>
      <c r="D167" s="61">
        <f>SUMIF(B141:B156,"TERIMA PAJAK",C141:C156)</f>
        <v>24000</v>
      </c>
      <c r="E167" s="34"/>
    </row>
    <row r="168" spans="2:5" x14ac:dyDescent="0.25">
      <c r="B168" s="60" t="s">
        <v>98</v>
      </c>
      <c r="C168" s="61"/>
      <c r="D168" s="61">
        <f>SUMIF(B141:B156,"SETOR PAJAK",D141:D156)</f>
        <v>24000</v>
      </c>
      <c r="E168" s="34"/>
    </row>
    <row r="169" spans="2:5" x14ac:dyDescent="0.25">
      <c r="C169" s="34"/>
      <c r="D169" s="34"/>
      <c r="E169" s="34"/>
    </row>
    <row r="170" spans="2:5" x14ac:dyDescent="0.25">
      <c r="C170" s="34"/>
      <c r="D170" s="34"/>
      <c r="E170" s="34"/>
    </row>
    <row r="171" spans="2:5" x14ac:dyDescent="0.25">
      <c r="B171" s="57" t="s">
        <v>56</v>
      </c>
      <c r="C171" s="57" t="s">
        <v>93</v>
      </c>
      <c r="D171" s="57" t="s">
        <v>70</v>
      </c>
      <c r="E171" s="57" t="s">
        <v>89</v>
      </c>
    </row>
    <row r="172" spans="2:5" x14ac:dyDescent="0.25">
      <c r="B172" s="58" t="s">
        <v>119</v>
      </c>
      <c r="C172" s="59"/>
      <c r="D172" s="59"/>
      <c r="E172" s="59"/>
    </row>
    <row r="173" spans="2:5" x14ac:dyDescent="0.25">
      <c r="B173" s="60" t="s">
        <v>120</v>
      </c>
      <c r="C173" s="61">
        <f>D163</f>
        <v>17430000</v>
      </c>
      <c r="D173" s="61"/>
      <c r="E173" s="61">
        <f>C173</f>
        <v>17430000</v>
      </c>
    </row>
    <row r="174" spans="2:5" x14ac:dyDescent="0.25">
      <c r="B174" s="60" t="s">
        <v>121</v>
      </c>
      <c r="C174" s="61">
        <f>D164</f>
        <v>1920000</v>
      </c>
      <c r="D174" s="61"/>
      <c r="E174" s="61">
        <f>E173+C174-D174</f>
        <v>19350000</v>
      </c>
    </row>
    <row r="175" spans="2:5" x14ac:dyDescent="0.25">
      <c r="B175" s="60"/>
      <c r="C175" s="61"/>
      <c r="D175" s="61"/>
      <c r="E175" s="61">
        <f t="shared" ref="E175:E190" si="5">E174+C175-D175</f>
        <v>19350000</v>
      </c>
    </row>
    <row r="176" spans="2:5" x14ac:dyDescent="0.25">
      <c r="B176" s="60" t="s">
        <v>92</v>
      </c>
      <c r="C176" s="61"/>
      <c r="D176" s="61"/>
      <c r="E176" s="61">
        <f t="shared" si="5"/>
        <v>19350000</v>
      </c>
    </row>
    <row r="177" spans="2:5" x14ac:dyDescent="0.25">
      <c r="B177" s="60" t="s">
        <v>92</v>
      </c>
      <c r="C177" s="61"/>
      <c r="D177" s="61"/>
      <c r="E177" s="61">
        <f t="shared" si="5"/>
        <v>19350000</v>
      </c>
    </row>
    <row r="178" spans="2:5" x14ac:dyDescent="0.25">
      <c r="B178" s="60" t="s">
        <v>92</v>
      </c>
      <c r="C178" s="61"/>
      <c r="D178" s="61"/>
      <c r="E178" s="61">
        <f t="shared" si="5"/>
        <v>19350000</v>
      </c>
    </row>
    <row r="179" spans="2:5" x14ac:dyDescent="0.25">
      <c r="B179" s="60" t="s">
        <v>95</v>
      </c>
      <c r="C179" s="61"/>
      <c r="D179" s="61">
        <v>1920000</v>
      </c>
      <c r="E179" s="61">
        <f t="shared" si="5"/>
        <v>17430000</v>
      </c>
    </row>
    <row r="180" spans="2:5" x14ac:dyDescent="0.25">
      <c r="B180" s="60" t="s">
        <v>94</v>
      </c>
      <c r="C180" s="61"/>
      <c r="D180" s="61">
        <v>17430000</v>
      </c>
      <c r="E180" s="61">
        <f>E179+C180-D180</f>
        <v>0</v>
      </c>
    </row>
    <row r="181" spans="2:5" x14ac:dyDescent="0.25">
      <c r="B181" s="60" t="s">
        <v>97</v>
      </c>
      <c r="C181" s="61">
        <v>210000</v>
      </c>
      <c r="D181" s="61"/>
      <c r="E181" s="61">
        <f t="shared" si="5"/>
        <v>210000</v>
      </c>
    </row>
    <row r="182" spans="2:5" x14ac:dyDescent="0.25">
      <c r="B182" s="60" t="s">
        <v>98</v>
      </c>
      <c r="C182" s="61"/>
      <c r="D182" s="61">
        <v>210000</v>
      </c>
      <c r="E182" s="61">
        <f t="shared" si="5"/>
        <v>0</v>
      </c>
    </row>
    <row r="183" spans="2:5" x14ac:dyDescent="0.25">
      <c r="B183" s="60"/>
      <c r="C183" s="61"/>
      <c r="D183" s="61"/>
      <c r="E183" s="61">
        <f t="shared" si="5"/>
        <v>0</v>
      </c>
    </row>
    <row r="184" spans="2:5" x14ac:dyDescent="0.25">
      <c r="B184" s="60"/>
      <c r="C184" s="61"/>
      <c r="D184" s="61"/>
      <c r="E184" s="61">
        <f t="shared" si="5"/>
        <v>0</v>
      </c>
    </row>
    <row r="185" spans="2:5" x14ac:dyDescent="0.25">
      <c r="B185" s="60"/>
      <c r="C185" s="61"/>
      <c r="D185" s="61"/>
      <c r="E185" s="61">
        <f t="shared" si="5"/>
        <v>0</v>
      </c>
    </row>
    <row r="186" spans="2:5" x14ac:dyDescent="0.25">
      <c r="B186" s="60"/>
      <c r="C186" s="61"/>
      <c r="D186" s="61"/>
      <c r="E186" s="61">
        <f t="shared" si="5"/>
        <v>0</v>
      </c>
    </row>
    <row r="187" spans="2:5" x14ac:dyDescent="0.25">
      <c r="B187" s="60"/>
      <c r="C187" s="61"/>
      <c r="D187" s="61"/>
      <c r="E187" s="61">
        <f t="shared" si="5"/>
        <v>0</v>
      </c>
    </row>
    <row r="188" spans="2:5" x14ac:dyDescent="0.25">
      <c r="B188" s="60"/>
      <c r="C188" s="61"/>
      <c r="D188" s="61"/>
      <c r="E188" s="61">
        <f t="shared" si="5"/>
        <v>0</v>
      </c>
    </row>
    <row r="189" spans="2:5" x14ac:dyDescent="0.25">
      <c r="B189" s="60"/>
      <c r="C189" s="61"/>
      <c r="D189" s="61"/>
      <c r="E189" s="61">
        <f t="shared" si="5"/>
        <v>0</v>
      </c>
    </row>
    <row r="190" spans="2:5" x14ac:dyDescent="0.25">
      <c r="B190" s="60"/>
      <c r="C190" s="61"/>
      <c r="D190" s="61"/>
      <c r="E190" s="61">
        <f t="shared" si="5"/>
        <v>0</v>
      </c>
    </row>
    <row r="191" spans="2:5" x14ac:dyDescent="0.25">
      <c r="B191" s="60" t="s">
        <v>100</v>
      </c>
      <c r="C191" s="61">
        <f>SUM(C173:C174)</f>
        <v>19350000</v>
      </c>
      <c r="D191" s="61">
        <f>SUM(D176:D180)</f>
        <v>19350000</v>
      </c>
      <c r="E191" s="61">
        <f>C191-D191</f>
        <v>0</v>
      </c>
    </row>
    <row r="192" spans="2:5" x14ac:dyDescent="0.25">
      <c r="C192" s="34"/>
      <c r="D192" s="34"/>
      <c r="E192" s="34"/>
    </row>
    <row r="193" spans="2:5" x14ac:dyDescent="0.25">
      <c r="B193" s="60" t="s">
        <v>109</v>
      </c>
      <c r="C193" s="61"/>
      <c r="D193" s="61">
        <f>C191</f>
        <v>19350000</v>
      </c>
      <c r="E193" s="34"/>
    </row>
    <row r="194" spans="2:5" x14ac:dyDescent="0.25">
      <c r="B194" s="60" t="s">
        <v>94</v>
      </c>
      <c r="C194" s="61"/>
      <c r="D194" s="61">
        <f>SUMIF(B176:B190,"BELANJA BNU",D176:D190)</f>
        <v>17430000</v>
      </c>
      <c r="E194" s="34"/>
    </row>
    <row r="195" spans="2:5" x14ac:dyDescent="0.25">
      <c r="B195" s="60" t="s">
        <v>95</v>
      </c>
      <c r="C195" s="61"/>
      <c r="D195" s="61">
        <f>SUMIF(B176:B190,"BELANJA BPU",D176:D190)</f>
        <v>1920000</v>
      </c>
      <c r="E195" s="34"/>
    </row>
    <row r="196" spans="2:5" x14ac:dyDescent="0.25">
      <c r="B196" s="60" t="s">
        <v>82</v>
      </c>
      <c r="C196" s="61"/>
      <c r="D196" s="61">
        <f>SUMIF(B175:B190,"TARIK TUNAI",D175:D190)</f>
        <v>0</v>
      </c>
      <c r="E196" s="34"/>
    </row>
    <row r="197" spans="2:5" x14ac:dyDescent="0.25">
      <c r="B197" s="60" t="s">
        <v>101</v>
      </c>
      <c r="C197" s="61"/>
      <c r="D197" s="61">
        <f>D163-D194-D196</f>
        <v>0</v>
      </c>
      <c r="E197" s="34"/>
    </row>
    <row r="198" spans="2:5" x14ac:dyDescent="0.25">
      <c r="B198" s="60" t="s">
        <v>103</v>
      </c>
      <c r="C198" s="61"/>
      <c r="D198" s="61">
        <f>C174-D179</f>
        <v>0</v>
      </c>
      <c r="E198" s="34"/>
    </row>
    <row r="199" spans="2:5" x14ac:dyDescent="0.25">
      <c r="B199" s="60" t="s">
        <v>104</v>
      </c>
      <c r="C199" s="61"/>
      <c r="D199" s="61">
        <f>D197+D198</f>
        <v>0</v>
      </c>
      <c r="E199" s="34"/>
    </row>
    <row r="200" spans="2:5" x14ac:dyDescent="0.25">
      <c r="B200" s="60" t="s">
        <v>105</v>
      </c>
      <c r="C200" s="61"/>
      <c r="D200" s="61">
        <f>D194+D195</f>
        <v>19350000</v>
      </c>
      <c r="E200" s="34"/>
    </row>
    <row r="201" spans="2:5" x14ac:dyDescent="0.25">
      <c r="B201" s="60" t="s">
        <v>97</v>
      </c>
      <c r="C201" s="61"/>
      <c r="D201" s="61">
        <f>SUMIF(B175:B190,"TERIMA PAJAK",C175:C190)</f>
        <v>210000</v>
      </c>
      <c r="E201" s="34"/>
    </row>
    <row r="202" spans="2:5" x14ac:dyDescent="0.25">
      <c r="B202" s="60" t="s">
        <v>98</v>
      </c>
      <c r="C202" s="61"/>
      <c r="D202" s="61">
        <f>SUMIF(B175:B190,"SETOR PAJAK",D175:D190)</f>
        <v>210000</v>
      </c>
      <c r="E202" s="34"/>
    </row>
    <row r="203" spans="2:5" x14ac:dyDescent="0.25">
      <c r="C203" s="34"/>
      <c r="D203" s="34"/>
      <c r="E203" s="34"/>
    </row>
    <row r="204" spans="2:5" x14ac:dyDescent="0.25">
      <c r="C204" s="34"/>
      <c r="D204" s="34"/>
      <c r="E204" s="34"/>
    </row>
    <row r="205" spans="2:5" x14ac:dyDescent="0.25">
      <c r="B205" s="57" t="s">
        <v>56</v>
      </c>
      <c r="C205" s="57" t="s">
        <v>93</v>
      </c>
      <c r="D205" s="57" t="s">
        <v>70</v>
      </c>
      <c r="E205" s="57" t="s">
        <v>89</v>
      </c>
    </row>
    <row r="206" spans="2:5" x14ac:dyDescent="0.25">
      <c r="B206" s="58" t="s">
        <v>123</v>
      </c>
      <c r="C206" s="59"/>
      <c r="D206" s="59"/>
      <c r="E206" s="59"/>
    </row>
    <row r="207" spans="2:5" x14ac:dyDescent="0.25">
      <c r="B207" s="60" t="s">
        <v>124</v>
      </c>
      <c r="C207" s="61">
        <f>D197</f>
        <v>0</v>
      </c>
      <c r="D207" s="61"/>
      <c r="E207" s="61">
        <f>C207</f>
        <v>0</v>
      </c>
    </row>
    <row r="208" spans="2:5" x14ac:dyDescent="0.25">
      <c r="B208" s="60" t="s">
        <v>125</v>
      </c>
      <c r="C208" s="61">
        <f>D198</f>
        <v>0</v>
      </c>
      <c r="D208" s="61"/>
      <c r="E208" s="61">
        <f t="shared" ref="E208:E214" si="6">E207+C208-D208</f>
        <v>0</v>
      </c>
    </row>
    <row r="209" spans="2:5" x14ac:dyDescent="0.25">
      <c r="B209" s="60" t="s">
        <v>122</v>
      </c>
      <c r="C209" s="61"/>
      <c r="D209" s="61"/>
      <c r="E209" s="61">
        <f t="shared" si="6"/>
        <v>0</v>
      </c>
    </row>
    <row r="210" spans="2:5" x14ac:dyDescent="0.25">
      <c r="B210" s="60" t="s">
        <v>92</v>
      </c>
      <c r="C210" s="61"/>
      <c r="D210" s="61"/>
      <c r="E210" s="61">
        <f t="shared" si="6"/>
        <v>0</v>
      </c>
    </row>
    <row r="211" spans="2:5" x14ac:dyDescent="0.25">
      <c r="B211" s="60" t="s">
        <v>92</v>
      </c>
      <c r="C211" s="61"/>
      <c r="D211" s="61"/>
      <c r="E211" s="61">
        <f t="shared" si="6"/>
        <v>0</v>
      </c>
    </row>
    <row r="212" spans="2:5" x14ac:dyDescent="0.25">
      <c r="B212" s="60" t="s">
        <v>92</v>
      </c>
      <c r="C212" s="61"/>
      <c r="D212" s="61"/>
      <c r="E212" s="61">
        <f t="shared" si="6"/>
        <v>0</v>
      </c>
    </row>
    <row r="213" spans="2:5" x14ac:dyDescent="0.25">
      <c r="B213" s="60" t="s">
        <v>95</v>
      </c>
      <c r="C213" s="61"/>
      <c r="D213" s="61"/>
      <c r="E213" s="61">
        <f t="shared" si="6"/>
        <v>0</v>
      </c>
    </row>
    <row r="214" spans="2:5" x14ac:dyDescent="0.25">
      <c r="B214" s="60" t="s">
        <v>94</v>
      </c>
      <c r="C214" s="61"/>
      <c r="D214" s="61"/>
      <c r="E214" s="61">
        <f t="shared" si="6"/>
        <v>0</v>
      </c>
    </row>
    <row r="215" spans="2:5" x14ac:dyDescent="0.25">
      <c r="B215" s="60" t="s">
        <v>97</v>
      </c>
      <c r="C215" s="61"/>
      <c r="D215" s="61"/>
      <c r="E215" s="61">
        <f t="shared" ref="E215:E224" si="7">E214+C215-D215</f>
        <v>0</v>
      </c>
    </row>
    <row r="216" spans="2:5" x14ac:dyDescent="0.25">
      <c r="B216" s="60" t="s">
        <v>98</v>
      </c>
      <c r="C216" s="61"/>
      <c r="D216" s="61"/>
      <c r="E216" s="61">
        <f t="shared" si="7"/>
        <v>0</v>
      </c>
    </row>
    <row r="217" spans="2:5" x14ac:dyDescent="0.25">
      <c r="B217" s="60"/>
      <c r="C217" s="61"/>
      <c r="D217" s="61"/>
      <c r="E217" s="61">
        <f t="shared" si="7"/>
        <v>0</v>
      </c>
    </row>
    <row r="218" spans="2:5" x14ac:dyDescent="0.25">
      <c r="B218" s="60"/>
      <c r="C218" s="61"/>
      <c r="D218" s="61"/>
      <c r="E218" s="61">
        <f t="shared" si="7"/>
        <v>0</v>
      </c>
    </row>
    <row r="219" spans="2:5" x14ac:dyDescent="0.25">
      <c r="B219" s="60"/>
      <c r="C219" s="61"/>
      <c r="D219" s="61"/>
      <c r="E219" s="61">
        <f t="shared" si="7"/>
        <v>0</v>
      </c>
    </row>
    <row r="220" spans="2:5" x14ac:dyDescent="0.25">
      <c r="B220" s="60"/>
      <c r="C220" s="61"/>
      <c r="D220" s="61"/>
      <c r="E220" s="61">
        <f t="shared" si="7"/>
        <v>0</v>
      </c>
    </row>
    <row r="221" spans="2:5" x14ac:dyDescent="0.25">
      <c r="B221" s="60"/>
      <c r="C221" s="61"/>
      <c r="D221" s="61"/>
      <c r="E221" s="61">
        <f t="shared" si="7"/>
        <v>0</v>
      </c>
    </row>
    <row r="222" spans="2:5" x14ac:dyDescent="0.25">
      <c r="B222" s="60"/>
      <c r="C222" s="61"/>
      <c r="D222" s="61"/>
      <c r="E222" s="61">
        <f t="shared" si="7"/>
        <v>0</v>
      </c>
    </row>
    <row r="223" spans="2:5" x14ac:dyDescent="0.25">
      <c r="B223" s="60"/>
      <c r="C223" s="61"/>
      <c r="D223" s="61"/>
      <c r="E223" s="61">
        <f t="shared" si="7"/>
        <v>0</v>
      </c>
    </row>
    <row r="224" spans="2:5" x14ac:dyDescent="0.25">
      <c r="B224" s="60"/>
      <c r="C224" s="61"/>
      <c r="D224" s="61"/>
      <c r="E224" s="61">
        <f t="shared" si="7"/>
        <v>0</v>
      </c>
    </row>
    <row r="225" spans="2:5" x14ac:dyDescent="0.25">
      <c r="B225" s="60" t="s">
        <v>100</v>
      </c>
      <c r="C225" s="61">
        <f>SUM(C207:C208)</f>
        <v>0</v>
      </c>
      <c r="D225" s="61">
        <f>SUM(D210:D214)</f>
        <v>0</v>
      </c>
      <c r="E225" s="61">
        <f>C225-D225</f>
        <v>0</v>
      </c>
    </row>
    <row r="226" spans="2:5" x14ac:dyDescent="0.25">
      <c r="C226" s="34"/>
      <c r="D226" s="34"/>
      <c r="E226" s="34"/>
    </row>
    <row r="227" spans="2:5" x14ac:dyDescent="0.25">
      <c r="B227" s="60" t="s">
        <v>109</v>
      </c>
      <c r="C227" s="61"/>
      <c r="D227" s="61">
        <f>C225</f>
        <v>0</v>
      </c>
      <c r="E227" s="34"/>
    </row>
    <row r="228" spans="2:5" x14ac:dyDescent="0.25">
      <c r="B228" s="60" t="s">
        <v>94</v>
      </c>
      <c r="C228" s="61"/>
      <c r="D228" s="61">
        <f>SUMIF(B210:B224,"BELANJA BNU",D210:D224)</f>
        <v>0</v>
      </c>
      <c r="E228" s="34"/>
    </row>
    <row r="229" spans="2:5" x14ac:dyDescent="0.25">
      <c r="B229" s="60" t="s">
        <v>95</v>
      </c>
      <c r="C229" s="61"/>
      <c r="D229" s="61">
        <f>SUMIF(B210:B224,"BELANJA BPU",D210:D224)</f>
        <v>0</v>
      </c>
      <c r="E229" s="34"/>
    </row>
    <row r="230" spans="2:5" x14ac:dyDescent="0.25">
      <c r="B230" s="60" t="s">
        <v>82</v>
      </c>
      <c r="C230" s="61"/>
      <c r="D230" s="61">
        <f>SUMIF(B209:B224,"TARIK TUNAI",D209:D224)</f>
        <v>0</v>
      </c>
      <c r="E230" s="34"/>
    </row>
    <row r="231" spans="2:5" x14ac:dyDescent="0.25">
      <c r="B231" s="60" t="s">
        <v>101</v>
      </c>
      <c r="C231" s="61"/>
      <c r="D231" s="61">
        <f>D197-D228-D230</f>
        <v>0</v>
      </c>
      <c r="E231" s="34"/>
    </row>
    <row r="232" spans="2:5" x14ac:dyDescent="0.25">
      <c r="B232" s="60" t="s">
        <v>103</v>
      </c>
      <c r="C232" s="61"/>
      <c r="D232" s="61">
        <f>MAX(0,D230-D229)</f>
        <v>0</v>
      </c>
      <c r="E232" s="34"/>
    </row>
    <row r="233" spans="2:5" x14ac:dyDescent="0.25">
      <c r="B233" s="60" t="s">
        <v>104</v>
      </c>
      <c r="C233" s="61"/>
      <c r="D233" s="61">
        <f>D231+D232</f>
        <v>0</v>
      </c>
      <c r="E233" s="34"/>
    </row>
    <row r="234" spans="2:5" x14ac:dyDescent="0.25">
      <c r="B234" s="60" t="s">
        <v>105</v>
      </c>
      <c r="C234" s="61"/>
      <c r="D234" s="61">
        <f>D228+D229</f>
        <v>0</v>
      </c>
      <c r="E234" s="34"/>
    </row>
    <row r="235" spans="2:5" x14ac:dyDescent="0.25">
      <c r="B235" s="60" t="s">
        <v>97</v>
      </c>
      <c r="C235" s="61"/>
      <c r="D235" s="61">
        <f>SUMIF(B209:B224,"TERIMA PAJAK",C209:C224)</f>
        <v>0</v>
      </c>
      <c r="E235" s="34"/>
    </row>
    <row r="236" spans="2:5" x14ac:dyDescent="0.25">
      <c r="B236" s="60" t="s">
        <v>98</v>
      </c>
      <c r="C236" s="61"/>
      <c r="D236" s="61">
        <f>SUMIF(B209:B224,"SETOR PAJAK",D209:D224)</f>
        <v>0</v>
      </c>
      <c r="E236" s="34"/>
    </row>
    <row r="237" spans="2:5" x14ac:dyDescent="0.25">
      <c r="C237" s="34"/>
      <c r="D237" s="34"/>
      <c r="E237" s="34"/>
    </row>
    <row r="238" spans="2:5" x14ac:dyDescent="0.25">
      <c r="C238" s="34"/>
      <c r="D238" s="34"/>
      <c r="E238" s="34"/>
    </row>
    <row r="239" spans="2:5" x14ac:dyDescent="0.25">
      <c r="B239" s="57" t="s">
        <v>56</v>
      </c>
      <c r="C239" s="57" t="s">
        <v>93</v>
      </c>
      <c r="D239" s="57" t="s">
        <v>70</v>
      </c>
      <c r="E239" s="57" t="s">
        <v>89</v>
      </c>
    </row>
    <row r="240" spans="2:5" x14ac:dyDescent="0.25">
      <c r="B240" s="58" t="s">
        <v>126</v>
      </c>
      <c r="C240" s="59"/>
      <c r="D240" s="59"/>
      <c r="E240" s="59"/>
    </row>
    <row r="241" spans="2:5" x14ac:dyDescent="0.25">
      <c r="B241" s="60" t="s">
        <v>139</v>
      </c>
      <c r="C241" s="61">
        <f>D231</f>
        <v>0</v>
      </c>
      <c r="D241" s="61"/>
      <c r="E241" s="61">
        <f>C241</f>
        <v>0</v>
      </c>
    </row>
    <row r="242" spans="2:5" x14ac:dyDescent="0.25">
      <c r="B242" s="60" t="s">
        <v>140</v>
      </c>
      <c r="C242" s="61">
        <f>D232</f>
        <v>0</v>
      </c>
      <c r="D242" s="61"/>
      <c r="E242" s="61">
        <f t="shared" ref="E242:E248" si="8">E241+C242-D242</f>
        <v>0</v>
      </c>
    </row>
    <row r="243" spans="2:5" x14ac:dyDescent="0.25">
      <c r="B243" s="60" t="s">
        <v>122</v>
      </c>
      <c r="C243" s="61">
        <v>82560000</v>
      </c>
      <c r="D243" s="61"/>
      <c r="E243" s="61">
        <f t="shared" si="8"/>
        <v>82560000</v>
      </c>
    </row>
    <row r="244" spans="2:5" x14ac:dyDescent="0.25">
      <c r="B244" s="60" t="s">
        <v>92</v>
      </c>
      <c r="C244" s="61"/>
      <c r="D244" s="61">
        <v>14940000</v>
      </c>
      <c r="E244" s="61">
        <f t="shared" si="8"/>
        <v>67620000</v>
      </c>
    </row>
    <row r="245" spans="2:5" x14ac:dyDescent="0.25">
      <c r="B245" s="60" t="s">
        <v>92</v>
      </c>
      <c r="C245" s="61"/>
      <c r="D245" s="61"/>
      <c r="E245" s="61">
        <f t="shared" si="8"/>
        <v>67620000</v>
      </c>
    </row>
    <row r="246" spans="2:5" x14ac:dyDescent="0.25">
      <c r="B246" s="60" t="s">
        <v>92</v>
      </c>
      <c r="C246" s="61"/>
      <c r="D246" s="61"/>
      <c r="E246" s="61">
        <f t="shared" si="8"/>
        <v>67620000</v>
      </c>
    </row>
    <row r="247" spans="2:5" x14ac:dyDescent="0.25">
      <c r="B247" s="60" t="s">
        <v>95</v>
      </c>
      <c r="C247" s="61"/>
      <c r="D247" s="61">
        <v>900000</v>
      </c>
      <c r="E247" s="61">
        <f t="shared" si="8"/>
        <v>66720000</v>
      </c>
    </row>
    <row r="248" spans="2:5" x14ac:dyDescent="0.25">
      <c r="B248" s="60" t="s">
        <v>94</v>
      </c>
      <c r="C248" s="61"/>
      <c r="D248" s="61">
        <v>46810000</v>
      </c>
      <c r="E248" s="61">
        <f t="shared" si="8"/>
        <v>19910000</v>
      </c>
    </row>
    <row r="249" spans="2:5" x14ac:dyDescent="0.25">
      <c r="B249" s="60" t="s">
        <v>97</v>
      </c>
      <c r="C249" s="61"/>
      <c r="D249" s="61"/>
      <c r="E249" s="61">
        <f t="shared" ref="E249:E258" si="9">E248+C249-D249</f>
        <v>19910000</v>
      </c>
    </row>
    <row r="250" spans="2:5" x14ac:dyDescent="0.25">
      <c r="B250" s="60" t="s">
        <v>98</v>
      </c>
      <c r="C250" s="61"/>
      <c r="D250" s="61"/>
      <c r="E250" s="61">
        <f t="shared" si="9"/>
        <v>19910000</v>
      </c>
    </row>
    <row r="251" spans="2:5" x14ac:dyDescent="0.25">
      <c r="B251" s="60"/>
      <c r="C251" s="61"/>
      <c r="D251" s="61"/>
      <c r="E251" s="61">
        <f t="shared" si="9"/>
        <v>19910000</v>
      </c>
    </row>
    <row r="252" spans="2:5" x14ac:dyDescent="0.25">
      <c r="B252" s="60"/>
      <c r="C252" s="61"/>
      <c r="D252" s="61"/>
      <c r="E252" s="61">
        <f t="shared" si="9"/>
        <v>19910000</v>
      </c>
    </row>
    <row r="253" spans="2:5" x14ac:dyDescent="0.25">
      <c r="B253" s="60"/>
      <c r="C253" s="61"/>
      <c r="D253" s="61"/>
      <c r="E253" s="61">
        <f t="shared" si="9"/>
        <v>19910000</v>
      </c>
    </row>
    <row r="254" spans="2:5" x14ac:dyDescent="0.25">
      <c r="B254" s="60"/>
      <c r="C254" s="61"/>
      <c r="D254" s="61"/>
      <c r="E254" s="61">
        <f t="shared" si="9"/>
        <v>19910000</v>
      </c>
    </row>
    <row r="255" spans="2:5" x14ac:dyDescent="0.25">
      <c r="B255" s="60"/>
      <c r="C255" s="61"/>
      <c r="D255" s="61"/>
      <c r="E255" s="61">
        <f t="shared" si="9"/>
        <v>19910000</v>
      </c>
    </row>
    <row r="256" spans="2:5" x14ac:dyDescent="0.25">
      <c r="B256" s="60"/>
      <c r="C256" s="61"/>
      <c r="D256" s="61"/>
      <c r="E256" s="61">
        <f t="shared" si="9"/>
        <v>19910000</v>
      </c>
    </row>
    <row r="257" spans="2:5" x14ac:dyDescent="0.25">
      <c r="B257" s="60"/>
      <c r="C257" s="61"/>
      <c r="D257" s="61"/>
      <c r="E257" s="61">
        <f t="shared" si="9"/>
        <v>19910000</v>
      </c>
    </row>
    <row r="258" spans="2:5" x14ac:dyDescent="0.25">
      <c r="B258" s="60"/>
      <c r="C258" s="61"/>
      <c r="D258" s="61"/>
      <c r="E258" s="61">
        <f t="shared" si="9"/>
        <v>19910000</v>
      </c>
    </row>
    <row r="259" spans="2:5" x14ac:dyDescent="0.25">
      <c r="B259" s="60" t="s">
        <v>100</v>
      </c>
      <c r="C259" s="61">
        <f>SUM(C241:C258)</f>
        <v>82560000</v>
      </c>
      <c r="D259" s="61">
        <f>D244+D248</f>
        <v>61750000</v>
      </c>
      <c r="E259" s="61">
        <f>C259-D259</f>
        <v>20810000</v>
      </c>
    </row>
    <row r="260" spans="2:5" x14ac:dyDescent="0.25">
      <c r="C260" s="34"/>
      <c r="D260" s="34"/>
      <c r="E260" s="34"/>
    </row>
    <row r="261" spans="2:5" x14ac:dyDescent="0.25">
      <c r="B261" s="60" t="s">
        <v>109</v>
      </c>
      <c r="C261" s="61"/>
      <c r="D261" s="61">
        <f>C259</f>
        <v>82560000</v>
      </c>
      <c r="E261" s="34"/>
    </row>
    <row r="262" spans="2:5" x14ac:dyDescent="0.25">
      <c r="B262" s="60" t="s">
        <v>94</v>
      </c>
      <c r="C262" s="61"/>
      <c r="D262" s="61">
        <f>SUMIF(B244:B258,"BELANJA BNU",D244:D258)</f>
        <v>46810000</v>
      </c>
      <c r="E262" s="34"/>
    </row>
    <row r="263" spans="2:5" x14ac:dyDescent="0.25">
      <c r="B263" s="60" t="s">
        <v>95</v>
      </c>
      <c r="C263" s="61"/>
      <c r="D263" s="61">
        <f>SUMIF(B244:B258,"BELANJA BPU",D244:D258)</f>
        <v>900000</v>
      </c>
      <c r="E263" s="34"/>
    </row>
    <row r="264" spans="2:5" x14ac:dyDescent="0.25">
      <c r="B264" s="60" t="s">
        <v>82</v>
      </c>
      <c r="C264" s="61"/>
      <c r="D264" s="61">
        <f>SUMIF(B243:B258,"TARIK TUNAI",D243:D258)</f>
        <v>14940000</v>
      </c>
      <c r="E264" s="34"/>
    </row>
    <row r="265" spans="2:5" x14ac:dyDescent="0.25">
      <c r="B265" s="60" t="s">
        <v>101</v>
      </c>
      <c r="C265" s="61"/>
      <c r="D265" s="61">
        <f>C243-D262-D264</f>
        <v>20810000</v>
      </c>
      <c r="E265" s="34"/>
    </row>
    <row r="266" spans="2:5" x14ac:dyDescent="0.25">
      <c r="B266" s="60" t="s">
        <v>103</v>
      </c>
      <c r="C266" s="61"/>
      <c r="D266" s="61">
        <f>MAX(0,D264-D263)</f>
        <v>14040000</v>
      </c>
      <c r="E266" s="34"/>
    </row>
    <row r="267" spans="2:5" x14ac:dyDescent="0.25">
      <c r="B267" s="60" t="s">
        <v>104</v>
      </c>
      <c r="C267" s="61"/>
      <c r="D267" s="61">
        <f>D265+D266</f>
        <v>34850000</v>
      </c>
      <c r="E267" s="34"/>
    </row>
    <row r="268" spans="2:5" x14ac:dyDescent="0.25">
      <c r="B268" s="60" t="s">
        <v>105</v>
      </c>
      <c r="C268" s="61"/>
      <c r="D268" s="61">
        <f>D262+D263</f>
        <v>47710000</v>
      </c>
      <c r="E268" s="34"/>
    </row>
    <row r="269" spans="2:5" x14ac:dyDescent="0.25">
      <c r="B269" s="60" t="s">
        <v>97</v>
      </c>
      <c r="C269" s="61"/>
      <c r="D269" s="61">
        <f>SUMIF(B243:B258,"TERIMA PAJAK",C243:C258)</f>
        <v>0</v>
      </c>
      <c r="E269" s="34"/>
    </row>
    <row r="270" spans="2:5" x14ac:dyDescent="0.25">
      <c r="B270" s="60" t="s">
        <v>98</v>
      </c>
      <c r="C270" s="61"/>
      <c r="D270" s="61">
        <f>SUMIF(B243:B258,"SETOR PAJAK",D243:D258)</f>
        <v>0</v>
      </c>
      <c r="E270" s="34"/>
    </row>
    <row r="271" spans="2:5" x14ac:dyDescent="0.25">
      <c r="C271" s="34"/>
      <c r="D271" s="34"/>
      <c r="E271" s="34"/>
    </row>
    <row r="272" spans="2:5" x14ac:dyDescent="0.25">
      <c r="C272" s="34"/>
      <c r="D272" s="34"/>
      <c r="E272" s="34"/>
    </row>
    <row r="273" spans="2:5" x14ac:dyDescent="0.25">
      <c r="B273" s="57" t="s">
        <v>56</v>
      </c>
      <c r="C273" s="57" t="s">
        <v>93</v>
      </c>
      <c r="D273" s="57" t="s">
        <v>70</v>
      </c>
      <c r="E273" s="57" t="s">
        <v>89</v>
      </c>
    </row>
    <row r="274" spans="2:5" x14ac:dyDescent="0.25">
      <c r="B274" s="58" t="s">
        <v>127</v>
      </c>
      <c r="C274" s="59"/>
      <c r="D274" s="59"/>
      <c r="E274" s="59"/>
    </row>
    <row r="275" spans="2:5" x14ac:dyDescent="0.25">
      <c r="B275" s="60" t="s">
        <v>137</v>
      </c>
      <c r="C275" s="61">
        <f>D265</f>
        <v>20810000</v>
      </c>
      <c r="D275" s="61"/>
      <c r="E275" s="61">
        <f>C275</f>
        <v>20810000</v>
      </c>
    </row>
    <row r="276" spans="2:5" x14ac:dyDescent="0.25">
      <c r="B276" s="60" t="s">
        <v>138</v>
      </c>
      <c r="C276" s="61">
        <f>D266</f>
        <v>14040000</v>
      </c>
      <c r="D276" s="61"/>
      <c r="E276" s="61">
        <f t="shared" ref="E276:E282" si="10">E275+C276-D276</f>
        <v>34850000</v>
      </c>
    </row>
    <row r="277" spans="2:5" x14ac:dyDescent="0.25">
      <c r="B277" s="60" t="s">
        <v>122</v>
      </c>
      <c r="C277" s="61">
        <v>0</v>
      </c>
      <c r="D277" s="61"/>
      <c r="E277" s="61">
        <f t="shared" si="10"/>
        <v>34850000</v>
      </c>
    </row>
    <row r="278" spans="2:5" x14ac:dyDescent="0.25">
      <c r="B278" s="60" t="s">
        <v>92</v>
      </c>
      <c r="C278" s="61"/>
      <c r="D278" s="61"/>
      <c r="E278" s="61">
        <f t="shared" si="10"/>
        <v>34850000</v>
      </c>
    </row>
    <row r="279" spans="2:5" x14ac:dyDescent="0.25">
      <c r="B279" s="60" t="s">
        <v>92</v>
      </c>
      <c r="C279" s="61"/>
      <c r="D279" s="61"/>
      <c r="E279" s="61">
        <f t="shared" si="10"/>
        <v>34850000</v>
      </c>
    </row>
    <row r="280" spans="2:5" x14ac:dyDescent="0.25">
      <c r="B280" s="60" t="s">
        <v>92</v>
      </c>
      <c r="C280" s="61"/>
      <c r="D280" s="61"/>
      <c r="E280" s="61">
        <f t="shared" si="10"/>
        <v>34850000</v>
      </c>
    </row>
    <row r="281" spans="2:5" x14ac:dyDescent="0.25">
      <c r="B281" s="60" t="s">
        <v>95</v>
      </c>
      <c r="C281" s="61"/>
      <c r="D281" s="61">
        <v>5650000</v>
      </c>
      <c r="E281" s="61">
        <f t="shared" si="10"/>
        <v>29200000</v>
      </c>
    </row>
    <row r="282" spans="2:5" x14ac:dyDescent="0.25">
      <c r="B282" s="60" t="s">
        <v>94</v>
      </c>
      <c r="C282" s="61"/>
      <c r="D282" s="61"/>
      <c r="E282" s="61">
        <f t="shared" si="10"/>
        <v>29200000</v>
      </c>
    </row>
    <row r="283" spans="2:5" x14ac:dyDescent="0.25">
      <c r="B283" s="60" t="s">
        <v>97</v>
      </c>
      <c r="C283" s="61">
        <v>208000</v>
      </c>
      <c r="D283" s="61"/>
      <c r="E283" s="61">
        <f t="shared" ref="E283:E292" si="11">E282+C283-D283</f>
        <v>29408000</v>
      </c>
    </row>
    <row r="284" spans="2:5" x14ac:dyDescent="0.25">
      <c r="B284" s="60" t="s">
        <v>98</v>
      </c>
      <c r="C284" s="61"/>
      <c r="D284" s="61">
        <v>208000</v>
      </c>
      <c r="E284" s="61">
        <f t="shared" si="11"/>
        <v>29200000</v>
      </c>
    </row>
    <row r="285" spans="2:5" x14ac:dyDescent="0.25">
      <c r="B285" s="60"/>
      <c r="C285" s="61"/>
      <c r="D285" s="61"/>
      <c r="E285" s="61">
        <f t="shared" si="11"/>
        <v>29200000</v>
      </c>
    </row>
    <row r="286" spans="2:5" x14ac:dyDescent="0.25">
      <c r="B286" s="60"/>
      <c r="C286" s="61"/>
      <c r="D286" s="61"/>
      <c r="E286" s="61">
        <f t="shared" si="11"/>
        <v>29200000</v>
      </c>
    </row>
    <row r="287" spans="2:5" x14ac:dyDescent="0.25">
      <c r="B287" s="60"/>
      <c r="C287" s="61"/>
      <c r="D287" s="61"/>
      <c r="E287" s="61">
        <f t="shared" si="11"/>
        <v>29200000</v>
      </c>
    </row>
    <row r="288" spans="2:5" x14ac:dyDescent="0.25">
      <c r="B288" s="60"/>
      <c r="C288" s="61"/>
      <c r="D288" s="61"/>
      <c r="E288" s="61">
        <f t="shared" si="11"/>
        <v>29200000</v>
      </c>
    </row>
    <row r="289" spans="2:5" x14ac:dyDescent="0.25">
      <c r="B289" s="60"/>
      <c r="C289" s="61"/>
      <c r="D289" s="61"/>
      <c r="E289" s="61">
        <f t="shared" si="11"/>
        <v>29200000</v>
      </c>
    </row>
    <row r="290" spans="2:5" x14ac:dyDescent="0.25">
      <c r="B290" s="60"/>
      <c r="C290" s="61"/>
      <c r="D290" s="61"/>
      <c r="E290" s="61">
        <f t="shared" si="11"/>
        <v>29200000</v>
      </c>
    </row>
    <row r="291" spans="2:5" x14ac:dyDescent="0.25">
      <c r="B291" s="60"/>
      <c r="C291" s="61"/>
      <c r="D291" s="61"/>
      <c r="E291" s="61">
        <f t="shared" si="11"/>
        <v>29200000</v>
      </c>
    </row>
    <row r="292" spans="2:5" x14ac:dyDescent="0.25">
      <c r="B292" s="60"/>
      <c r="C292" s="61"/>
      <c r="D292" s="61"/>
      <c r="E292" s="61">
        <f t="shared" si="11"/>
        <v>29200000</v>
      </c>
    </row>
    <row r="293" spans="2:5" x14ac:dyDescent="0.25">
      <c r="B293" s="60" t="s">
        <v>100</v>
      </c>
      <c r="C293" s="61">
        <f>SUM(C275:C276)</f>
        <v>34850000</v>
      </c>
      <c r="D293" s="61">
        <f>SUM(D278:D282)</f>
        <v>5650000</v>
      </c>
      <c r="E293" s="61">
        <f>C293-D293</f>
        <v>29200000</v>
      </c>
    </row>
    <row r="294" spans="2:5" x14ac:dyDescent="0.25">
      <c r="C294" s="34"/>
      <c r="D294" s="34"/>
      <c r="E294" s="34"/>
    </row>
    <row r="295" spans="2:5" x14ac:dyDescent="0.25">
      <c r="B295" s="60" t="s">
        <v>109</v>
      </c>
      <c r="C295" s="61"/>
      <c r="D295" s="61">
        <f>C293</f>
        <v>34850000</v>
      </c>
      <c r="E295" s="34"/>
    </row>
    <row r="296" spans="2:5" x14ac:dyDescent="0.25">
      <c r="B296" s="60" t="s">
        <v>94</v>
      </c>
      <c r="C296" s="61"/>
      <c r="D296" s="61">
        <f>SUMIF(B278:B292,"BELANJA BNU",D278:D292)</f>
        <v>0</v>
      </c>
      <c r="E296" s="34"/>
    </row>
    <row r="297" spans="2:5" x14ac:dyDescent="0.25">
      <c r="B297" s="60" t="s">
        <v>95</v>
      </c>
      <c r="C297" s="61"/>
      <c r="D297" s="61">
        <f>SUMIF(B278:B292,"BELANJA BPU",D278:D292)</f>
        <v>5650000</v>
      </c>
      <c r="E297" s="34"/>
    </row>
    <row r="298" spans="2:5" x14ac:dyDescent="0.25">
      <c r="B298" s="60" t="s">
        <v>82</v>
      </c>
      <c r="C298" s="61"/>
      <c r="D298" s="61">
        <f>SUMIF(B277:B292,"TARIK TUNAI",D277:D292)</f>
        <v>0</v>
      </c>
      <c r="E298" s="34"/>
    </row>
    <row r="299" spans="2:5" x14ac:dyDescent="0.25">
      <c r="B299" s="60" t="s">
        <v>101</v>
      </c>
      <c r="C299" s="61"/>
      <c r="D299" s="61">
        <f>D265-D296-D298</f>
        <v>20810000</v>
      </c>
      <c r="E299" s="34"/>
    </row>
    <row r="300" spans="2:5" x14ac:dyDescent="0.25">
      <c r="B300" s="60" t="s">
        <v>103</v>
      </c>
      <c r="C300" s="61"/>
      <c r="D300" s="61">
        <f>C276-D297</f>
        <v>8390000</v>
      </c>
      <c r="E300" s="34"/>
    </row>
    <row r="301" spans="2:5" x14ac:dyDescent="0.25">
      <c r="B301" s="60" t="s">
        <v>104</v>
      </c>
      <c r="C301" s="61"/>
      <c r="D301" s="61">
        <f>D299+D300</f>
        <v>29200000</v>
      </c>
      <c r="E301" s="34"/>
    </row>
    <row r="302" spans="2:5" x14ac:dyDescent="0.25">
      <c r="B302" s="60" t="s">
        <v>105</v>
      </c>
      <c r="C302" s="61"/>
      <c r="D302" s="61">
        <f>D296+D297</f>
        <v>5650000</v>
      </c>
      <c r="E302" s="34"/>
    </row>
    <row r="303" spans="2:5" x14ac:dyDescent="0.25">
      <c r="B303" s="60" t="s">
        <v>97</v>
      </c>
      <c r="C303" s="61"/>
      <c r="D303" s="61">
        <f>SUMIF(B277:B292,"TERIMA PAJAK",C277:C292)</f>
        <v>208000</v>
      </c>
      <c r="E303" s="34"/>
    </row>
    <row r="304" spans="2:5" x14ac:dyDescent="0.25">
      <c r="B304" s="60" t="s">
        <v>98</v>
      </c>
      <c r="C304" s="61"/>
      <c r="D304" s="61">
        <f>SUMIF(B277:B292,"SETOR PAJAK",D277:D292)</f>
        <v>208000</v>
      </c>
      <c r="E304" s="34"/>
    </row>
    <row r="305" spans="2:5" x14ac:dyDescent="0.25">
      <c r="C305" s="34"/>
      <c r="D305" s="34"/>
      <c r="E305" s="34"/>
    </row>
    <row r="306" spans="2:5" x14ac:dyDescent="0.25">
      <c r="C306" s="34"/>
      <c r="D306" s="34"/>
      <c r="E306" s="34"/>
    </row>
    <row r="307" spans="2:5" x14ac:dyDescent="0.25">
      <c r="B307" s="57" t="s">
        <v>56</v>
      </c>
      <c r="C307" s="57" t="s">
        <v>93</v>
      </c>
      <c r="D307" s="57" t="s">
        <v>70</v>
      </c>
      <c r="E307" s="57" t="s">
        <v>89</v>
      </c>
    </row>
    <row r="308" spans="2:5" x14ac:dyDescent="0.25">
      <c r="B308" s="58" t="s">
        <v>128</v>
      </c>
      <c r="C308" s="59"/>
      <c r="D308" s="59"/>
      <c r="E308" s="59"/>
    </row>
    <row r="309" spans="2:5" x14ac:dyDescent="0.25">
      <c r="B309" s="60" t="s">
        <v>135</v>
      </c>
      <c r="C309" s="61">
        <f>D299</f>
        <v>20810000</v>
      </c>
      <c r="D309" s="61"/>
      <c r="E309" s="61">
        <f>C309</f>
        <v>20810000</v>
      </c>
    </row>
    <row r="310" spans="2:5" x14ac:dyDescent="0.25">
      <c r="B310" s="60" t="s">
        <v>136</v>
      </c>
      <c r="C310" s="61">
        <f>D300</f>
        <v>8390000</v>
      </c>
      <c r="D310" s="61"/>
      <c r="E310" s="61">
        <f t="shared" ref="E310:E316" si="12">E309+C310-D310</f>
        <v>29200000</v>
      </c>
    </row>
    <row r="311" spans="2:5" x14ac:dyDescent="0.25">
      <c r="B311" s="60" t="s">
        <v>122</v>
      </c>
      <c r="C311" s="61">
        <v>0</v>
      </c>
      <c r="D311" s="61"/>
      <c r="E311" s="61">
        <f t="shared" si="12"/>
        <v>29200000</v>
      </c>
    </row>
    <row r="312" spans="2:5" x14ac:dyDescent="0.25">
      <c r="B312" s="60" t="s">
        <v>92</v>
      </c>
      <c r="C312" s="61"/>
      <c r="D312" s="61"/>
      <c r="E312" s="61">
        <f t="shared" si="12"/>
        <v>29200000</v>
      </c>
    </row>
    <row r="313" spans="2:5" x14ac:dyDescent="0.25">
      <c r="B313" s="60" t="s">
        <v>92</v>
      </c>
      <c r="C313" s="61"/>
      <c r="D313" s="61"/>
      <c r="E313" s="61">
        <f t="shared" si="12"/>
        <v>29200000</v>
      </c>
    </row>
    <row r="314" spans="2:5" x14ac:dyDescent="0.25">
      <c r="B314" s="60" t="s">
        <v>92</v>
      </c>
      <c r="C314" s="61"/>
      <c r="D314" s="61"/>
      <c r="E314" s="61">
        <f t="shared" si="12"/>
        <v>29200000</v>
      </c>
    </row>
    <row r="315" spans="2:5" x14ac:dyDescent="0.25">
      <c r="B315" s="60" t="s">
        <v>95</v>
      </c>
      <c r="C315" s="61"/>
      <c r="D315" s="61">
        <v>6900000</v>
      </c>
      <c r="E315" s="61">
        <f t="shared" si="12"/>
        <v>22300000</v>
      </c>
    </row>
    <row r="316" spans="2:5" x14ac:dyDescent="0.25">
      <c r="B316" s="60" t="s">
        <v>94</v>
      </c>
      <c r="C316" s="61"/>
      <c r="D316" s="61">
        <v>5400000</v>
      </c>
      <c r="E316" s="61">
        <f t="shared" si="12"/>
        <v>16900000</v>
      </c>
    </row>
    <row r="317" spans="2:5" x14ac:dyDescent="0.25">
      <c r="B317" s="60" t="s">
        <v>97</v>
      </c>
      <c r="C317" s="61">
        <v>246000</v>
      </c>
      <c r="D317" s="61"/>
      <c r="E317" s="61">
        <f t="shared" ref="E317:E326" si="13">E316+C317-D317</f>
        <v>17146000</v>
      </c>
    </row>
    <row r="318" spans="2:5" x14ac:dyDescent="0.25">
      <c r="B318" s="60" t="s">
        <v>98</v>
      </c>
      <c r="C318" s="61"/>
      <c r="D318" s="61">
        <v>246000</v>
      </c>
      <c r="E318" s="61">
        <f t="shared" si="13"/>
        <v>16900000</v>
      </c>
    </row>
    <row r="319" spans="2:5" x14ac:dyDescent="0.25">
      <c r="B319" s="60"/>
      <c r="C319" s="61"/>
      <c r="D319" s="61"/>
      <c r="E319" s="61">
        <f t="shared" si="13"/>
        <v>16900000</v>
      </c>
    </row>
    <row r="320" spans="2:5" x14ac:dyDescent="0.25">
      <c r="B320" s="60"/>
      <c r="C320" s="61"/>
      <c r="D320" s="61"/>
      <c r="E320" s="61">
        <f t="shared" si="13"/>
        <v>16900000</v>
      </c>
    </row>
    <row r="321" spans="2:5" x14ac:dyDescent="0.25">
      <c r="B321" s="60"/>
      <c r="C321" s="61"/>
      <c r="D321" s="61"/>
      <c r="E321" s="61">
        <f t="shared" si="13"/>
        <v>16900000</v>
      </c>
    </row>
    <row r="322" spans="2:5" x14ac:dyDescent="0.25">
      <c r="B322" s="60"/>
      <c r="C322" s="61"/>
      <c r="D322" s="61"/>
      <c r="E322" s="61">
        <f t="shared" si="13"/>
        <v>16900000</v>
      </c>
    </row>
    <row r="323" spans="2:5" x14ac:dyDescent="0.25">
      <c r="B323" s="60"/>
      <c r="C323" s="61"/>
      <c r="D323" s="61"/>
      <c r="E323" s="61">
        <f t="shared" si="13"/>
        <v>16900000</v>
      </c>
    </row>
    <row r="324" spans="2:5" x14ac:dyDescent="0.25">
      <c r="B324" s="60"/>
      <c r="C324" s="61"/>
      <c r="D324" s="61"/>
      <c r="E324" s="61">
        <f t="shared" si="13"/>
        <v>16900000</v>
      </c>
    </row>
    <row r="325" spans="2:5" x14ac:dyDescent="0.25">
      <c r="B325" s="60"/>
      <c r="C325" s="61"/>
      <c r="D325" s="61"/>
      <c r="E325" s="61">
        <f t="shared" si="13"/>
        <v>16900000</v>
      </c>
    </row>
    <row r="326" spans="2:5" x14ac:dyDescent="0.25">
      <c r="B326" s="60"/>
      <c r="C326" s="61"/>
      <c r="D326" s="61"/>
      <c r="E326" s="61">
        <f t="shared" si="13"/>
        <v>16900000</v>
      </c>
    </row>
    <row r="327" spans="2:5" x14ac:dyDescent="0.25">
      <c r="B327" s="60" t="s">
        <v>100</v>
      </c>
      <c r="C327" s="61">
        <f>SUM(C309:C310)</f>
        <v>29200000</v>
      </c>
      <c r="D327" s="61">
        <f>SUM(D312:D316)</f>
        <v>12300000</v>
      </c>
      <c r="E327" s="61">
        <f>C327-D327</f>
        <v>16900000</v>
      </c>
    </row>
    <row r="328" spans="2:5" x14ac:dyDescent="0.25">
      <c r="C328" s="34"/>
      <c r="D328" s="34"/>
      <c r="E328" s="34"/>
    </row>
    <row r="329" spans="2:5" x14ac:dyDescent="0.25">
      <c r="B329" s="60" t="s">
        <v>109</v>
      </c>
      <c r="C329" s="61"/>
      <c r="D329" s="61">
        <f>C327</f>
        <v>29200000</v>
      </c>
      <c r="E329" s="34"/>
    </row>
    <row r="330" spans="2:5" x14ac:dyDescent="0.25">
      <c r="B330" s="60" t="s">
        <v>94</v>
      </c>
      <c r="C330" s="61"/>
      <c r="D330" s="61">
        <f>SUMIF(B312:B326,"BELANJA BNU",D312:D326)</f>
        <v>5400000</v>
      </c>
      <c r="E330" s="34"/>
    </row>
    <row r="331" spans="2:5" x14ac:dyDescent="0.25">
      <c r="B331" s="60" t="s">
        <v>95</v>
      </c>
      <c r="C331" s="61"/>
      <c r="D331" s="61">
        <f>SUMIF(B312:B326,"BELANJA BPU",D312:D326)</f>
        <v>6900000</v>
      </c>
      <c r="E331" s="34"/>
    </row>
    <row r="332" spans="2:5" x14ac:dyDescent="0.25">
      <c r="B332" s="60" t="s">
        <v>82</v>
      </c>
      <c r="C332" s="61"/>
      <c r="D332" s="61">
        <f>SUMIF(B311:B326,"TARIK TUNAI",D311:D326)</f>
        <v>0</v>
      </c>
      <c r="E332" s="34"/>
    </row>
    <row r="333" spans="2:5" x14ac:dyDescent="0.25">
      <c r="B333" s="60" t="s">
        <v>101</v>
      </c>
      <c r="C333" s="61"/>
      <c r="D333" s="61">
        <f>D299-D330-D332</f>
        <v>15410000</v>
      </c>
      <c r="E333" s="34"/>
    </row>
    <row r="334" spans="2:5" x14ac:dyDescent="0.25">
      <c r="B334" s="60" t="s">
        <v>103</v>
      </c>
      <c r="C334" s="61"/>
      <c r="D334" s="61">
        <f>C310-D331</f>
        <v>1490000</v>
      </c>
      <c r="E334" s="34"/>
    </row>
    <row r="335" spans="2:5" x14ac:dyDescent="0.25">
      <c r="B335" s="60" t="s">
        <v>104</v>
      </c>
      <c r="C335" s="61"/>
      <c r="D335" s="61">
        <f>D333+D334</f>
        <v>16900000</v>
      </c>
      <c r="E335" s="34"/>
    </row>
    <row r="336" spans="2:5" x14ac:dyDescent="0.25">
      <c r="B336" s="60" t="s">
        <v>105</v>
      </c>
      <c r="C336" s="61"/>
      <c r="D336" s="61">
        <f>D330+D331</f>
        <v>12300000</v>
      </c>
      <c r="E336" s="34"/>
    </row>
    <row r="337" spans="2:5" x14ac:dyDescent="0.25">
      <c r="B337" s="60" t="s">
        <v>97</v>
      </c>
      <c r="C337" s="61"/>
      <c r="D337" s="61">
        <f>SUMIF(B311:B326,"TERIMA PAJAK",C311:C326)</f>
        <v>246000</v>
      </c>
      <c r="E337" s="34"/>
    </row>
    <row r="338" spans="2:5" x14ac:dyDescent="0.25">
      <c r="B338" s="60" t="s">
        <v>98</v>
      </c>
      <c r="C338" s="61"/>
      <c r="D338" s="61">
        <f>SUMIF(B311:B326,"SETOR PAJAK",D311:D326)</f>
        <v>246000</v>
      </c>
      <c r="E338" s="34"/>
    </row>
    <row r="339" spans="2:5" x14ac:dyDescent="0.25">
      <c r="C339" s="34"/>
      <c r="D339" s="34"/>
      <c r="E339" s="34"/>
    </row>
    <row r="340" spans="2:5" x14ac:dyDescent="0.25">
      <c r="C340" s="34"/>
      <c r="D340" s="34"/>
      <c r="E340" s="34"/>
    </row>
    <row r="341" spans="2:5" x14ac:dyDescent="0.25">
      <c r="B341" s="57" t="s">
        <v>56</v>
      </c>
      <c r="C341" s="57" t="s">
        <v>93</v>
      </c>
      <c r="D341" s="57" t="s">
        <v>70</v>
      </c>
      <c r="E341" s="57" t="s">
        <v>89</v>
      </c>
    </row>
    <row r="342" spans="2:5" x14ac:dyDescent="0.25">
      <c r="B342" s="58" t="s">
        <v>129</v>
      </c>
      <c r="C342" s="59"/>
      <c r="D342" s="59"/>
      <c r="E342" s="59"/>
    </row>
    <row r="343" spans="2:5" x14ac:dyDescent="0.25">
      <c r="B343" s="60" t="s">
        <v>133</v>
      </c>
      <c r="C343" s="61">
        <f>D333</f>
        <v>15410000</v>
      </c>
      <c r="D343" s="61"/>
      <c r="E343" s="61">
        <f>C343</f>
        <v>15410000</v>
      </c>
    </row>
    <row r="344" spans="2:5" x14ac:dyDescent="0.25">
      <c r="B344" s="60" t="s">
        <v>134</v>
      </c>
      <c r="C344" s="61">
        <f>D334</f>
        <v>1490000</v>
      </c>
      <c r="D344" s="61"/>
      <c r="E344" s="61">
        <f t="shared" ref="E344:E350" si="14">E343+C344-D344</f>
        <v>16900000</v>
      </c>
    </row>
    <row r="345" spans="2:5" x14ac:dyDescent="0.25">
      <c r="B345" s="60" t="s">
        <v>122</v>
      </c>
      <c r="C345" s="61">
        <v>0</v>
      </c>
      <c r="D345" s="61"/>
      <c r="E345" s="61">
        <f t="shared" si="14"/>
        <v>16900000</v>
      </c>
    </row>
    <row r="346" spans="2:5" x14ac:dyDescent="0.25">
      <c r="B346" s="60" t="s">
        <v>92</v>
      </c>
      <c r="C346" s="61"/>
      <c r="D346" s="61"/>
      <c r="E346" s="61">
        <f t="shared" si="14"/>
        <v>16900000</v>
      </c>
    </row>
    <row r="347" spans="2:5" x14ac:dyDescent="0.25">
      <c r="B347" s="60" t="s">
        <v>92</v>
      </c>
      <c r="C347" s="61"/>
      <c r="D347" s="61"/>
      <c r="E347" s="61">
        <f t="shared" si="14"/>
        <v>16900000</v>
      </c>
    </row>
    <row r="348" spans="2:5" x14ac:dyDescent="0.25">
      <c r="B348" s="60" t="s">
        <v>92</v>
      </c>
      <c r="C348" s="61"/>
      <c r="D348" s="61"/>
      <c r="E348" s="61">
        <f t="shared" si="14"/>
        <v>16900000</v>
      </c>
    </row>
    <row r="349" spans="2:5" x14ac:dyDescent="0.25">
      <c r="B349" s="60" t="s">
        <v>95</v>
      </c>
      <c r="C349" s="61"/>
      <c r="D349" s="61">
        <v>1490000</v>
      </c>
      <c r="E349" s="61">
        <f t="shared" si="14"/>
        <v>15410000</v>
      </c>
    </row>
    <row r="350" spans="2:5" x14ac:dyDescent="0.25">
      <c r="B350" s="60" t="s">
        <v>94</v>
      </c>
      <c r="C350" s="61"/>
      <c r="D350" s="61"/>
      <c r="E350" s="61">
        <f t="shared" si="14"/>
        <v>15410000</v>
      </c>
    </row>
    <row r="351" spans="2:5" x14ac:dyDescent="0.25">
      <c r="B351" s="60" t="s">
        <v>97</v>
      </c>
      <c r="C351" s="61">
        <v>24000</v>
      </c>
      <c r="D351" s="61"/>
      <c r="E351" s="61">
        <f t="shared" ref="E351:E360" si="15">E350+C351-D351</f>
        <v>15434000</v>
      </c>
    </row>
    <row r="352" spans="2:5" x14ac:dyDescent="0.25">
      <c r="B352" s="60" t="s">
        <v>98</v>
      </c>
      <c r="C352" s="61"/>
      <c r="D352" s="61">
        <v>24000</v>
      </c>
      <c r="E352" s="61">
        <f t="shared" si="15"/>
        <v>15410000</v>
      </c>
    </row>
    <row r="353" spans="2:5" x14ac:dyDescent="0.25">
      <c r="B353" s="60"/>
      <c r="C353" s="61"/>
      <c r="D353" s="61"/>
      <c r="E353" s="61">
        <f t="shared" si="15"/>
        <v>15410000</v>
      </c>
    </row>
    <row r="354" spans="2:5" x14ac:dyDescent="0.25">
      <c r="B354" s="60"/>
      <c r="C354" s="61"/>
      <c r="D354" s="61"/>
      <c r="E354" s="61">
        <f t="shared" si="15"/>
        <v>15410000</v>
      </c>
    </row>
    <row r="355" spans="2:5" x14ac:dyDescent="0.25">
      <c r="B355" s="60"/>
      <c r="C355" s="61"/>
      <c r="D355" s="61"/>
      <c r="E355" s="61">
        <f t="shared" si="15"/>
        <v>15410000</v>
      </c>
    </row>
    <row r="356" spans="2:5" x14ac:dyDescent="0.25">
      <c r="B356" s="60"/>
      <c r="C356" s="61"/>
      <c r="D356" s="61"/>
      <c r="E356" s="61">
        <f t="shared" si="15"/>
        <v>15410000</v>
      </c>
    </row>
    <row r="357" spans="2:5" x14ac:dyDescent="0.25">
      <c r="B357" s="60"/>
      <c r="C357" s="61"/>
      <c r="D357" s="61"/>
      <c r="E357" s="61">
        <f t="shared" si="15"/>
        <v>15410000</v>
      </c>
    </row>
    <row r="358" spans="2:5" x14ac:dyDescent="0.25">
      <c r="B358" s="60"/>
      <c r="C358" s="61"/>
      <c r="D358" s="61"/>
      <c r="E358" s="61">
        <f t="shared" si="15"/>
        <v>15410000</v>
      </c>
    </row>
    <row r="359" spans="2:5" x14ac:dyDescent="0.25">
      <c r="B359" s="60"/>
      <c r="C359" s="61"/>
      <c r="D359" s="61"/>
      <c r="E359" s="61">
        <f t="shared" si="15"/>
        <v>15410000</v>
      </c>
    </row>
    <row r="360" spans="2:5" x14ac:dyDescent="0.25">
      <c r="B360" s="60"/>
      <c r="C360" s="61"/>
      <c r="D360" s="61"/>
      <c r="E360" s="61">
        <f t="shared" si="15"/>
        <v>15410000</v>
      </c>
    </row>
    <row r="361" spans="2:5" x14ac:dyDescent="0.25">
      <c r="B361" s="60" t="s">
        <v>100</v>
      </c>
      <c r="C361" s="61">
        <f>SUM(C343:C344)</f>
        <v>16900000</v>
      </c>
      <c r="D361" s="61">
        <f>SUM(D346:D350)</f>
        <v>1490000</v>
      </c>
      <c r="E361" s="61">
        <f>C361-D361</f>
        <v>15410000</v>
      </c>
    </row>
    <row r="362" spans="2:5" x14ac:dyDescent="0.25">
      <c r="C362" s="34"/>
      <c r="D362" s="34"/>
      <c r="E362" s="34"/>
    </row>
    <row r="363" spans="2:5" x14ac:dyDescent="0.25">
      <c r="B363" s="60" t="s">
        <v>109</v>
      </c>
      <c r="C363" s="61"/>
      <c r="D363" s="61">
        <f>C361</f>
        <v>16900000</v>
      </c>
      <c r="E363" s="34"/>
    </row>
    <row r="364" spans="2:5" x14ac:dyDescent="0.25">
      <c r="B364" s="60" t="s">
        <v>94</v>
      </c>
      <c r="C364" s="61"/>
      <c r="D364" s="61">
        <f>SUMIF(B346:B360,"BELANJA BNU",D346:D360)</f>
        <v>0</v>
      </c>
      <c r="E364" s="34"/>
    </row>
    <row r="365" spans="2:5" x14ac:dyDescent="0.25">
      <c r="B365" s="60" t="s">
        <v>95</v>
      </c>
      <c r="C365" s="61"/>
      <c r="D365" s="61">
        <f>SUMIF(B346:B360,"BELANJA BPU",D346:D360)</f>
        <v>1490000</v>
      </c>
      <c r="E365" s="34"/>
    </row>
    <row r="366" spans="2:5" x14ac:dyDescent="0.25">
      <c r="B366" s="60" t="s">
        <v>82</v>
      </c>
      <c r="C366" s="61"/>
      <c r="D366" s="61">
        <f>SUMIF(B345:B360,"TARIK TUNAI",D345:D360)</f>
        <v>0</v>
      </c>
      <c r="E366" s="34"/>
    </row>
    <row r="367" spans="2:5" x14ac:dyDescent="0.25">
      <c r="B367" s="60" t="s">
        <v>101</v>
      </c>
      <c r="C367" s="61"/>
      <c r="D367" s="61">
        <f>D333-D364-D366</f>
        <v>15410000</v>
      </c>
      <c r="E367" s="34"/>
    </row>
    <row r="368" spans="2:5" x14ac:dyDescent="0.25">
      <c r="B368" s="60" t="s">
        <v>103</v>
      </c>
      <c r="C368" s="61"/>
      <c r="D368" s="61">
        <f>C344-D365</f>
        <v>0</v>
      </c>
      <c r="E368" s="34"/>
    </row>
    <row r="369" spans="2:5" x14ac:dyDescent="0.25">
      <c r="B369" s="60" t="s">
        <v>104</v>
      </c>
      <c r="C369" s="61"/>
      <c r="D369" s="61">
        <f>D367+D368</f>
        <v>15410000</v>
      </c>
      <c r="E369" s="34"/>
    </row>
    <row r="370" spans="2:5" x14ac:dyDescent="0.25">
      <c r="B370" s="60" t="s">
        <v>105</v>
      </c>
      <c r="C370" s="61"/>
      <c r="D370" s="61">
        <f>D364+D365</f>
        <v>1490000</v>
      </c>
      <c r="E370" s="34"/>
    </row>
    <row r="371" spans="2:5" x14ac:dyDescent="0.25">
      <c r="B371" s="60" t="s">
        <v>97</v>
      </c>
      <c r="C371" s="61"/>
      <c r="D371" s="61">
        <f>SUMIF(B345:B360,"TERIMA PAJAK",C345:C360)</f>
        <v>24000</v>
      </c>
      <c r="E371" s="34"/>
    </row>
    <row r="372" spans="2:5" x14ac:dyDescent="0.25">
      <c r="B372" s="60" t="s">
        <v>98</v>
      </c>
      <c r="C372" s="61"/>
      <c r="D372" s="61">
        <f>SUMIF(B345:B360,"SETOR PAJAK",D345:D360)</f>
        <v>24000</v>
      </c>
      <c r="E372" s="34"/>
    </row>
    <row r="373" spans="2:5" x14ac:dyDescent="0.25">
      <c r="C373" s="34"/>
      <c r="D373" s="34"/>
      <c r="E373" s="34"/>
    </row>
    <row r="374" spans="2:5" x14ac:dyDescent="0.25">
      <c r="C374" s="34"/>
      <c r="D374" s="34"/>
      <c r="E374" s="34"/>
    </row>
    <row r="375" spans="2:5" x14ac:dyDescent="0.25">
      <c r="B375" s="57" t="s">
        <v>56</v>
      </c>
      <c r="C375" s="57" t="s">
        <v>93</v>
      </c>
      <c r="D375" s="57" t="s">
        <v>70</v>
      </c>
      <c r="E375" s="57" t="s">
        <v>89</v>
      </c>
    </row>
    <row r="376" spans="2:5" x14ac:dyDescent="0.25">
      <c r="B376" s="58" t="s">
        <v>130</v>
      </c>
      <c r="C376" s="59"/>
      <c r="D376" s="59"/>
      <c r="E376" s="59"/>
    </row>
    <row r="377" spans="2:5" x14ac:dyDescent="0.25">
      <c r="B377" s="60" t="s">
        <v>131</v>
      </c>
      <c r="C377" s="61">
        <f>D367</f>
        <v>15410000</v>
      </c>
      <c r="D377" s="61"/>
      <c r="E377" s="61">
        <f>C377</f>
        <v>15410000</v>
      </c>
    </row>
    <row r="378" spans="2:5" x14ac:dyDescent="0.25">
      <c r="B378" s="60" t="s">
        <v>132</v>
      </c>
      <c r="C378" s="61">
        <f>D368</f>
        <v>0</v>
      </c>
      <c r="D378" s="61"/>
      <c r="E378" s="61">
        <f t="shared" ref="E378:E384" si="16">E377+C378-D378</f>
        <v>15410000</v>
      </c>
    </row>
    <row r="379" spans="2:5" x14ac:dyDescent="0.25">
      <c r="B379" s="60" t="s">
        <v>122</v>
      </c>
      <c r="C379" s="61">
        <v>0</v>
      </c>
      <c r="D379" s="61"/>
      <c r="E379" s="61">
        <f t="shared" si="16"/>
        <v>15410000</v>
      </c>
    </row>
    <row r="380" spans="2:5" x14ac:dyDescent="0.25">
      <c r="B380" s="60" t="s">
        <v>92</v>
      </c>
      <c r="C380" s="61"/>
      <c r="D380" s="61">
        <v>5130000</v>
      </c>
      <c r="E380" s="61">
        <f t="shared" si="16"/>
        <v>10280000</v>
      </c>
    </row>
    <row r="381" spans="2:5" x14ac:dyDescent="0.25">
      <c r="B381" s="60" t="s">
        <v>92</v>
      </c>
      <c r="C381" s="61"/>
      <c r="D381" s="61"/>
      <c r="E381" s="61">
        <f t="shared" si="16"/>
        <v>10280000</v>
      </c>
    </row>
    <row r="382" spans="2:5" x14ac:dyDescent="0.25">
      <c r="B382" s="60" t="s">
        <v>92</v>
      </c>
      <c r="C382" s="61"/>
      <c r="D382" s="61"/>
      <c r="E382" s="61">
        <f t="shared" si="16"/>
        <v>10280000</v>
      </c>
    </row>
    <row r="383" spans="2:5" x14ac:dyDescent="0.25">
      <c r="B383" s="60" t="s">
        <v>95</v>
      </c>
      <c r="C383" s="61"/>
      <c r="D383" s="61">
        <v>5130000</v>
      </c>
      <c r="E383" s="61">
        <f t="shared" si="16"/>
        <v>5150000</v>
      </c>
    </row>
    <row r="384" spans="2:5" x14ac:dyDescent="0.25">
      <c r="B384" s="60" t="s">
        <v>94</v>
      </c>
      <c r="C384" s="61"/>
      <c r="D384" s="61">
        <v>10280000</v>
      </c>
      <c r="E384" s="61">
        <f t="shared" si="16"/>
        <v>-5130000</v>
      </c>
    </row>
    <row r="385" spans="2:5" x14ac:dyDescent="0.25">
      <c r="B385" s="60" t="s">
        <v>97</v>
      </c>
      <c r="C385" s="61">
        <v>166000</v>
      </c>
      <c r="D385" s="61"/>
      <c r="E385" s="61">
        <f t="shared" ref="E385:E394" si="17">E384+C385-D385</f>
        <v>-4964000</v>
      </c>
    </row>
    <row r="386" spans="2:5" x14ac:dyDescent="0.25">
      <c r="B386" s="60" t="s">
        <v>98</v>
      </c>
      <c r="C386" s="61"/>
      <c r="D386" s="61">
        <v>166000</v>
      </c>
      <c r="E386" s="61">
        <f t="shared" si="17"/>
        <v>-5130000</v>
      </c>
    </row>
    <row r="387" spans="2:5" x14ac:dyDescent="0.25">
      <c r="B387" s="60"/>
      <c r="C387" s="61"/>
      <c r="D387" s="61"/>
      <c r="E387" s="61">
        <f t="shared" si="17"/>
        <v>-5130000</v>
      </c>
    </row>
    <row r="388" spans="2:5" x14ac:dyDescent="0.25">
      <c r="B388" s="60"/>
      <c r="C388" s="61"/>
      <c r="D388" s="61"/>
      <c r="E388" s="61">
        <f t="shared" si="17"/>
        <v>-5130000</v>
      </c>
    </row>
    <row r="389" spans="2:5" x14ac:dyDescent="0.25">
      <c r="B389" s="60"/>
      <c r="C389" s="61"/>
      <c r="D389" s="61"/>
      <c r="E389" s="61">
        <f t="shared" si="17"/>
        <v>-5130000</v>
      </c>
    </row>
    <row r="390" spans="2:5" x14ac:dyDescent="0.25">
      <c r="B390" s="60"/>
      <c r="C390" s="61"/>
      <c r="D390" s="61"/>
      <c r="E390" s="61">
        <f t="shared" si="17"/>
        <v>-5130000</v>
      </c>
    </row>
    <row r="391" spans="2:5" x14ac:dyDescent="0.25">
      <c r="B391" s="60"/>
      <c r="C391" s="61"/>
      <c r="D391" s="61"/>
      <c r="E391" s="61">
        <f t="shared" si="17"/>
        <v>-5130000</v>
      </c>
    </row>
    <row r="392" spans="2:5" x14ac:dyDescent="0.25">
      <c r="B392" s="60"/>
      <c r="C392" s="61"/>
      <c r="D392" s="61"/>
      <c r="E392" s="61">
        <f t="shared" si="17"/>
        <v>-5130000</v>
      </c>
    </row>
    <row r="393" spans="2:5" x14ac:dyDescent="0.25">
      <c r="B393" s="60"/>
      <c r="C393" s="61"/>
      <c r="D393" s="61"/>
      <c r="E393" s="61">
        <f t="shared" si="17"/>
        <v>-5130000</v>
      </c>
    </row>
    <row r="394" spans="2:5" x14ac:dyDescent="0.25">
      <c r="B394" s="60"/>
      <c r="C394" s="61"/>
      <c r="D394" s="61"/>
      <c r="E394" s="61">
        <f t="shared" si="17"/>
        <v>-5130000</v>
      </c>
    </row>
    <row r="395" spans="2:5" x14ac:dyDescent="0.25">
      <c r="B395" s="60" t="s">
        <v>100</v>
      </c>
      <c r="C395" s="61">
        <f>SUM(C377:C378)</f>
        <v>15410000</v>
      </c>
      <c r="D395" s="61">
        <f>D380+D384</f>
        <v>15410000</v>
      </c>
      <c r="E395" s="61">
        <f>C395-D395</f>
        <v>0</v>
      </c>
    </row>
    <row r="396" spans="2:5" x14ac:dyDescent="0.25">
      <c r="C396" s="34"/>
      <c r="D396" s="34"/>
      <c r="E396" s="34"/>
    </row>
    <row r="397" spans="2:5" x14ac:dyDescent="0.25">
      <c r="B397" s="60" t="s">
        <v>109</v>
      </c>
      <c r="C397" s="61"/>
      <c r="D397" s="61">
        <f>C395</f>
        <v>15410000</v>
      </c>
      <c r="E397" s="34"/>
    </row>
    <row r="398" spans="2:5" x14ac:dyDescent="0.25">
      <c r="B398" s="60" t="s">
        <v>94</v>
      </c>
      <c r="C398" s="61"/>
      <c r="D398" s="61">
        <f>SUMIF(B380:B394,"BELANJA BNU",D380:D394)</f>
        <v>10280000</v>
      </c>
      <c r="E398" s="34"/>
    </row>
    <row r="399" spans="2:5" x14ac:dyDescent="0.25">
      <c r="B399" s="60" t="s">
        <v>95</v>
      </c>
      <c r="C399" s="61"/>
      <c r="D399" s="61">
        <f>SUMIF(B380:B394,"BELANJA BPU",D380:D394)</f>
        <v>5130000</v>
      </c>
      <c r="E399" s="34"/>
    </row>
    <row r="400" spans="2:5" x14ac:dyDescent="0.25">
      <c r="B400" s="60" t="s">
        <v>82</v>
      </c>
      <c r="C400" s="61"/>
      <c r="D400" s="61">
        <f>SUMIF(B379:B394,"TARIK TUNAI",D379:D394)</f>
        <v>5130000</v>
      </c>
      <c r="E400" s="34"/>
    </row>
    <row r="401" spans="2:5" x14ac:dyDescent="0.25">
      <c r="B401" s="60" t="s">
        <v>101</v>
      </c>
      <c r="C401" s="61"/>
      <c r="D401" s="61">
        <f>D367-D398-D400</f>
        <v>0</v>
      </c>
      <c r="E401" s="34"/>
    </row>
    <row r="402" spans="2:5" x14ac:dyDescent="0.25">
      <c r="B402" s="60" t="s">
        <v>103</v>
      </c>
      <c r="C402" s="61"/>
      <c r="D402" s="61">
        <f>MAX(0,D400-D399)</f>
        <v>0</v>
      </c>
      <c r="E402" s="34"/>
    </row>
    <row r="403" spans="2:5" x14ac:dyDescent="0.25">
      <c r="B403" s="60" t="s">
        <v>104</v>
      </c>
      <c r="C403" s="61"/>
      <c r="D403" s="61">
        <f>D401+D402</f>
        <v>0</v>
      </c>
      <c r="E403" s="34"/>
    </row>
    <row r="404" spans="2:5" x14ac:dyDescent="0.25">
      <c r="B404" s="60" t="s">
        <v>105</v>
      </c>
      <c r="C404" s="61"/>
      <c r="D404" s="61">
        <f>D398+D399</f>
        <v>15410000</v>
      </c>
      <c r="E404" s="34"/>
    </row>
    <row r="405" spans="2:5" x14ac:dyDescent="0.25">
      <c r="B405" s="60" t="s">
        <v>97</v>
      </c>
      <c r="C405" s="61"/>
      <c r="D405" s="61">
        <f>SUMIF(B379:B394,"TERIMA PAJAK",C379:C394)</f>
        <v>166000</v>
      </c>
      <c r="E405" s="34"/>
    </row>
    <row r="406" spans="2:5" x14ac:dyDescent="0.25">
      <c r="B406" s="60" t="s">
        <v>98</v>
      </c>
      <c r="C406" s="61"/>
      <c r="D406" s="61">
        <f>SUMIF(B379:B394,"SETOR PAJAK",D379:D394)</f>
        <v>166000</v>
      </c>
      <c r="E406" s="34"/>
    </row>
    <row r="407" spans="2:5" x14ac:dyDescent="0.25">
      <c r="C407" s="34"/>
      <c r="D407" s="34"/>
      <c r="E407" s="34"/>
    </row>
    <row r="408" spans="2:5" x14ac:dyDescent="0.25">
      <c r="C408" s="34"/>
      <c r="D408" s="34"/>
      <c r="E408" s="34"/>
    </row>
    <row r="409" spans="2:5" x14ac:dyDescent="0.25">
      <c r="C409" s="34"/>
      <c r="D409" s="34"/>
      <c r="E409" s="34"/>
    </row>
    <row r="410" spans="2:5" x14ac:dyDescent="0.25">
      <c r="C410" s="34"/>
      <c r="D410" s="34"/>
      <c r="E410" s="34"/>
    </row>
    <row r="411" spans="2:5" x14ac:dyDescent="0.25">
      <c r="C411" s="34"/>
      <c r="D411" s="34"/>
      <c r="E411" s="34"/>
    </row>
    <row r="412" spans="2:5" x14ac:dyDescent="0.25">
      <c r="C412" s="34"/>
      <c r="D412" s="34"/>
      <c r="E412" s="34"/>
    </row>
    <row r="413" spans="2:5" x14ac:dyDescent="0.25">
      <c r="C413" s="34"/>
      <c r="D413" s="34"/>
      <c r="E413" s="34"/>
    </row>
    <row r="414" spans="2:5" x14ac:dyDescent="0.25">
      <c r="C414" s="34"/>
      <c r="D414" s="34"/>
      <c r="E414" s="34"/>
    </row>
    <row r="415" spans="2:5" x14ac:dyDescent="0.25">
      <c r="C415" s="34"/>
      <c r="D415" s="34"/>
      <c r="E415" s="34"/>
    </row>
    <row r="416" spans="2:5" x14ac:dyDescent="0.25">
      <c r="C416" s="34"/>
      <c r="D416" s="34"/>
      <c r="E416" s="34"/>
    </row>
    <row r="417" spans="3:5" x14ac:dyDescent="0.25">
      <c r="C417" s="34"/>
      <c r="D417" s="34"/>
      <c r="E417" s="34"/>
    </row>
    <row r="418" spans="3:5" x14ac:dyDescent="0.25">
      <c r="C418" s="34"/>
      <c r="D418" s="34"/>
      <c r="E418" s="34"/>
    </row>
    <row r="419" spans="3:5" x14ac:dyDescent="0.25">
      <c r="C419" s="34"/>
      <c r="D419" s="34"/>
      <c r="E419" s="34"/>
    </row>
    <row r="420" spans="3:5" x14ac:dyDescent="0.25">
      <c r="C420" s="34"/>
      <c r="D420" s="34"/>
      <c r="E420" s="34"/>
    </row>
    <row r="421" spans="3:5" x14ac:dyDescent="0.25">
      <c r="C421" s="34"/>
      <c r="D421" s="34"/>
      <c r="E421" s="34"/>
    </row>
    <row r="422" spans="3:5" x14ac:dyDescent="0.25">
      <c r="C422" s="34"/>
      <c r="D422" s="34"/>
      <c r="E422" s="34"/>
    </row>
    <row r="423" spans="3:5" x14ac:dyDescent="0.25">
      <c r="C423" s="34"/>
      <c r="D423" s="34"/>
      <c r="E423" s="34"/>
    </row>
    <row r="424" spans="3:5" x14ac:dyDescent="0.25">
      <c r="C424" s="34"/>
      <c r="D424" s="34"/>
      <c r="E424" s="34"/>
    </row>
    <row r="425" spans="3:5" x14ac:dyDescent="0.25">
      <c r="C425" s="34"/>
      <c r="D425" s="34"/>
      <c r="E425" s="34"/>
    </row>
    <row r="426" spans="3:5" x14ac:dyDescent="0.25">
      <c r="C426" s="34"/>
      <c r="D426" s="34"/>
      <c r="E426" s="34"/>
    </row>
    <row r="427" spans="3:5" x14ac:dyDescent="0.25">
      <c r="C427" s="34"/>
      <c r="D427" s="34"/>
      <c r="E427" s="34"/>
    </row>
    <row r="428" spans="3:5" x14ac:dyDescent="0.25">
      <c r="C428" s="34"/>
      <c r="D428" s="34"/>
      <c r="E428" s="34"/>
    </row>
    <row r="429" spans="3:5" x14ac:dyDescent="0.25">
      <c r="C429" s="34"/>
      <c r="D429" s="34"/>
      <c r="E429" s="34"/>
    </row>
    <row r="430" spans="3:5" x14ac:dyDescent="0.25">
      <c r="C430" s="34"/>
      <c r="D430" s="34"/>
      <c r="E430" s="34"/>
    </row>
    <row r="431" spans="3:5" x14ac:dyDescent="0.25">
      <c r="C431" s="34"/>
      <c r="D431" s="34"/>
      <c r="E431" s="34"/>
    </row>
    <row r="432" spans="3:5" x14ac:dyDescent="0.25">
      <c r="C432" s="34"/>
      <c r="D432" s="34"/>
      <c r="E432" s="34"/>
    </row>
    <row r="433" spans="3:5" x14ac:dyDescent="0.25">
      <c r="C433" s="34"/>
      <c r="D433" s="34"/>
      <c r="E433" s="34"/>
    </row>
    <row r="434" spans="3:5" x14ac:dyDescent="0.25">
      <c r="C434" s="34"/>
      <c r="D434" s="34"/>
      <c r="E434" s="34"/>
    </row>
    <row r="435" spans="3:5" x14ac:dyDescent="0.25">
      <c r="C435" s="34"/>
      <c r="D435" s="34"/>
      <c r="E435" s="34"/>
    </row>
    <row r="436" spans="3:5" x14ac:dyDescent="0.25">
      <c r="C436" s="34"/>
      <c r="D436" s="34"/>
      <c r="E436" s="34"/>
    </row>
    <row r="437" spans="3:5" x14ac:dyDescent="0.25">
      <c r="C437" s="34"/>
      <c r="D437" s="34"/>
      <c r="E437" s="34"/>
    </row>
    <row r="438" spans="3:5" x14ac:dyDescent="0.25">
      <c r="C438" s="34"/>
      <c r="D438" s="34"/>
      <c r="E438" s="34"/>
    </row>
    <row r="439" spans="3:5" x14ac:dyDescent="0.25">
      <c r="C439" s="34"/>
      <c r="D439" s="34"/>
      <c r="E439" s="34"/>
    </row>
    <row r="440" spans="3:5" x14ac:dyDescent="0.25">
      <c r="C440" s="34"/>
      <c r="D440" s="34"/>
      <c r="E440" s="34"/>
    </row>
    <row r="441" spans="3:5" x14ac:dyDescent="0.25">
      <c r="C441" s="34"/>
      <c r="D441" s="34"/>
      <c r="E441" s="34"/>
    </row>
    <row r="442" spans="3:5" x14ac:dyDescent="0.25">
      <c r="C442" s="34"/>
      <c r="D442" s="34"/>
      <c r="E442" s="34"/>
    </row>
    <row r="443" spans="3:5" x14ac:dyDescent="0.25">
      <c r="C443" s="34"/>
      <c r="D443" s="34"/>
      <c r="E443" s="34"/>
    </row>
    <row r="444" spans="3:5" x14ac:dyDescent="0.25">
      <c r="C444" s="34"/>
      <c r="D444" s="34"/>
      <c r="E444" s="34"/>
    </row>
    <row r="445" spans="3:5" x14ac:dyDescent="0.25">
      <c r="C445" s="34"/>
      <c r="D445" s="34"/>
      <c r="E445" s="34"/>
    </row>
    <row r="446" spans="3:5" x14ac:dyDescent="0.25">
      <c r="C446" s="34"/>
      <c r="D446" s="34"/>
      <c r="E446" s="34"/>
    </row>
    <row r="447" spans="3:5" x14ac:dyDescent="0.25">
      <c r="C447" s="34"/>
      <c r="D447" s="34"/>
      <c r="E447" s="34"/>
    </row>
    <row r="448" spans="3:5" x14ac:dyDescent="0.25">
      <c r="C448" s="34"/>
      <c r="D448" s="34"/>
      <c r="E448" s="34"/>
    </row>
    <row r="449" spans="3:5" x14ac:dyDescent="0.25">
      <c r="C449" s="34"/>
      <c r="D449" s="34"/>
      <c r="E449" s="34"/>
    </row>
    <row r="450" spans="3:5" x14ac:dyDescent="0.25">
      <c r="C450" s="34"/>
      <c r="D450" s="34"/>
      <c r="E450" s="34"/>
    </row>
    <row r="451" spans="3:5" x14ac:dyDescent="0.25">
      <c r="C451" s="34"/>
      <c r="D451" s="34"/>
      <c r="E451" s="34"/>
    </row>
    <row r="452" spans="3:5" x14ac:dyDescent="0.25">
      <c r="C452" s="34"/>
      <c r="D452" s="34"/>
      <c r="E452" s="34"/>
    </row>
    <row r="453" spans="3:5" x14ac:dyDescent="0.25">
      <c r="C453" s="34"/>
      <c r="D453" s="34"/>
      <c r="E453" s="34"/>
    </row>
    <row r="454" spans="3:5" x14ac:dyDescent="0.25">
      <c r="C454" s="34"/>
      <c r="D454" s="34"/>
      <c r="E454" s="34"/>
    </row>
    <row r="455" spans="3:5" x14ac:dyDescent="0.25">
      <c r="C455" s="34"/>
      <c r="D455" s="34"/>
      <c r="E455" s="34"/>
    </row>
    <row r="456" spans="3:5" x14ac:dyDescent="0.25">
      <c r="C456" s="34"/>
      <c r="D456" s="34"/>
      <c r="E456" s="34"/>
    </row>
    <row r="457" spans="3:5" x14ac:dyDescent="0.25">
      <c r="C457" s="34"/>
      <c r="D457" s="34"/>
      <c r="E457" s="34"/>
    </row>
    <row r="458" spans="3:5" x14ac:dyDescent="0.25">
      <c r="C458" s="34"/>
      <c r="D458" s="34"/>
      <c r="E458" s="34"/>
    </row>
    <row r="459" spans="3:5" x14ac:dyDescent="0.25">
      <c r="C459" s="34"/>
      <c r="D459" s="34"/>
      <c r="E459" s="34"/>
    </row>
    <row r="460" spans="3:5" x14ac:dyDescent="0.25">
      <c r="C460" s="34"/>
      <c r="D460" s="34"/>
      <c r="E460" s="34"/>
    </row>
    <row r="461" spans="3:5" x14ac:dyDescent="0.25">
      <c r="C461" s="34"/>
      <c r="D461" s="34"/>
      <c r="E461" s="34"/>
    </row>
    <row r="462" spans="3:5" x14ac:dyDescent="0.25">
      <c r="C462" s="34"/>
      <c r="D462" s="34"/>
      <c r="E462" s="34"/>
    </row>
    <row r="463" spans="3:5" x14ac:dyDescent="0.25">
      <c r="C463" s="34"/>
      <c r="D463" s="34"/>
      <c r="E463" s="34"/>
    </row>
    <row r="464" spans="3:5" x14ac:dyDescent="0.25">
      <c r="C464" s="34"/>
      <c r="D464" s="34"/>
      <c r="E464" s="34"/>
    </row>
    <row r="465" spans="3:5" x14ac:dyDescent="0.25">
      <c r="C465" s="34"/>
      <c r="D465" s="34"/>
      <c r="E465" s="34"/>
    </row>
    <row r="466" spans="3:5" x14ac:dyDescent="0.25">
      <c r="C466" s="34"/>
      <c r="D466" s="34"/>
      <c r="E466" s="34"/>
    </row>
    <row r="467" spans="3:5" x14ac:dyDescent="0.25">
      <c r="C467" s="34"/>
      <c r="D467" s="34"/>
      <c r="E467" s="34"/>
    </row>
    <row r="468" spans="3:5" x14ac:dyDescent="0.25">
      <c r="C468" s="34"/>
      <c r="D468" s="34"/>
      <c r="E468" s="34"/>
    </row>
    <row r="469" spans="3:5" x14ac:dyDescent="0.25">
      <c r="C469" s="34"/>
      <c r="D469" s="34"/>
      <c r="E469" s="34"/>
    </row>
    <row r="470" spans="3:5" x14ac:dyDescent="0.25">
      <c r="C470" s="34"/>
      <c r="D470" s="34"/>
      <c r="E470" s="34"/>
    </row>
    <row r="471" spans="3:5" x14ac:dyDescent="0.25">
      <c r="C471" s="34"/>
      <c r="D471" s="34"/>
      <c r="E471" s="34"/>
    </row>
    <row r="472" spans="3:5" x14ac:dyDescent="0.25">
      <c r="C472" s="34"/>
      <c r="D472" s="34"/>
      <c r="E472" s="34"/>
    </row>
    <row r="473" spans="3:5" x14ac:dyDescent="0.25">
      <c r="C473" s="34"/>
      <c r="D473" s="34"/>
      <c r="E473" s="34"/>
    </row>
    <row r="474" spans="3:5" x14ac:dyDescent="0.25">
      <c r="C474" s="34"/>
      <c r="D474" s="34"/>
      <c r="E474" s="34"/>
    </row>
    <row r="475" spans="3:5" x14ac:dyDescent="0.25">
      <c r="C475" s="34"/>
      <c r="D475" s="34"/>
      <c r="E475" s="34"/>
    </row>
    <row r="476" spans="3:5" x14ac:dyDescent="0.25">
      <c r="C476" s="34"/>
      <c r="D476" s="34"/>
      <c r="E476" s="34"/>
    </row>
    <row r="477" spans="3:5" x14ac:dyDescent="0.25">
      <c r="C477" s="34"/>
      <c r="D477" s="34"/>
      <c r="E477" s="34"/>
    </row>
    <row r="478" spans="3:5" x14ac:dyDescent="0.25">
      <c r="C478" s="34"/>
      <c r="D478" s="34"/>
      <c r="E478" s="34"/>
    </row>
    <row r="479" spans="3:5" x14ac:dyDescent="0.25">
      <c r="C479" s="34"/>
      <c r="D479" s="34"/>
      <c r="E479" s="34"/>
    </row>
    <row r="480" spans="3:5" x14ac:dyDescent="0.25">
      <c r="C480" s="34"/>
      <c r="D480" s="34"/>
      <c r="E480" s="34"/>
    </row>
    <row r="481" spans="3:5" x14ac:dyDescent="0.25">
      <c r="C481" s="34"/>
      <c r="D481" s="34"/>
      <c r="E481" s="34"/>
    </row>
    <row r="482" spans="3:5" x14ac:dyDescent="0.25">
      <c r="C482" s="34"/>
      <c r="D482" s="34"/>
      <c r="E482" s="34"/>
    </row>
    <row r="483" spans="3:5" x14ac:dyDescent="0.25">
      <c r="C483" s="34"/>
      <c r="D483" s="34"/>
      <c r="E483" s="34"/>
    </row>
    <row r="484" spans="3:5" x14ac:dyDescent="0.25">
      <c r="C484" s="34"/>
      <c r="D484" s="34"/>
      <c r="E484" s="34"/>
    </row>
    <row r="485" spans="3:5" x14ac:dyDescent="0.25">
      <c r="C485" s="34"/>
      <c r="D485" s="34"/>
      <c r="E485" s="34"/>
    </row>
    <row r="486" spans="3:5" x14ac:dyDescent="0.25">
      <c r="C486" s="34"/>
      <c r="D486" s="34"/>
      <c r="E486" s="34"/>
    </row>
    <row r="487" spans="3:5" x14ac:dyDescent="0.25">
      <c r="C487" s="34"/>
      <c r="D487" s="34"/>
      <c r="E487" s="34"/>
    </row>
    <row r="488" spans="3:5" x14ac:dyDescent="0.25">
      <c r="C488" s="34"/>
      <c r="D488" s="34"/>
      <c r="E488" s="34"/>
    </row>
    <row r="489" spans="3:5" x14ac:dyDescent="0.25">
      <c r="C489" s="34"/>
      <c r="D489" s="34"/>
      <c r="E489" s="34"/>
    </row>
    <row r="490" spans="3:5" x14ac:dyDescent="0.25">
      <c r="C490" s="34"/>
      <c r="D490" s="34"/>
      <c r="E490" s="34"/>
    </row>
    <row r="491" spans="3:5" x14ac:dyDescent="0.25">
      <c r="C491" s="34"/>
      <c r="D491" s="34"/>
      <c r="E491" s="34"/>
    </row>
    <row r="492" spans="3:5" x14ac:dyDescent="0.25">
      <c r="C492" s="34"/>
      <c r="D492" s="34"/>
      <c r="E492" s="34"/>
    </row>
    <row r="493" spans="3:5" x14ac:dyDescent="0.25">
      <c r="C493" s="34"/>
      <c r="D493" s="34"/>
      <c r="E493" s="34"/>
    </row>
    <row r="494" spans="3:5" x14ac:dyDescent="0.25">
      <c r="C494" s="34"/>
      <c r="D494" s="34"/>
      <c r="E494" s="34"/>
    </row>
    <row r="495" spans="3:5" x14ac:dyDescent="0.25">
      <c r="C495" s="34"/>
      <c r="D495" s="34"/>
      <c r="E495" s="34"/>
    </row>
    <row r="496" spans="3:5" x14ac:dyDescent="0.25">
      <c r="C496" s="34"/>
      <c r="D496" s="34"/>
      <c r="E496" s="34"/>
    </row>
    <row r="497" spans="3:5" x14ac:dyDescent="0.25">
      <c r="C497" s="34"/>
      <c r="D497" s="34"/>
      <c r="E497" s="34"/>
    </row>
    <row r="498" spans="3:5" x14ac:dyDescent="0.25">
      <c r="C498" s="34"/>
      <c r="D498" s="34"/>
      <c r="E498" s="34"/>
    </row>
    <row r="499" spans="3:5" x14ac:dyDescent="0.25">
      <c r="C499" s="34"/>
      <c r="D499" s="34"/>
      <c r="E499" s="34"/>
    </row>
    <row r="500" spans="3:5" x14ac:dyDescent="0.25">
      <c r="C500" s="34"/>
      <c r="D500" s="34"/>
      <c r="E500" s="34"/>
    </row>
    <row r="501" spans="3:5" x14ac:dyDescent="0.25">
      <c r="C501" s="34"/>
      <c r="D501" s="34"/>
      <c r="E501" s="34"/>
    </row>
    <row r="502" spans="3:5" x14ac:dyDescent="0.25">
      <c r="C502" s="34"/>
      <c r="D502" s="34"/>
      <c r="E502" s="34"/>
    </row>
    <row r="503" spans="3:5" x14ac:dyDescent="0.25">
      <c r="C503" s="34"/>
      <c r="D503" s="34"/>
      <c r="E503" s="34"/>
    </row>
    <row r="504" spans="3:5" x14ac:dyDescent="0.25">
      <c r="C504" s="34"/>
      <c r="D504" s="34"/>
      <c r="E504" s="34"/>
    </row>
    <row r="505" spans="3:5" x14ac:dyDescent="0.25">
      <c r="C505" s="34"/>
      <c r="D505" s="34"/>
      <c r="E505" s="34"/>
    </row>
    <row r="506" spans="3:5" x14ac:dyDescent="0.25">
      <c r="C506" s="34"/>
      <c r="D506" s="34"/>
      <c r="E506" s="34"/>
    </row>
    <row r="507" spans="3:5" x14ac:dyDescent="0.25">
      <c r="C507" s="34"/>
      <c r="D507" s="34"/>
      <c r="E507" s="34"/>
    </row>
    <row r="508" spans="3:5" x14ac:dyDescent="0.25">
      <c r="C508" s="34"/>
      <c r="D508" s="34"/>
      <c r="E508" s="34"/>
    </row>
    <row r="509" spans="3:5" x14ac:dyDescent="0.25">
      <c r="C509" s="34"/>
      <c r="D509" s="34"/>
      <c r="E509" s="34"/>
    </row>
    <row r="510" spans="3:5" x14ac:dyDescent="0.25">
      <c r="C510" s="34"/>
      <c r="D510" s="34"/>
      <c r="E510" s="34"/>
    </row>
    <row r="511" spans="3:5" x14ac:dyDescent="0.25">
      <c r="C511" s="34"/>
      <c r="D511" s="34"/>
      <c r="E511" s="34"/>
    </row>
    <row r="512" spans="3:5" x14ac:dyDescent="0.25">
      <c r="C512" s="34"/>
      <c r="D512" s="34"/>
      <c r="E512" s="34"/>
    </row>
    <row r="513" spans="3:5" x14ac:dyDescent="0.25">
      <c r="C513" s="34"/>
      <c r="D513" s="34"/>
      <c r="E513" s="34"/>
    </row>
    <row r="514" spans="3:5" x14ac:dyDescent="0.25">
      <c r="C514" s="34"/>
      <c r="D514" s="34"/>
      <c r="E514" s="34"/>
    </row>
    <row r="515" spans="3:5" x14ac:dyDescent="0.25">
      <c r="C515" s="34"/>
      <c r="D515" s="34"/>
      <c r="E515" s="34"/>
    </row>
    <row r="516" spans="3:5" x14ac:dyDescent="0.25">
      <c r="C516" s="34"/>
      <c r="D516" s="34"/>
      <c r="E516" s="34"/>
    </row>
    <row r="517" spans="3:5" x14ac:dyDescent="0.25">
      <c r="C517" s="34"/>
      <c r="D517" s="34"/>
      <c r="E517" s="34"/>
    </row>
    <row r="518" spans="3:5" x14ac:dyDescent="0.25">
      <c r="C518" s="34"/>
      <c r="D518" s="34"/>
      <c r="E518" s="34"/>
    </row>
    <row r="519" spans="3:5" x14ac:dyDescent="0.25">
      <c r="C519" s="34"/>
      <c r="D519" s="34"/>
      <c r="E519" s="34"/>
    </row>
    <row r="520" spans="3:5" x14ac:dyDescent="0.25">
      <c r="C520" s="34"/>
      <c r="D520" s="34"/>
      <c r="E520" s="34"/>
    </row>
    <row r="521" spans="3:5" x14ac:dyDescent="0.25">
      <c r="C521" s="34"/>
      <c r="D521" s="34"/>
      <c r="E521" s="34"/>
    </row>
    <row r="522" spans="3:5" x14ac:dyDescent="0.25">
      <c r="C522" s="34"/>
      <c r="D522" s="34"/>
      <c r="E522" s="34"/>
    </row>
    <row r="523" spans="3:5" x14ac:dyDescent="0.25">
      <c r="C523" s="34"/>
      <c r="D523" s="34"/>
      <c r="E523" s="34"/>
    </row>
    <row r="524" spans="3:5" x14ac:dyDescent="0.25">
      <c r="C524" s="34"/>
      <c r="D524" s="34"/>
      <c r="E524" s="34"/>
    </row>
    <row r="525" spans="3:5" x14ac:dyDescent="0.25">
      <c r="C525" s="34"/>
      <c r="D525" s="34"/>
      <c r="E525" s="34"/>
    </row>
    <row r="526" spans="3:5" x14ac:dyDescent="0.25">
      <c r="C526" s="34"/>
      <c r="D526" s="34"/>
      <c r="E526" s="34"/>
    </row>
    <row r="527" spans="3:5" x14ac:dyDescent="0.25">
      <c r="C527" s="34"/>
      <c r="D527" s="34"/>
      <c r="E527" s="34"/>
    </row>
    <row r="528" spans="3:5" x14ac:dyDescent="0.25">
      <c r="C528" s="34"/>
      <c r="D528" s="34"/>
      <c r="E528" s="34"/>
    </row>
    <row r="529" spans="3:5" x14ac:dyDescent="0.25">
      <c r="C529" s="34"/>
      <c r="D529" s="34"/>
      <c r="E529" s="34"/>
    </row>
    <row r="530" spans="3:5" x14ac:dyDescent="0.25">
      <c r="C530" s="34"/>
      <c r="D530" s="34"/>
      <c r="E530" s="34"/>
    </row>
    <row r="531" spans="3:5" x14ac:dyDescent="0.25">
      <c r="C531" s="34"/>
      <c r="D531" s="34"/>
      <c r="E531" s="34"/>
    </row>
    <row r="532" spans="3:5" x14ac:dyDescent="0.25">
      <c r="C532" s="34"/>
      <c r="D532" s="34"/>
      <c r="E532" s="34"/>
    </row>
    <row r="533" spans="3:5" x14ac:dyDescent="0.25">
      <c r="C533" s="34"/>
      <c r="D533" s="34"/>
      <c r="E533" s="34"/>
    </row>
    <row r="534" spans="3:5" x14ac:dyDescent="0.25">
      <c r="C534" s="34"/>
      <c r="D534" s="34"/>
      <c r="E534" s="34"/>
    </row>
    <row r="535" spans="3:5" x14ac:dyDescent="0.25">
      <c r="C535" s="34"/>
      <c r="D535" s="34"/>
      <c r="E535" s="34"/>
    </row>
    <row r="536" spans="3:5" x14ac:dyDescent="0.25">
      <c r="C536" s="34"/>
      <c r="D536" s="34"/>
      <c r="E536" s="34"/>
    </row>
    <row r="537" spans="3:5" x14ac:dyDescent="0.25">
      <c r="C537" s="34"/>
      <c r="D537" s="34"/>
      <c r="E537" s="34"/>
    </row>
    <row r="538" spans="3:5" x14ac:dyDescent="0.25">
      <c r="C538" s="34"/>
      <c r="D538" s="34"/>
      <c r="E538" s="34"/>
    </row>
    <row r="539" spans="3:5" x14ac:dyDescent="0.25">
      <c r="C539" s="34"/>
      <c r="D539" s="34"/>
      <c r="E539" s="34"/>
    </row>
    <row r="540" spans="3:5" x14ac:dyDescent="0.25">
      <c r="C540" s="34"/>
      <c r="D540" s="34"/>
      <c r="E540" s="34"/>
    </row>
  </sheetData>
  <pageMargins left="0.70866141732283472" right="0.70866141732283472" top="0.74803149606299213" bottom="1.5748031496062993" header="0.31496062992125984" footer="0.31496062992125984"/>
  <pageSetup paperSize="5" scale="9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Y48"/>
  <sheetViews>
    <sheetView view="pageBreakPreview" zoomScaleNormal="80" zoomScaleSheetLayoutView="100" workbookViewId="0">
      <selection activeCell="F9" sqref="F9:H9"/>
    </sheetView>
  </sheetViews>
  <sheetFormatPr defaultColWidth="0" defaultRowHeight="15" x14ac:dyDescent="0.25"/>
  <cols>
    <col min="1" max="1" width="2.42578125" customWidth="1"/>
    <col min="2" max="2" width="3.140625" customWidth="1"/>
    <col min="3" max="3" width="22.140625" customWidth="1"/>
    <col min="4" max="4" width="17" customWidth="1"/>
    <col min="5" max="5" width="2.5703125" customWidth="1"/>
    <col min="6" max="6" width="5.85546875" customWidth="1"/>
    <col min="7" max="7" width="16.85546875" customWidth="1"/>
    <col min="8" max="8" width="24.42578125" customWidth="1"/>
    <col min="9" max="9" width="4.5703125" customWidth="1"/>
    <col min="10" max="10" width="9.140625" customWidth="1"/>
    <col min="11" max="11" width="12.5703125" bestFit="1" customWidth="1"/>
    <col min="12" max="12" width="10" hidden="1" customWidth="1"/>
    <col min="13" max="13" width="11.5703125" hidden="1" customWidth="1"/>
    <col min="14" max="14" width="12.140625" hidden="1" customWidth="1"/>
    <col min="15" max="15" width="12.5703125" hidden="1" customWidth="1"/>
    <col min="16" max="16" width="14.140625" hidden="1" customWidth="1"/>
    <col min="17" max="19" width="10.140625" hidden="1" customWidth="1"/>
    <col min="20" max="16384" width="9.140625" hidden="1"/>
  </cols>
  <sheetData>
    <row r="1" spans="2:25" x14ac:dyDescent="0.25">
      <c r="B1" s="1"/>
      <c r="C1" s="1"/>
      <c r="D1" s="1"/>
      <c r="E1" s="1"/>
      <c r="F1" s="1"/>
      <c r="G1" s="1"/>
    </row>
    <row r="2" spans="2:25" x14ac:dyDescent="0.25">
      <c r="B2" s="1"/>
      <c r="C2" s="1"/>
      <c r="D2" s="1"/>
      <c r="E2" s="1"/>
      <c r="F2" s="1"/>
      <c r="G2" s="1"/>
      <c r="H2" s="1"/>
      <c r="K2" s="30" t="s">
        <v>68</v>
      </c>
    </row>
    <row r="3" spans="2:25" x14ac:dyDescent="0.25">
      <c r="B3" s="63" t="s">
        <v>0</v>
      </c>
      <c r="C3" s="63"/>
      <c r="D3" s="63"/>
      <c r="E3" s="63"/>
      <c r="F3" s="63"/>
      <c r="G3" s="63"/>
      <c r="H3" s="63"/>
      <c r="K3" s="36" t="s">
        <v>2</v>
      </c>
    </row>
    <row r="4" spans="2:25" x14ac:dyDescent="0.25">
      <c r="B4" s="63" t="s">
        <v>1</v>
      </c>
      <c r="C4" s="63"/>
      <c r="D4" s="63"/>
      <c r="E4" s="63"/>
      <c r="F4" s="63"/>
      <c r="G4" s="63"/>
      <c r="H4" s="63"/>
    </row>
    <row r="5" spans="2:25" x14ac:dyDescent="0.25">
      <c r="B5" s="64" t="str">
        <f>UPPER("PERIODE : BULAN "&amp;VLOOKUP($K$3,$L$15:$N$27,1,FALSE)&amp;" 2025")</f>
        <v>PERIODE : BULAN DESEMBER 2025</v>
      </c>
      <c r="C5" s="64"/>
      <c r="D5" s="64"/>
      <c r="E5" s="64"/>
      <c r="F5" s="64"/>
      <c r="G5" s="64"/>
      <c r="H5" s="64"/>
      <c r="L5" s="32"/>
      <c r="M5" s="32"/>
      <c r="N5" s="32"/>
      <c r="O5" s="32"/>
      <c r="P5" s="32"/>
      <c r="Q5" s="32"/>
      <c r="R5" s="32"/>
    </row>
    <row r="6" spans="2:25" x14ac:dyDescent="0.25">
      <c r="B6" s="1"/>
      <c r="C6" s="1"/>
      <c r="D6" s="1"/>
      <c r="E6" s="1"/>
      <c r="F6" s="1"/>
      <c r="G6" s="1"/>
      <c r="H6" s="1"/>
    </row>
    <row r="7" spans="2:25" x14ac:dyDescent="0.25">
      <c r="B7" s="1" t="s">
        <v>3</v>
      </c>
      <c r="C7" s="1"/>
      <c r="D7" s="1"/>
      <c r="E7" s="1" t="s">
        <v>4</v>
      </c>
      <c r="F7" s="79">
        <f>VLOOKUP($K$3,$L$15:$N$27,3,FALSE)</f>
        <v>46022</v>
      </c>
      <c r="G7" s="79"/>
      <c r="H7" s="79"/>
    </row>
    <row r="8" spans="2:25" x14ac:dyDescent="0.25">
      <c r="B8" s="1" t="s">
        <v>5</v>
      </c>
      <c r="C8" s="1"/>
      <c r="D8" s="1"/>
      <c r="E8" s="1" t="s">
        <v>4</v>
      </c>
      <c r="F8" s="80" t="str">
        <f>Data!C8</f>
        <v>AHMAD, S.Pd</v>
      </c>
      <c r="G8" s="81"/>
      <c r="H8" s="81"/>
    </row>
    <row r="9" spans="2:25" x14ac:dyDescent="0.25">
      <c r="B9" s="1" t="s">
        <v>6</v>
      </c>
      <c r="C9" s="1"/>
      <c r="D9" s="1"/>
      <c r="E9" s="1" t="s">
        <v>4</v>
      </c>
      <c r="F9" s="79">
        <f>VLOOKUP($K$3,$L$15:$N$27,2,FALSE)</f>
        <v>45990</v>
      </c>
      <c r="G9" s="79"/>
      <c r="H9" s="79"/>
    </row>
    <row r="10" spans="2:25" x14ac:dyDescent="0.25">
      <c r="B10" s="1" t="s">
        <v>7</v>
      </c>
      <c r="C10" s="1"/>
      <c r="D10" s="1"/>
      <c r="E10" s="1" t="s">
        <v>8</v>
      </c>
      <c r="F10" s="82">
        <f>VLOOKUP($K$3,'BKU--'!$A$1:$G$15,2,FALSE)</f>
        <v>15410000</v>
      </c>
      <c r="G10" s="82"/>
      <c r="H10" s="2"/>
    </row>
    <row r="11" spans="2:25" x14ac:dyDescent="0.25">
      <c r="B11" s="1" t="s">
        <v>9</v>
      </c>
      <c r="C11" s="1"/>
      <c r="D11" s="1"/>
      <c r="E11" s="1" t="s">
        <v>8</v>
      </c>
      <c r="F11" s="82">
        <f>VLOOKUP($K$3,'BKU--'!$A$1:$G$15,3,FALSE)</f>
        <v>15410000</v>
      </c>
      <c r="G11" s="82"/>
      <c r="H11" s="2"/>
    </row>
    <row r="12" spans="2:25" x14ac:dyDescent="0.25">
      <c r="B12" s="75" t="s">
        <v>10</v>
      </c>
      <c r="C12" s="75"/>
      <c r="D12" s="75"/>
      <c r="E12" s="3" t="s">
        <v>8</v>
      </c>
      <c r="F12" s="76">
        <f>F10-F11</f>
        <v>0</v>
      </c>
      <c r="G12" s="76"/>
      <c r="H12" s="4"/>
    </row>
    <row r="13" spans="2:25" x14ac:dyDescent="0.25">
      <c r="B13" s="75" t="s">
        <v>11</v>
      </c>
      <c r="C13" s="75"/>
      <c r="D13" s="75"/>
      <c r="E13" s="3" t="s">
        <v>8</v>
      </c>
      <c r="F13" s="76">
        <f>H23+H29+H31</f>
        <v>0</v>
      </c>
      <c r="G13" s="76"/>
      <c r="H13" s="4"/>
    </row>
    <row r="14" spans="2:25" x14ac:dyDescent="0.25">
      <c r="B14" s="1"/>
      <c r="C14" s="1"/>
      <c r="D14" s="1"/>
      <c r="E14" s="1"/>
      <c r="F14" s="1"/>
      <c r="G14" s="1"/>
      <c r="H14" s="5"/>
    </row>
    <row r="15" spans="2:25" x14ac:dyDescent="0.25">
      <c r="B15" s="1"/>
      <c r="C15" s="1" t="s">
        <v>12</v>
      </c>
      <c r="D15" s="1"/>
      <c r="E15" s="1"/>
      <c r="F15" s="1"/>
      <c r="G15" s="1"/>
      <c r="H15" s="1"/>
      <c r="K15" s="37" t="s">
        <v>79</v>
      </c>
      <c r="L15" s="31" t="s">
        <v>67</v>
      </c>
      <c r="M15" s="33" t="s">
        <v>3</v>
      </c>
      <c r="N15" s="31" t="s">
        <v>6</v>
      </c>
      <c r="P15" s="35">
        <v>100000</v>
      </c>
      <c r="Q15" s="35">
        <v>50000</v>
      </c>
      <c r="R15" s="35">
        <v>20000</v>
      </c>
      <c r="S15" s="35">
        <v>10000</v>
      </c>
      <c r="T15" s="35">
        <v>5000</v>
      </c>
      <c r="U15" s="35">
        <v>2000</v>
      </c>
      <c r="V15" s="35">
        <v>1000</v>
      </c>
      <c r="W15">
        <v>500</v>
      </c>
      <c r="X15">
        <v>200</v>
      </c>
      <c r="Y15">
        <v>100</v>
      </c>
    </row>
    <row r="16" spans="2:25" x14ac:dyDescent="0.25">
      <c r="B16" s="1" t="s">
        <v>13</v>
      </c>
      <c r="C16" s="1" t="s">
        <v>14</v>
      </c>
      <c r="D16" s="6">
        <v>100000</v>
      </c>
      <c r="E16" s="83">
        <f t="shared" ref="E16:E22" si="0">H16/D16</f>
        <v>0</v>
      </c>
      <c r="F16" s="84"/>
      <c r="G16" s="7" t="s">
        <v>15</v>
      </c>
      <c r="H16" s="8">
        <f>P16</f>
        <v>0</v>
      </c>
      <c r="K16" s="38">
        <f>VLOOKUP($K$3,'BKU--'!$A$1:$G$15,5,FALSE)</f>
        <v>0</v>
      </c>
      <c r="L16" t="s">
        <v>57</v>
      </c>
      <c r="M16" s="29">
        <v>45657</v>
      </c>
      <c r="N16" s="29">
        <v>45688</v>
      </c>
      <c r="O16" s="34">
        <f>K16</f>
        <v>0</v>
      </c>
      <c r="P16" s="34">
        <f>FLOOR($O16,P$15)</f>
        <v>0</v>
      </c>
      <c r="Q16">
        <f>FLOOR($O16-P16,Q$15)</f>
        <v>0</v>
      </c>
      <c r="R16">
        <f>FLOOR($O16-SUM($P16:Q16),R$15)</f>
        <v>0</v>
      </c>
      <c r="S16">
        <f>FLOOR($O16-SUM($P16:R16),S$15)</f>
        <v>0</v>
      </c>
      <c r="T16">
        <f>FLOOR($O16-SUM($P16:S16),T$15)</f>
        <v>0</v>
      </c>
      <c r="U16">
        <f>FLOOR($O16-SUM($P16:T16),U$15)</f>
        <v>0</v>
      </c>
      <c r="V16">
        <f>FLOOR($O16-SUM($P16:U16),V$15)</f>
        <v>0</v>
      </c>
      <c r="W16">
        <f>FLOOR($O16-SUM($P16:V16),W$15)</f>
        <v>0</v>
      </c>
      <c r="X16">
        <f>FLOOR($O16-SUM($P16:W16),X$15)</f>
        <v>0</v>
      </c>
      <c r="Y16">
        <f>FLOOR($O16-SUM($P16:X16),Y$15)</f>
        <v>0</v>
      </c>
    </row>
    <row r="17" spans="2:15" x14ac:dyDescent="0.25">
      <c r="B17" s="1"/>
      <c r="C17" s="1" t="s">
        <v>14</v>
      </c>
      <c r="D17" s="6">
        <v>50000</v>
      </c>
      <c r="E17" s="77">
        <f t="shared" si="0"/>
        <v>0</v>
      </c>
      <c r="F17" s="78"/>
      <c r="G17" s="7" t="s">
        <v>15</v>
      </c>
      <c r="H17" s="8">
        <f>Q16</f>
        <v>0</v>
      </c>
      <c r="L17" t="s">
        <v>58</v>
      </c>
      <c r="M17" s="29">
        <v>45688</v>
      </c>
      <c r="N17" s="29">
        <v>45716</v>
      </c>
      <c r="O17" s="39"/>
    </row>
    <row r="18" spans="2:15" x14ac:dyDescent="0.25">
      <c r="B18" s="1"/>
      <c r="C18" s="1" t="s">
        <v>14</v>
      </c>
      <c r="D18" s="6">
        <v>20000</v>
      </c>
      <c r="E18" s="77">
        <f t="shared" si="0"/>
        <v>0</v>
      </c>
      <c r="F18" s="78"/>
      <c r="G18" s="7" t="s">
        <v>15</v>
      </c>
      <c r="H18" s="8">
        <f>R16</f>
        <v>0</v>
      </c>
      <c r="K18" s="39"/>
      <c r="L18" t="s">
        <v>59</v>
      </c>
      <c r="M18" s="29">
        <v>45716</v>
      </c>
      <c r="N18" s="29">
        <v>45743</v>
      </c>
      <c r="O18" s="39"/>
    </row>
    <row r="19" spans="2:15" x14ac:dyDescent="0.25">
      <c r="B19" s="1"/>
      <c r="C19" s="1" t="s">
        <v>14</v>
      </c>
      <c r="D19" s="6">
        <v>10000</v>
      </c>
      <c r="E19" s="77">
        <f t="shared" si="0"/>
        <v>0</v>
      </c>
      <c r="F19" s="78"/>
      <c r="G19" s="7" t="s">
        <v>15</v>
      </c>
      <c r="H19" s="8">
        <f>S16</f>
        <v>0</v>
      </c>
      <c r="L19" t="s">
        <v>60</v>
      </c>
      <c r="M19" s="29">
        <v>45743</v>
      </c>
      <c r="N19" s="29">
        <v>45777</v>
      </c>
      <c r="O19" s="39"/>
    </row>
    <row r="20" spans="2:15" x14ac:dyDescent="0.25">
      <c r="B20" s="1"/>
      <c r="C20" s="1" t="s">
        <v>14</v>
      </c>
      <c r="D20" s="6">
        <v>5000</v>
      </c>
      <c r="E20" s="78">
        <f t="shared" si="0"/>
        <v>0</v>
      </c>
      <c r="F20" s="78"/>
      <c r="G20" s="7" t="s">
        <v>15</v>
      </c>
      <c r="H20" s="8">
        <f>T16</f>
        <v>0</v>
      </c>
      <c r="L20" t="s">
        <v>48</v>
      </c>
      <c r="M20" s="29">
        <v>45777</v>
      </c>
      <c r="N20" s="29">
        <v>45808</v>
      </c>
      <c r="O20" s="39"/>
    </row>
    <row r="21" spans="2:15" x14ac:dyDescent="0.25">
      <c r="B21" s="1"/>
      <c r="C21" s="1" t="s">
        <v>14</v>
      </c>
      <c r="D21" s="6">
        <v>2000</v>
      </c>
      <c r="E21" s="78">
        <f t="shared" si="0"/>
        <v>0</v>
      </c>
      <c r="F21" s="78"/>
      <c r="G21" s="7" t="s">
        <v>15</v>
      </c>
      <c r="H21" s="8">
        <f>U16</f>
        <v>0</v>
      </c>
      <c r="L21" t="s">
        <v>61</v>
      </c>
      <c r="M21" s="29">
        <v>45808</v>
      </c>
      <c r="N21" s="29">
        <v>45838</v>
      </c>
    </row>
    <row r="22" spans="2:15" x14ac:dyDescent="0.25">
      <c r="B22" s="1"/>
      <c r="C22" s="1" t="s">
        <v>14</v>
      </c>
      <c r="D22" s="6">
        <v>1000</v>
      </c>
      <c r="E22" s="78">
        <f t="shared" si="0"/>
        <v>0</v>
      </c>
      <c r="F22" s="78"/>
      <c r="G22" s="7" t="s">
        <v>15</v>
      </c>
      <c r="H22" s="8">
        <f>V16</f>
        <v>0</v>
      </c>
      <c r="L22" t="s">
        <v>62</v>
      </c>
      <c r="M22" s="29">
        <v>45838</v>
      </c>
      <c r="N22" s="29">
        <v>45869</v>
      </c>
    </row>
    <row r="23" spans="2:15" x14ac:dyDescent="0.25">
      <c r="B23" s="3"/>
      <c r="C23" s="3"/>
      <c r="D23" s="9"/>
      <c r="E23" s="10"/>
      <c r="F23" s="10" t="s">
        <v>16</v>
      </c>
      <c r="G23" s="3"/>
      <c r="H23" s="11">
        <f>SUM(H16:H22)</f>
        <v>0</v>
      </c>
      <c r="L23" t="s">
        <v>63</v>
      </c>
      <c r="M23" s="29">
        <v>45869</v>
      </c>
      <c r="N23" s="29">
        <v>45899</v>
      </c>
    </row>
    <row r="24" spans="2:15" x14ac:dyDescent="0.25">
      <c r="B24" s="1"/>
      <c r="C24" s="1"/>
      <c r="D24" s="6"/>
      <c r="E24" s="12"/>
      <c r="F24" s="12"/>
      <c r="G24" s="1"/>
      <c r="H24" s="13"/>
      <c r="L24" t="s">
        <v>64</v>
      </c>
      <c r="M24" s="29">
        <v>45899</v>
      </c>
      <c r="N24" s="29">
        <v>45930</v>
      </c>
    </row>
    <row r="25" spans="2:15" x14ac:dyDescent="0.25">
      <c r="B25" s="1" t="s">
        <v>17</v>
      </c>
      <c r="C25" s="1" t="s">
        <v>18</v>
      </c>
      <c r="D25" s="6">
        <v>1000</v>
      </c>
      <c r="E25" s="84">
        <v>0</v>
      </c>
      <c r="F25" s="84"/>
      <c r="G25" s="1" t="s">
        <v>19</v>
      </c>
      <c r="H25" s="8">
        <f>D25*E25</f>
        <v>0</v>
      </c>
      <c r="L25" t="s">
        <v>65</v>
      </c>
      <c r="M25" s="29">
        <v>45930</v>
      </c>
      <c r="N25" s="29">
        <v>45961</v>
      </c>
    </row>
    <row r="26" spans="2:15" x14ac:dyDescent="0.25">
      <c r="B26" s="1"/>
      <c r="C26" s="1" t="s">
        <v>18</v>
      </c>
      <c r="D26" s="6">
        <v>500</v>
      </c>
      <c r="E26" s="77">
        <f>H26/D26</f>
        <v>0</v>
      </c>
      <c r="F26" s="78"/>
      <c r="G26" s="1" t="s">
        <v>19</v>
      </c>
      <c r="H26" s="8">
        <f>W16</f>
        <v>0</v>
      </c>
      <c r="L26" t="s">
        <v>66</v>
      </c>
      <c r="M26" s="29">
        <v>45961</v>
      </c>
      <c r="N26" s="29">
        <v>45990</v>
      </c>
    </row>
    <row r="27" spans="2:15" x14ac:dyDescent="0.25">
      <c r="B27" s="1"/>
      <c r="C27" s="1" t="s">
        <v>18</v>
      </c>
      <c r="D27" s="6">
        <v>200</v>
      </c>
      <c r="E27" s="77">
        <f>H27/D27</f>
        <v>0</v>
      </c>
      <c r="F27" s="78"/>
      <c r="G27" s="1" t="s">
        <v>19</v>
      </c>
      <c r="H27" s="8">
        <f>X16</f>
        <v>0</v>
      </c>
      <c r="L27" t="s">
        <v>2</v>
      </c>
      <c r="M27" s="29">
        <v>45990</v>
      </c>
      <c r="N27" s="29">
        <v>46022</v>
      </c>
    </row>
    <row r="28" spans="2:15" x14ac:dyDescent="0.25">
      <c r="B28" s="1"/>
      <c r="C28" s="1" t="s">
        <v>18</v>
      </c>
      <c r="D28" s="6">
        <v>100</v>
      </c>
      <c r="E28" s="77">
        <f>H28/D28</f>
        <v>0</v>
      </c>
      <c r="F28" s="78"/>
      <c r="G28" s="1" t="s">
        <v>19</v>
      </c>
      <c r="H28" s="8">
        <f>Y16</f>
        <v>0</v>
      </c>
      <c r="M28" s="29"/>
    </row>
    <row r="29" spans="2:15" x14ac:dyDescent="0.25">
      <c r="B29" s="3"/>
      <c r="C29" s="3"/>
      <c r="D29" s="3"/>
      <c r="E29" s="14"/>
      <c r="F29" s="3" t="s">
        <v>20</v>
      </c>
      <c r="G29" s="3"/>
      <c r="H29" s="11">
        <f>SUM(H25:H28)</f>
        <v>0</v>
      </c>
    </row>
    <row r="30" spans="2:15" x14ac:dyDescent="0.25">
      <c r="B30" s="1"/>
      <c r="C30" s="1"/>
      <c r="D30" s="1"/>
      <c r="E30" s="5"/>
      <c r="F30" s="1"/>
      <c r="G30" s="1"/>
      <c r="H30" s="15"/>
    </row>
    <row r="31" spans="2:15" x14ac:dyDescent="0.25">
      <c r="B31" s="1" t="s">
        <v>21</v>
      </c>
      <c r="C31" s="1" t="s">
        <v>22</v>
      </c>
      <c r="D31" s="1"/>
      <c r="E31" s="1"/>
      <c r="F31" s="3" t="s">
        <v>23</v>
      </c>
      <c r="G31" s="1"/>
      <c r="H31" s="11">
        <f>VLOOKUP($K$3,'BKU--'!$A$1:$G$15,6,FALSE)</f>
        <v>0</v>
      </c>
    </row>
    <row r="32" spans="2:15" x14ac:dyDescent="0.25">
      <c r="B32" s="1"/>
      <c r="C32" s="1"/>
      <c r="D32" s="1"/>
      <c r="E32" s="1"/>
      <c r="F32" s="1"/>
      <c r="G32" s="1"/>
      <c r="H32" s="15"/>
    </row>
    <row r="33" spans="2:8" x14ac:dyDescent="0.25">
      <c r="B33" s="1"/>
      <c r="C33" s="1"/>
      <c r="D33" s="1"/>
      <c r="E33" s="1"/>
      <c r="F33" s="3" t="s">
        <v>24</v>
      </c>
      <c r="G33" s="1"/>
      <c r="H33" s="11">
        <f>H23+H29+H31</f>
        <v>0</v>
      </c>
    </row>
    <row r="34" spans="2:8" x14ac:dyDescent="0.25">
      <c r="B34" s="1"/>
      <c r="C34" s="1"/>
      <c r="D34" s="1"/>
      <c r="E34" s="1"/>
      <c r="F34" s="3"/>
      <c r="G34" s="1"/>
      <c r="H34" s="11"/>
    </row>
    <row r="35" spans="2:8" x14ac:dyDescent="0.25">
      <c r="B35" s="1"/>
      <c r="C35" s="3" t="s">
        <v>25</v>
      </c>
      <c r="D35" s="1"/>
      <c r="E35" s="1"/>
      <c r="F35" s="1"/>
      <c r="G35" s="1"/>
      <c r="H35" s="16">
        <f>F12-F13</f>
        <v>0</v>
      </c>
    </row>
    <row r="36" spans="2:8" x14ac:dyDescent="0.25">
      <c r="B36" s="1"/>
      <c r="C36" s="3"/>
      <c r="D36" s="1"/>
      <c r="E36" s="1"/>
      <c r="F36" s="1"/>
      <c r="G36" s="1"/>
      <c r="H36" s="17"/>
    </row>
    <row r="37" spans="2:8" x14ac:dyDescent="0.25">
      <c r="B37" s="1"/>
      <c r="C37" s="1" t="s">
        <v>26</v>
      </c>
      <c r="D37" s="18" t="str">
        <f>": disebabkan tidak ada pecahan uang       - "&amp;H3&amp;"    pada saat transaksi."</f>
        <v>: disebabkan tidak ada pecahan uang       -     pada saat transaksi.</v>
      </c>
      <c r="E37" s="1"/>
      <c r="F37" s="1"/>
      <c r="G37" s="1"/>
      <c r="H37" s="1"/>
    </row>
    <row r="38" spans="2:8" x14ac:dyDescent="0.25">
      <c r="B38" s="1"/>
      <c r="C38" s="1"/>
      <c r="D38" s="1"/>
      <c r="E38" s="1"/>
      <c r="F38" s="1"/>
      <c r="G38" s="1"/>
      <c r="H38" s="1"/>
    </row>
    <row r="39" spans="2:8" x14ac:dyDescent="0.25">
      <c r="B39" s="1"/>
      <c r="C39" s="1"/>
      <c r="D39" s="1"/>
      <c r="E39" s="1"/>
      <c r="F39" s="1"/>
      <c r="G39" s="19"/>
      <c r="H39" s="20" t="str">
        <f>"Tanggal : "&amp;TEXT(VLOOKUP($K$3,$L$15:$N$27,3,FALSE),"dd mmmm yyyy")</f>
        <v>Tanggal : 31 December 2025</v>
      </c>
    </row>
    <row r="40" spans="2:8" x14ac:dyDescent="0.25">
      <c r="B40" s="1"/>
      <c r="C40" s="1" t="s">
        <v>27</v>
      </c>
      <c r="D40" s="1"/>
      <c r="E40" s="1"/>
      <c r="F40" s="1"/>
      <c r="H40" s="1" t="s">
        <v>28</v>
      </c>
    </row>
    <row r="41" spans="2:8" x14ac:dyDescent="0.25">
      <c r="B41" s="1"/>
      <c r="C41" s="1" t="s">
        <v>29</v>
      </c>
      <c r="D41" s="1"/>
      <c r="E41" s="1"/>
      <c r="F41" s="1"/>
      <c r="H41" s="1" t="s">
        <v>30</v>
      </c>
    </row>
    <row r="42" spans="2:8" x14ac:dyDescent="0.25">
      <c r="B42" s="1"/>
      <c r="C42" s="1"/>
      <c r="D42" s="1"/>
      <c r="E42" s="1"/>
      <c r="F42" s="1"/>
      <c r="H42" s="1"/>
    </row>
    <row r="43" spans="2:8" x14ac:dyDescent="0.25">
      <c r="B43" s="1"/>
      <c r="C43" s="1"/>
      <c r="D43" s="1"/>
      <c r="E43" s="1"/>
      <c r="F43" s="1"/>
      <c r="H43" s="1"/>
    </row>
    <row r="44" spans="2:8" x14ac:dyDescent="0.25">
      <c r="B44" s="1"/>
      <c r="C44" s="1"/>
      <c r="D44" s="1"/>
      <c r="E44" s="1"/>
      <c r="F44" s="1"/>
      <c r="H44" s="1"/>
    </row>
    <row r="45" spans="2:8" x14ac:dyDescent="0.25">
      <c r="B45" s="1"/>
      <c r="C45" s="1"/>
      <c r="D45" s="1"/>
      <c r="E45" s="1"/>
      <c r="F45" s="1"/>
      <c r="H45" s="1"/>
    </row>
    <row r="46" spans="2:8" x14ac:dyDescent="0.25">
      <c r="B46" s="1"/>
      <c r="C46" s="21"/>
      <c r="D46" s="1"/>
      <c r="E46" s="1"/>
      <c r="F46" s="1"/>
      <c r="H46" s="21"/>
    </row>
    <row r="47" spans="2:8" x14ac:dyDescent="0.25">
      <c r="B47" s="1"/>
      <c r="C47" s="22" t="str">
        <f>Data!C8</f>
        <v>AHMAD, S.Pd</v>
      </c>
      <c r="D47" s="23"/>
      <c r="E47" s="23"/>
      <c r="F47" s="23"/>
      <c r="G47" s="24"/>
      <c r="H47" s="22" t="str">
        <f>Data!C3</f>
        <v>YUNIARTI, S.Pd</v>
      </c>
    </row>
    <row r="48" spans="2:8" x14ac:dyDescent="0.25">
      <c r="B48" s="1"/>
      <c r="C48" s="23" t="str">
        <f>"NIP. "&amp;Data!C9</f>
        <v>NIP. 196805251992121003</v>
      </c>
      <c r="D48" s="23"/>
      <c r="E48" s="23"/>
      <c r="F48" s="23"/>
      <c r="G48" s="23"/>
      <c r="H48" s="23" t="str">
        <f>"NIP. "&amp;Data!C4</f>
        <v>NIP. 196607071986102005</v>
      </c>
    </row>
  </sheetData>
  <mergeCells count="23">
    <mergeCell ref="E28:F28"/>
    <mergeCell ref="E20:F20"/>
    <mergeCell ref="E21:F21"/>
    <mergeCell ref="E22:F22"/>
    <mergeCell ref="E25:F25"/>
    <mergeCell ref="E26:F26"/>
    <mergeCell ref="E27:F27"/>
    <mergeCell ref="B13:D13"/>
    <mergeCell ref="F13:G13"/>
    <mergeCell ref="E16:F16"/>
    <mergeCell ref="E17:F17"/>
    <mergeCell ref="E18:F18"/>
    <mergeCell ref="E19:F19"/>
    <mergeCell ref="F7:H7"/>
    <mergeCell ref="F8:H8"/>
    <mergeCell ref="F9:H9"/>
    <mergeCell ref="F10:G10"/>
    <mergeCell ref="F11:G11"/>
    <mergeCell ref="B12:D12"/>
    <mergeCell ref="F12:G12"/>
    <mergeCell ref="B3:H3"/>
    <mergeCell ref="B4:H4"/>
    <mergeCell ref="B5:H5"/>
  </mergeCells>
  <conditionalFormatting sqref="E16:F22 E25:F28">
    <cfRule type="containsBlanks" dxfId="1" priority="1">
      <formula>LEN(TRIM(E16))=0</formula>
    </cfRule>
  </conditionalFormatting>
  <conditionalFormatting sqref="H35">
    <cfRule type="cellIs" dxfId="0" priority="2" operator="lessThan">
      <formula>0</formula>
    </cfRule>
  </conditionalFormatting>
  <dataValidations count="1">
    <dataValidation type="list" allowBlank="1" showInputMessage="1" showErrorMessage="1" sqref="K3" xr:uid="{00000000-0002-0000-0200-000000000000}">
      <formula1>$L$16:$L$27</formula1>
    </dataValidation>
  </dataValidations>
  <pageMargins left="0.7" right="0.7" top="0.75" bottom="0.75" header="0.3" footer="0.3"/>
  <pageSetup paperSize="9" scale="87"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N37"/>
  <sheetViews>
    <sheetView view="pageBreakPreview" zoomScaleNormal="80" zoomScaleSheetLayoutView="100" workbookViewId="0">
      <selection activeCell="E12" sqref="E12"/>
    </sheetView>
  </sheetViews>
  <sheetFormatPr defaultColWidth="0" defaultRowHeight="15" x14ac:dyDescent="0.25"/>
  <cols>
    <col min="1" max="1" width="3.7109375" customWidth="1"/>
    <col min="2" max="2" width="2.42578125" customWidth="1"/>
    <col min="3" max="3" width="22.140625" customWidth="1"/>
    <col min="4" max="4" width="32.140625" customWidth="1"/>
    <col min="5" max="5" width="33.7109375" customWidth="1"/>
    <col min="6" max="6" width="2.42578125" customWidth="1"/>
    <col min="7" max="7" width="9.140625" customWidth="1"/>
    <col min="8" max="8" width="11.28515625" customWidth="1"/>
    <col min="9" max="9" width="10" hidden="1" customWidth="1"/>
    <col min="10" max="10" width="11.42578125" hidden="1" customWidth="1"/>
    <col min="11" max="11" width="16.42578125" hidden="1" customWidth="1"/>
    <col min="12" max="13" width="9.140625" hidden="1" customWidth="1"/>
    <col min="14" max="14" width="25.85546875" hidden="1" customWidth="1"/>
    <col min="15" max="16384" width="9.140625" hidden="1"/>
  </cols>
  <sheetData>
    <row r="1" spans="2:14" x14ac:dyDescent="0.25">
      <c r="B1" s="1"/>
      <c r="C1" s="1"/>
      <c r="D1" s="1"/>
    </row>
    <row r="2" spans="2:14" x14ac:dyDescent="0.25">
      <c r="B2" s="63" t="s">
        <v>31</v>
      </c>
      <c r="C2" s="63"/>
      <c r="D2" s="63"/>
      <c r="E2" s="63"/>
      <c r="H2" s="30" t="s">
        <v>68</v>
      </c>
    </row>
    <row r="3" spans="2:14" x14ac:dyDescent="0.25">
      <c r="B3" s="64" t="str">
        <f>UPPER("PERIODE : BULAN "&amp;VLOOKUP($H$3,$I$15:$K$27,1,FALSE)&amp;" 2025")</f>
        <v>PERIODE : BULAN DESEMBER 2025</v>
      </c>
      <c r="C3" s="64"/>
      <c r="D3" s="64"/>
      <c r="E3" s="64"/>
      <c r="H3" s="36" t="s">
        <v>2</v>
      </c>
    </row>
    <row r="4" spans="2:14" x14ac:dyDescent="0.25">
      <c r="B4" s="1"/>
      <c r="C4" s="1"/>
      <c r="D4" s="1"/>
      <c r="E4" s="1"/>
    </row>
    <row r="5" spans="2:14" ht="61.15" customHeight="1" x14ac:dyDescent="0.25">
      <c r="B5" s="65" t="str">
        <f>"Pada hari ini "&amp;VLOOKUP($H$3,$I$16:$N$27,4,FALSE)&amp;" tanggal "&amp;VLOOKUP($H$3,$I$16:$N$27,3,FALSE)&amp;" bulan "&amp;VLOOKUP($H$3,$I$16:$N$27,1,FALSE)&amp;" tahun Dua ribu dua puluh lima. Yang bertanda tangan di bawah ini, kami Kepala Sekolah yang ditunjuk berdasarkan Surat Keputusan Nomor: "&amp;Data!C5&amp;" tanggal "&amp;TEXT(Data!C6,"dd mmmm yyyy")</f>
        <v>Pada hari ini Rabu tanggal tiga puluh satu bulan Desember tahun Dua ribu dua puluh lima. Yang bertanda tangan di bawah ini, kami Kepala Sekolah yang ditunjuk berdasarkan Surat Keputusan Nomor: 821.2/Kep.391-BKD/2014 tanggal 22 August 2014</v>
      </c>
      <c r="C5" s="65"/>
      <c r="D5" s="65"/>
      <c r="E5" s="65"/>
      <c r="I5" s="32"/>
    </row>
    <row r="6" spans="2:14" hidden="1" x14ac:dyDescent="0.25">
      <c r="B6" s="66"/>
      <c r="C6" s="66"/>
      <c r="D6" s="66"/>
      <c r="E6" s="66"/>
    </row>
    <row r="7" spans="2:14" x14ac:dyDescent="0.25">
      <c r="B7" s="1"/>
      <c r="C7" s="1"/>
      <c r="D7" s="1"/>
      <c r="E7" s="1"/>
    </row>
    <row r="8" spans="2:14" x14ac:dyDescent="0.25">
      <c r="B8" s="1"/>
      <c r="C8" s="1" t="s">
        <v>32</v>
      </c>
      <c r="D8" s="10" t="str">
        <f>": "&amp;Data!C3</f>
        <v>: YUNIARTI, S.Pd</v>
      </c>
      <c r="E8" s="1"/>
    </row>
    <row r="9" spans="2:14" x14ac:dyDescent="0.25">
      <c r="B9" s="1"/>
      <c r="C9" s="1" t="s">
        <v>33</v>
      </c>
      <c r="D9" s="12" t="s">
        <v>34</v>
      </c>
      <c r="E9" s="1"/>
    </row>
    <row r="10" spans="2:14" x14ac:dyDescent="0.25">
      <c r="B10" s="1"/>
      <c r="C10" s="1"/>
      <c r="D10" s="1"/>
      <c r="E10" s="1"/>
    </row>
    <row r="11" spans="2:14" x14ac:dyDescent="0.25">
      <c r="B11" s="1" t="s">
        <v>35</v>
      </c>
      <c r="C11" s="1"/>
      <c r="D11" s="1"/>
      <c r="E11" s="1"/>
    </row>
    <row r="12" spans="2:14" x14ac:dyDescent="0.25">
      <c r="B12" s="1"/>
      <c r="C12" s="1"/>
      <c r="D12" s="1"/>
      <c r="E12" s="1"/>
    </row>
    <row r="13" spans="2:14" x14ac:dyDescent="0.25">
      <c r="B13" s="1"/>
      <c r="C13" s="1" t="s">
        <v>32</v>
      </c>
      <c r="D13" s="10" t="str">
        <f>": "&amp;Data!C8</f>
        <v>: AHMAD, S.Pd</v>
      </c>
      <c r="E13" s="1"/>
    </row>
    <row r="14" spans="2:14" x14ac:dyDescent="0.25">
      <c r="B14" s="1"/>
      <c r="C14" s="1" t="s">
        <v>33</v>
      </c>
      <c r="D14" s="12" t="s">
        <v>36</v>
      </c>
      <c r="E14" s="1"/>
    </row>
    <row r="15" spans="2:14" x14ac:dyDescent="0.25">
      <c r="B15" s="1"/>
      <c r="C15" s="1"/>
      <c r="D15" s="1"/>
      <c r="E15" s="1"/>
      <c r="I15" s="31" t="s">
        <v>67</v>
      </c>
    </row>
    <row r="16" spans="2:14" ht="15" customHeight="1" x14ac:dyDescent="0.25">
      <c r="B16" s="67" t="str">
        <f>"Yang berdasarkan Surat Keputusan Bupati Bandung Barat Nomor : "&amp;Data!C13&amp;" tanggal "&amp;TEXT(Data!C14,"dd mmmm yyyy")&amp;" dan Surat Keputusan Kepala Sekolah Nomor : "&amp;Data!C10&amp;" tanggal "&amp;TEXT(Data!C11,"dd mmmm yyyy")&amp;" ditunjuk sebagai Bendahara Bantuan Operasional Sekolah Tingkat Sekolah Dasar Tahun Anggaran 2025."</f>
        <v>Yang berdasarkan Surat Keputusan Bupati Bandung Barat Nomor : 100.3.3.2/Kep.77-BKAD/2025 tanggal 19 February 2025 dan Surat Keputusan Kepala Sekolah Nomor :  400.3.5.5/083/SDNPSR/2024 tanggal 09 November 2024 ditunjuk sebagai Bendahara Bantuan Operasional Sekolah Tingkat Sekolah Dasar Tahun Anggaran 2025.</v>
      </c>
      <c r="C16" s="67"/>
      <c r="D16" s="67"/>
      <c r="E16" s="67"/>
      <c r="I16" t="s">
        <v>57</v>
      </c>
      <c r="J16" s="29">
        <v>45688</v>
      </c>
      <c r="K16" t="s">
        <v>73</v>
      </c>
      <c r="L16" t="s">
        <v>78</v>
      </c>
      <c r="N16" s="55"/>
    </row>
    <row r="17" spans="2:14" ht="42.75" customHeight="1" x14ac:dyDescent="0.25">
      <c r="B17" s="67"/>
      <c r="C17" s="67"/>
      <c r="D17" s="67"/>
      <c r="E17" s="67"/>
      <c r="I17" t="s">
        <v>58</v>
      </c>
      <c r="J17" s="29">
        <v>45716</v>
      </c>
      <c r="K17" t="s">
        <v>87</v>
      </c>
      <c r="L17" t="s">
        <v>78</v>
      </c>
      <c r="N17" s="55"/>
    </row>
    <row r="18" spans="2:14" x14ac:dyDescent="0.25">
      <c r="B18" s="1"/>
      <c r="C18" s="1"/>
      <c r="D18" s="1"/>
      <c r="E18" s="1"/>
      <c r="I18" t="s">
        <v>59</v>
      </c>
      <c r="J18" s="29">
        <v>45743</v>
      </c>
      <c r="K18" t="s">
        <v>88</v>
      </c>
      <c r="L18" t="s">
        <v>77</v>
      </c>
      <c r="N18" s="55"/>
    </row>
    <row r="19" spans="2:14" ht="25.5" customHeight="1" x14ac:dyDescent="0.25">
      <c r="B19" s="62" t="s">
        <v>37</v>
      </c>
      <c r="C19" s="62"/>
      <c r="D19" s="62"/>
      <c r="E19" s="62"/>
      <c r="I19" t="s">
        <v>60</v>
      </c>
      <c r="J19" s="29">
        <v>45777</v>
      </c>
      <c r="K19" t="s">
        <v>72</v>
      </c>
      <c r="L19" t="s">
        <v>75</v>
      </c>
      <c r="N19" s="55"/>
    </row>
    <row r="20" spans="2:14" x14ac:dyDescent="0.25">
      <c r="B20" s="1"/>
      <c r="C20" s="1"/>
      <c r="D20" s="1"/>
      <c r="E20" s="1"/>
      <c r="I20" t="s">
        <v>48</v>
      </c>
      <c r="J20" s="29">
        <v>45808</v>
      </c>
      <c r="K20" t="s">
        <v>73</v>
      </c>
      <c r="L20" t="s">
        <v>74</v>
      </c>
      <c r="N20" s="55"/>
    </row>
    <row r="21" spans="2:14" x14ac:dyDescent="0.25">
      <c r="B21" s="25" t="s">
        <v>38</v>
      </c>
      <c r="C21" s="1"/>
      <c r="D21" s="1"/>
      <c r="E21" s="1"/>
      <c r="I21" t="s">
        <v>61</v>
      </c>
      <c r="J21" s="29">
        <v>45838</v>
      </c>
      <c r="K21" t="s">
        <v>72</v>
      </c>
      <c r="L21" t="s">
        <v>80</v>
      </c>
      <c r="N21" s="55"/>
    </row>
    <row r="22" spans="2:14" x14ac:dyDescent="0.25">
      <c r="B22" s="7" t="s">
        <v>39</v>
      </c>
      <c r="C22" s="1" t="s">
        <v>40</v>
      </c>
      <c r="D22" s="1"/>
      <c r="E22" s="15">
        <f>VLOOKUP($H$3,'BKU--'!$A$1:$G$15,5,FALSE)</f>
        <v>0</v>
      </c>
      <c r="I22" t="s">
        <v>62</v>
      </c>
      <c r="J22" s="29">
        <v>45869</v>
      </c>
      <c r="K22" t="s">
        <v>73</v>
      </c>
      <c r="L22" t="s">
        <v>77</v>
      </c>
      <c r="N22" s="55"/>
    </row>
    <row r="23" spans="2:14" x14ac:dyDescent="0.25">
      <c r="B23" s="7" t="s">
        <v>41</v>
      </c>
      <c r="C23" s="1" t="s">
        <v>42</v>
      </c>
      <c r="D23" s="1"/>
      <c r="E23" s="15">
        <f>VLOOKUP($H$3,'BKU--'!$A$1:$G$15,6,FALSE)</f>
        <v>0</v>
      </c>
      <c r="I23" t="s">
        <v>63</v>
      </c>
      <c r="J23" s="29">
        <v>45899</v>
      </c>
      <c r="K23" t="s">
        <v>72</v>
      </c>
      <c r="L23" t="s">
        <v>74</v>
      </c>
      <c r="N23" s="55"/>
    </row>
    <row r="24" spans="2:14" x14ac:dyDescent="0.25">
      <c r="B24" s="7" t="s">
        <v>43</v>
      </c>
      <c r="C24" s="1" t="s">
        <v>44</v>
      </c>
      <c r="D24" s="1"/>
      <c r="E24" s="15">
        <v>0</v>
      </c>
      <c r="I24" t="s">
        <v>64</v>
      </c>
      <c r="J24" s="29">
        <v>45930</v>
      </c>
      <c r="K24" t="s">
        <v>72</v>
      </c>
      <c r="L24" t="s">
        <v>76</v>
      </c>
      <c r="N24" s="55"/>
    </row>
    <row r="25" spans="2:14" x14ac:dyDescent="0.25">
      <c r="B25" s="7"/>
      <c r="C25" s="1"/>
      <c r="D25" s="3" t="s">
        <v>45</v>
      </c>
      <c r="E25" s="11">
        <f>SUM(E22:E24)</f>
        <v>0</v>
      </c>
      <c r="I25" t="s">
        <v>65</v>
      </c>
      <c r="J25" s="29">
        <v>45961</v>
      </c>
      <c r="K25" t="s">
        <v>73</v>
      </c>
      <c r="L25" t="s">
        <v>78</v>
      </c>
      <c r="N25" s="55"/>
    </row>
    <row r="26" spans="2:14" x14ac:dyDescent="0.25">
      <c r="B26" s="7"/>
      <c r="C26" s="1"/>
      <c r="D26" s="3"/>
      <c r="E26" s="11"/>
      <c r="I26" t="s">
        <v>66</v>
      </c>
      <c r="J26" s="29">
        <v>45990</v>
      </c>
      <c r="K26" t="s">
        <v>83</v>
      </c>
      <c r="L26" t="s">
        <v>74</v>
      </c>
      <c r="N26" s="55"/>
    </row>
    <row r="27" spans="2:14" x14ac:dyDescent="0.25">
      <c r="B27" s="1" t="s">
        <v>46</v>
      </c>
      <c r="C27" s="1"/>
      <c r="D27" s="1"/>
      <c r="E27" s="15">
        <f>VLOOKUP($H$3,'BKU--'!$A$1:$G$15,4,FALSE)</f>
        <v>0</v>
      </c>
      <c r="I27" t="s">
        <v>2</v>
      </c>
      <c r="J27" s="29">
        <v>46022</v>
      </c>
      <c r="K27" t="s">
        <v>73</v>
      </c>
      <c r="L27" t="s">
        <v>75</v>
      </c>
      <c r="N27" s="55"/>
    </row>
    <row r="28" spans="2:14" x14ac:dyDescent="0.25">
      <c r="B28" s="1" t="s">
        <v>47</v>
      </c>
      <c r="C28" s="1"/>
      <c r="D28" s="1"/>
      <c r="E28" s="15">
        <f>VLOOKUP($H$3,'BKU--'!$A$1:$H$15,8,FALSE)</f>
        <v>0</v>
      </c>
    </row>
    <row r="29" spans="2:14" x14ac:dyDescent="0.25">
      <c r="B29" s="1"/>
      <c r="C29" s="1"/>
      <c r="D29" s="1"/>
      <c r="E29" s="1"/>
    </row>
    <row r="30" spans="2:14" x14ac:dyDescent="0.25">
      <c r="B30" s="1"/>
      <c r="C30" s="7"/>
      <c r="D30" s="7"/>
      <c r="E30" s="22" t="str">
        <f>"Tanggal : "&amp;TEXT(VLOOKUP($H$3,$I$16:$K$27,2,FALSE),"dd mmmm yyyy")</f>
        <v>Tanggal : 31 December 2025</v>
      </c>
    </row>
    <row r="31" spans="2:14" x14ac:dyDescent="0.25">
      <c r="B31" s="1"/>
      <c r="C31" s="26" t="s">
        <v>29</v>
      </c>
      <c r="D31" s="7"/>
      <c r="E31" s="26" t="s">
        <v>30</v>
      </c>
    </row>
    <row r="32" spans="2:14" x14ac:dyDescent="0.25">
      <c r="B32" s="1"/>
      <c r="C32" s="7"/>
      <c r="D32" s="7"/>
      <c r="E32" s="26"/>
    </row>
    <row r="33" spans="2:5" x14ac:dyDescent="0.25">
      <c r="B33" s="1"/>
      <c r="C33" s="7"/>
      <c r="D33" s="7"/>
      <c r="E33" s="26"/>
    </row>
    <row r="34" spans="2:5" x14ac:dyDescent="0.25">
      <c r="B34" s="1"/>
      <c r="C34" s="7"/>
      <c r="D34" s="7"/>
      <c r="E34" s="26"/>
    </row>
    <row r="35" spans="2:5" x14ac:dyDescent="0.25">
      <c r="B35" s="1"/>
      <c r="C35" s="7"/>
      <c r="D35" s="7"/>
      <c r="E35" s="26"/>
    </row>
    <row r="36" spans="2:5" x14ac:dyDescent="0.25">
      <c r="B36" s="3"/>
      <c r="C36" s="22" t="str">
        <f>Register_Kas!C47</f>
        <v>AHMAD, S.Pd</v>
      </c>
      <c r="D36" s="27"/>
      <c r="E36" s="22" t="str">
        <f>Register_Kas!H47</f>
        <v>YUNIARTI, S.Pd</v>
      </c>
    </row>
    <row r="37" spans="2:5" x14ac:dyDescent="0.25">
      <c r="B37" s="1"/>
      <c r="C37" s="23" t="str">
        <f>Register_Kas!C48</f>
        <v>NIP. 196805251992121003</v>
      </c>
      <c r="D37" s="28"/>
      <c r="E37" s="23" t="str">
        <f>Register_Kas!H48</f>
        <v>NIP. 196607071986102005</v>
      </c>
    </row>
  </sheetData>
  <mergeCells count="6">
    <mergeCell ref="B19:E19"/>
    <mergeCell ref="B2:E2"/>
    <mergeCell ref="B3:E3"/>
    <mergeCell ref="B5:E5"/>
    <mergeCell ref="B6:E6"/>
    <mergeCell ref="B16:E17"/>
  </mergeCells>
  <dataValidations count="3">
    <dataValidation allowBlank="1" showInputMessage="1" showErrorMessage="1" promptTitle="SK Kepala Sekolah" prompt="Nomor SK dan Tanggal" sqref="B6:E6" xr:uid="{00000000-0002-0000-0300-000000000000}"/>
    <dataValidation allowBlank="1" showInputMessage="1" showErrorMessage="1" prompt="Nomor SK Bendahara" sqref="B16:E17" xr:uid="{00000000-0002-0000-0300-000001000000}"/>
    <dataValidation type="list" allowBlank="1" showInputMessage="1" showErrorMessage="1" sqref="H3" xr:uid="{00000000-0002-0000-0300-000002000000}">
      <formula1>$I$16:$I$27</formula1>
    </dataValidation>
  </dataValidations>
  <pageMargins left="0.7" right="0.7" top="0.75" bottom="0.75" header="0.3" footer="0.3"/>
  <pageSetup paperSize="9" scale="90"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Data</vt:lpstr>
      <vt:lpstr>BKU--</vt:lpstr>
      <vt:lpstr>BKU</vt:lpstr>
      <vt:lpstr>Register_Kas</vt:lpstr>
      <vt:lpstr>BA_Kas</vt:lpstr>
      <vt:lpstr>BA_Kas!Print_Area</vt:lpstr>
      <vt:lpstr>'BKU--'!Print_Area</vt:lpstr>
      <vt:lpstr>Register_Kas!Print_Area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sdn 1 rende</dc:creator>
  <cp:lastModifiedBy>Susanto Santo</cp:lastModifiedBy>
  <cp:lastPrinted>2026-02-05T23:59:57Z</cp:lastPrinted>
  <dcterms:created xsi:type="dcterms:W3CDTF">2021-09-04T06:19:25Z</dcterms:created>
  <dcterms:modified xsi:type="dcterms:W3CDTF">2026-10-18T11:35:30Z</dcterms:modified>
</cp:coreProperties>
</file>
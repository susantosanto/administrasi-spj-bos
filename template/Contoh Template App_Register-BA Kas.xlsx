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D:\Pasirhalang\Pasirhalang 2026\BOS\"/>
    </mc:Choice>
  </mc:AlternateContent>
  <xr:revisionPtr revIDLastSave="0" documentId="13_ncr:1_{90A34D66-87E4-4990-B75D-6E62ED39361F}" xr6:coauthVersionLast="47" xr6:coauthVersionMax="47" xr10:uidLastSave="{00000000-0000-0000-0000-000000000000}"/>
  <bookViews>
    <workbookView xWindow="-108" yWindow="-108" windowWidth="23256" windowHeight="13176" activeTab="1" xr2:uid="{EEF30F4E-9F32-4E4A-9563-06C33B8E10A4}"/>
  </bookViews>
  <sheets>
    <sheet name="Data" sheetId="5" r:id="rId1"/>
    <sheet name="Register Kas" sheetId="1" r:id="rId2"/>
    <sheet name="BA_Pemeriksaan Kas" sheetId="2" r:id="rId3"/>
    <sheet name="Lbr. Pengaduan Masyarakat" sheetId="3" r:id="rId4"/>
    <sheet name="Lbr. Kritik-Saran" sheetId="4" r:id="rId5"/>
  </sheets>
  <definedNames>
    <definedName name="bulan">Data!$B$9:$B$20</definedName>
    <definedName name="_xlnm.Print_Area" localSheetId="2">'BA_Pemeriksaan Kas'!$B$1:$E$40</definedName>
    <definedName name="_xlnm.Print_Area" localSheetId="4">'Lbr. Kritik-Saran'!$A$2:$D$48</definedName>
    <definedName name="_xlnm.Print_Area" localSheetId="3">'Lbr. Pengaduan Masyarakat'!$A$1:$D$56</definedName>
    <definedName name="_xlnm.Print_Area" localSheetId="1">'Register Kas'!$B$2:$H$51</definedName>
    <definedName name="sumber_dana">Data!$U$1:$U$2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4" i="5" l="1"/>
  <c r="F13" i="5"/>
  <c r="E13" i="5"/>
  <c r="E12" i="5"/>
  <c r="G6" i="5"/>
  <c r="E6" i="5" l="1"/>
  <c r="B17" i="2"/>
  <c r="B4" i="2"/>
  <c r="B5" i="1"/>
  <c r="J9" i="5"/>
  <c r="F9" i="5" s="1"/>
  <c r="A6" i="4" l="1"/>
  <c r="A4" i="4"/>
  <c r="A3" i="3"/>
  <c r="A5" i="3"/>
  <c r="S20" i="5"/>
  <c r="S19" i="5"/>
  <c r="S18" i="5"/>
  <c r="S17" i="5"/>
  <c r="S16" i="5"/>
  <c r="S15" i="5"/>
  <c r="S14" i="5"/>
  <c r="S13" i="5"/>
  <c r="S12" i="5"/>
  <c r="S11" i="5"/>
  <c r="S10" i="5"/>
  <c r="S9" i="5"/>
  <c r="D42" i="4" l="1"/>
  <c r="D41" i="4"/>
  <c r="D34" i="4"/>
  <c r="A5" i="4"/>
  <c r="A4" i="3"/>
  <c r="B35" i="5"/>
  <c r="B34" i="5"/>
  <c r="B33" i="5"/>
  <c r="B32" i="5"/>
  <c r="B31" i="5"/>
  <c r="B30" i="5"/>
  <c r="B29" i="5"/>
  <c r="B28" i="5"/>
  <c r="B27" i="5"/>
  <c r="B26" i="5"/>
  <c r="B25" i="5"/>
  <c r="B24" i="5"/>
  <c r="D35" i="5"/>
  <c r="D34" i="5"/>
  <c r="D33" i="5"/>
  <c r="D32" i="5"/>
  <c r="D31" i="5"/>
  <c r="D30" i="5"/>
  <c r="D29" i="5"/>
  <c r="D28" i="5"/>
  <c r="D27" i="5"/>
  <c r="D26" i="5"/>
  <c r="D25" i="5"/>
  <c r="D24" i="5"/>
  <c r="C24" i="5"/>
  <c r="B4" i="1"/>
  <c r="B6" i="2"/>
  <c r="Q35" i="5"/>
  <c r="Q34" i="5"/>
  <c r="Q33" i="5"/>
  <c r="Q32" i="5"/>
  <c r="Q31" i="5"/>
  <c r="Q30" i="5"/>
  <c r="Q29" i="5"/>
  <c r="Q28" i="5"/>
  <c r="Q27" i="5"/>
  <c r="Q26" i="5"/>
  <c r="Q25" i="5"/>
  <c r="Q24" i="5"/>
  <c r="B3" i="2"/>
  <c r="E31" i="2"/>
  <c r="E24" i="2"/>
  <c r="E23" i="2"/>
  <c r="J35" i="5"/>
  <c r="J34" i="5"/>
  <c r="J33" i="5"/>
  <c r="J32" i="5"/>
  <c r="J31" i="5"/>
  <c r="J30" i="5"/>
  <c r="J29" i="5"/>
  <c r="J28" i="5"/>
  <c r="J27" i="5"/>
  <c r="J26" i="5"/>
  <c r="J25" i="5"/>
  <c r="J24" i="5"/>
  <c r="J20" i="5"/>
  <c r="F20" i="5" s="1"/>
  <c r="J19" i="5"/>
  <c r="F19" i="5" s="1"/>
  <c r="J18" i="5"/>
  <c r="F18" i="5" s="1"/>
  <c r="J17" i="5"/>
  <c r="F17" i="5" s="1"/>
  <c r="J16" i="5"/>
  <c r="F16" i="5" s="1"/>
  <c r="J15" i="5"/>
  <c r="F15" i="5" s="1"/>
  <c r="J14" i="5"/>
  <c r="F14" i="5" s="1"/>
  <c r="J13" i="5"/>
  <c r="J12" i="5"/>
  <c r="F12" i="5" s="1"/>
  <c r="J11" i="5"/>
  <c r="F11" i="5" s="1"/>
  <c r="J10" i="5"/>
  <c r="F10" i="5" s="1"/>
  <c r="H31" i="1"/>
  <c r="N14" i="1"/>
  <c r="F11" i="1"/>
  <c r="F10" i="1"/>
  <c r="F7" i="1"/>
  <c r="H6" i="5" l="1"/>
  <c r="E28" i="2"/>
  <c r="D44" i="3"/>
  <c r="H39" i="1"/>
  <c r="P10" i="5"/>
  <c r="M10" i="5"/>
  <c r="P24" i="5"/>
  <c r="O24" i="5"/>
  <c r="N24" i="5"/>
  <c r="M24" i="5"/>
  <c r="L24" i="5"/>
  <c r="K24" i="5"/>
  <c r="N10" i="5"/>
  <c r="N11" i="5" s="1"/>
  <c r="O10" i="5"/>
  <c r="O11" i="5" s="1"/>
  <c r="O12" i="5" s="1"/>
  <c r="O13" i="5" s="1"/>
  <c r="O14" i="5" s="1"/>
  <c r="O15" i="5" s="1"/>
  <c r="O16" i="5" s="1"/>
  <c r="O17" i="5" s="1"/>
  <c r="O18" i="5" s="1"/>
  <c r="O19" i="5" s="1"/>
  <c r="O20" i="5" s="1"/>
  <c r="L10" i="5"/>
  <c r="L11" i="5" s="1"/>
  <c r="L12" i="5" s="1"/>
  <c r="L13" i="5" s="1"/>
  <c r="L14" i="5" s="1"/>
  <c r="L15" i="5" s="1"/>
  <c r="L16" i="5" s="1"/>
  <c r="L17" i="5" s="1"/>
  <c r="L18" i="5" s="1"/>
  <c r="L19" i="5" s="1"/>
  <c r="L20" i="5" s="1"/>
  <c r="K10" i="5"/>
  <c r="K25" i="5" s="1"/>
  <c r="C20" i="5"/>
  <c r="C35" i="5" s="1"/>
  <c r="C19" i="5"/>
  <c r="C34" i="5" s="1"/>
  <c r="C18" i="5"/>
  <c r="C33" i="5" s="1"/>
  <c r="C17" i="5"/>
  <c r="C32" i="5" s="1"/>
  <c r="C16" i="5"/>
  <c r="C31" i="5" s="1"/>
  <c r="C15" i="5"/>
  <c r="C30" i="5" s="1"/>
  <c r="C14" i="5"/>
  <c r="C29" i="5" s="1"/>
  <c r="C13" i="5"/>
  <c r="C12" i="5"/>
  <c r="C27" i="5" s="1"/>
  <c r="C11" i="5"/>
  <c r="C26" i="5" s="1"/>
  <c r="C10" i="5"/>
  <c r="C25" i="5" s="1"/>
  <c r="O37" i="1"/>
  <c r="H25" i="1"/>
  <c r="O16" i="1"/>
  <c r="F12" i="1"/>
  <c r="M25" i="5" l="1"/>
  <c r="M11" i="5"/>
  <c r="M12" i="5" s="1"/>
  <c r="M13" i="5" s="1"/>
  <c r="M14" i="5" s="1"/>
  <c r="M15" i="5" s="1"/>
  <c r="M16" i="5" s="1"/>
  <c r="M17" i="5" s="1"/>
  <c r="M18" i="5" s="1"/>
  <c r="M19" i="5" s="1"/>
  <c r="M20" i="5" s="1"/>
  <c r="P25" i="5"/>
  <c r="P11" i="5"/>
  <c r="P12" i="5" s="1"/>
  <c r="P13" i="5" s="1"/>
  <c r="P14" i="5" s="1"/>
  <c r="P15" i="5" s="1"/>
  <c r="P16" i="5" s="1"/>
  <c r="P17" i="5" s="1"/>
  <c r="P18" i="5" s="1"/>
  <c r="P19" i="5" s="1"/>
  <c r="P20" i="5" s="1"/>
  <c r="F9" i="1"/>
  <c r="C28" i="5"/>
  <c r="N12" i="5"/>
  <c r="N13" i="5" s="1"/>
  <c r="N14" i="5" s="1"/>
  <c r="N15" i="5" s="1"/>
  <c r="N16" i="5" s="1"/>
  <c r="N17" i="5" s="1"/>
  <c r="N18" i="5" s="1"/>
  <c r="N19" i="5" s="1"/>
  <c r="N20" i="5" s="1"/>
  <c r="O28" i="5"/>
  <c r="K11" i="5"/>
  <c r="K12" i="5" s="1"/>
  <c r="K13" i="5" s="1"/>
  <c r="K14" i="5" s="1"/>
  <c r="K15" i="5" s="1"/>
  <c r="K16" i="5" s="1"/>
  <c r="K17" i="5" s="1"/>
  <c r="K18" i="5" s="1"/>
  <c r="K19" i="5" s="1"/>
  <c r="K20" i="5" s="1"/>
  <c r="N25" i="5"/>
  <c r="O25" i="5"/>
  <c r="L26" i="5"/>
  <c r="D52" i="3" s="1"/>
  <c r="L25" i="5"/>
  <c r="N26" i="5"/>
  <c r="O26" i="5"/>
  <c r="O27" i="5"/>
  <c r="E26" i="2"/>
  <c r="E29" i="2" s="1"/>
  <c r="N16" i="1"/>
  <c r="E16" i="1" s="1"/>
  <c r="H16" i="1" s="1"/>
  <c r="P16" i="1"/>
  <c r="P26" i="5" l="1"/>
  <c r="N28" i="5"/>
  <c r="N27" i="5"/>
  <c r="N29" i="5"/>
  <c r="K26" i="5"/>
  <c r="D51" i="3" s="1"/>
  <c r="L27" i="5"/>
  <c r="P27" i="5"/>
  <c r="M26" i="5"/>
  <c r="O17" i="1"/>
  <c r="N17" i="1" s="1"/>
  <c r="E17" i="1" s="1"/>
  <c r="H17" i="1" s="1"/>
  <c r="M28" i="5" l="1"/>
  <c r="M27" i="5"/>
  <c r="O29" i="5"/>
  <c r="K27" i="5"/>
  <c r="N30" i="5"/>
  <c r="L28" i="5"/>
  <c r="M29" i="5"/>
  <c r="P17" i="1"/>
  <c r="K28" i="5" l="1"/>
  <c r="N31" i="5"/>
  <c r="O30" i="5"/>
  <c r="L29" i="5"/>
  <c r="P28" i="5"/>
  <c r="M30" i="5"/>
  <c r="O18" i="1"/>
  <c r="N18" i="1" s="1"/>
  <c r="E18" i="1" s="1"/>
  <c r="H18" i="1" s="1"/>
  <c r="P29" i="5" l="1"/>
  <c r="O31" i="5"/>
  <c r="N32" i="5"/>
  <c r="K29" i="5"/>
  <c r="L30" i="5"/>
  <c r="P30" i="5"/>
  <c r="M31" i="5"/>
  <c r="P18" i="1"/>
  <c r="K30" i="5" l="1"/>
  <c r="N33" i="5"/>
  <c r="O32" i="5"/>
  <c r="L31" i="5"/>
  <c r="P31" i="5"/>
  <c r="M32" i="5"/>
  <c r="O19" i="1"/>
  <c r="N19" i="1" s="1"/>
  <c r="E19" i="1" s="1"/>
  <c r="H19" i="1" s="1"/>
  <c r="P19" i="1" l="1"/>
  <c r="N34" i="5"/>
  <c r="K31" i="5"/>
  <c r="O33" i="5"/>
  <c r="L32" i="5"/>
  <c r="P32" i="5"/>
  <c r="M33" i="5"/>
  <c r="N35" i="5" l="1"/>
  <c r="C47" i="1"/>
  <c r="F8" i="1"/>
  <c r="C37" i="2"/>
  <c r="D14" i="2"/>
  <c r="O34" i="5"/>
  <c r="K32" i="5"/>
  <c r="L33" i="5"/>
  <c r="P33" i="5"/>
  <c r="M34" i="5"/>
  <c r="O20" i="1"/>
  <c r="N20" i="1" s="1"/>
  <c r="E20" i="1" s="1"/>
  <c r="H20" i="1" s="1"/>
  <c r="M35" i="5" l="1"/>
  <c r="B7" i="2"/>
  <c r="O35" i="5"/>
  <c r="C48" i="1"/>
  <c r="C38" i="2"/>
  <c r="K33" i="5"/>
  <c r="L34" i="5"/>
  <c r="P34" i="5"/>
  <c r="P20" i="1"/>
  <c r="O21" i="1" s="1"/>
  <c r="N21" i="1" s="1"/>
  <c r="E21" i="1" s="1"/>
  <c r="L35" i="5" l="1"/>
  <c r="H48" i="1"/>
  <c r="E38" i="2"/>
  <c r="P35" i="5"/>
  <c r="K34" i="5"/>
  <c r="H21" i="1" l="1"/>
  <c r="K35" i="5"/>
  <c r="H47" i="1"/>
  <c r="E37" i="2"/>
  <c r="D9" i="2"/>
  <c r="P21" i="1"/>
  <c r="O22" i="1" s="1"/>
  <c r="N22" i="1" l="1"/>
  <c r="E22" i="1" s="1"/>
  <c r="H22" i="1" s="1"/>
  <c r="H23" i="1" s="1"/>
  <c r="P22" i="1" l="1"/>
  <c r="O26" i="1" l="1"/>
  <c r="N26" i="1" s="1"/>
  <c r="E26" i="1" s="1"/>
  <c r="H26" i="1" s="1"/>
  <c r="P26" i="1" l="1"/>
  <c r="O27" i="1" l="1"/>
  <c r="N27" i="1" s="1"/>
  <c r="E27" i="1" s="1"/>
  <c r="H27" i="1" s="1"/>
  <c r="P27" i="1" l="1"/>
  <c r="O28" i="1" l="1"/>
  <c r="N28" i="1" s="1"/>
  <c r="E28" i="1" s="1"/>
  <c r="H28" i="1" s="1"/>
  <c r="H29" i="1" s="1"/>
  <c r="F13" i="1" l="1"/>
  <c r="H35" i="1" s="1"/>
  <c r="H33" i="1"/>
  <c r="P28" i="1"/>
  <c r="N37" i="1" l="1"/>
  <c r="D37" i="1" s="1"/>
</calcChain>
</file>

<file path=xl/sharedStrings.xml><?xml version="1.0" encoding="utf-8"?>
<sst xmlns="http://schemas.openxmlformats.org/spreadsheetml/2006/main" count="299" uniqueCount="161">
  <si>
    <t>REGISTER PENUTUPAN KAS</t>
  </si>
  <si>
    <t>BOS REGULER</t>
  </si>
  <si>
    <t>Pilih Bulan</t>
  </si>
  <si>
    <t>Januari</t>
  </si>
  <si>
    <t>Tanggal Penutupan Kas</t>
  </si>
  <si>
    <t xml:space="preserve">: </t>
  </si>
  <si>
    <t>Nama Penutup Kas (Pemegang kas)</t>
  </si>
  <si>
    <t>Tanggal penutupan Kas yang lalu</t>
  </si>
  <si>
    <t>Jumlah Total Penerimaan (D)</t>
  </si>
  <si>
    <t>:</t>
  </si>
  <si>
    <t>Jumlah Total Pengeluaran (K)</t>
  </si>
  <si>
    <t xml:space="preserve">Saldo Buku (A = D - K)    </t>
  </si>
  <si>
    <t xml:space="preserve">Saldo Kas ( B )    </t>
  </si>
  <si>
    <t>Sado Kas B terdiri dari :</t>
  </si>
  <si>
    <t>1.</t>
  </si>
  <si>
    <t>Lembaran uang kertas</t>
  </si>
  <si>
    <t>Lembar</t>
  </si>
  <si>
    <t>Sub Jumlah (1)</t>
  </si>
  <si>
    <t>2.</t>
  </si>
  <si>
    <t>Keping uang logam</t>
  </si>
  <si>
    <t>Keping</t>
  </si>
  <si>
    <t>Sub Jumlah (2)</t>
  </si>
  <si>
    <t>3.</t>
  </si>
  <si>
    <t>Saldo Bank, Surat Berharga, dll.</t>
  </si>
  <si>
    <t>Sub Jumlah (3)</t>
  </si>
  <si>
    <t>Jumlah ( 1 + 2 + 3 )</t>
  </si>
  <si>
    <t>Perbedaan (A - B)</t>
  </si>
  <si>
    <t>Penjelasan Perbedaan</t>
  </si>
  <si>
    <t>Tanggal :</t>
  </si>
  <si>
    <t>Yang diperiksa,</t>
  </si>
  <si>
    <t>Yang memeriksa</t>
  </si>
  <si>
    <t>Bendahara/Pemegang Kas,</t>
  </si>
  <si>
    <t>Kepala Sekolah,</t>
  </si>
  <si>
    <t>BERITA ACARA PEMERIKSAAN KAS</t>
  </si>
  <si>
    <t>Nama</t>
  </si>
  <si>
    <t>Jabatan</t>
  </si>
  <si>
    <t>: Kepala Sekolah</t>
  </si>
  <si>
    <t>melakukan pemeriksaan kas kepada:</t>
  </si>
  <si>
    <t>: Bendahara</t>
  </si>
  <si>
    <t>Berdasarkan pemeriksaan kas serta bukti-bukti dalam pengurusan itu, kami menemui kenyataan sebagai berikut:</t>
  </si>
  <si>
    <t>Jumlah uang yang dihitung dihadapan Bendahara/Pemegang Kas adalah :</t>
  </si>
  <si>
    <t>a)</t>
  </si>
  <si>
    <t>Uang kertas bank, uang logam</t>
  </si>
  <si>
    <t>b)</t>
  </si>
  <si>
    <t>Saldo Bank</t>
  </si>
  <si>
    <t>c)</t>
  </si>
  <si>
    <t>Surat berharga, dll.</t>
  </si>
  <si>
    <t>Jumlah</t>
  </si>
  <si>
    <t>Saldo uang menurut Kas Umum</t>
  </si>
  <si>
    <t>Perbedaan antara saldo Kas dan saldo Buku</t>
  </si>
  <si>
    <t>LEMBAR PENCATATAN PENGADUAN MASYARAKAT</t>
  </si>
  <si>
    <t xml:space="preserve">Cikalongwetan, 31 Januari </t>
  </si>
  <si>
    <t>Februari</t>
  </si>
  <si>
    <t xml:space="preserve">Cikalongwetan, 28 Februari </t>
  </si>
  <si>
    <t xml:space="preserve">Identitas Pengadu </t>
  </si>
  <si>
    <t>Maret</t>
  </si>
  <si>
    <t xml:space="preserve">Cikalongwetan, 30 Maret </t>
  </si>
  <si>
    <t xml:space="preserve">a.  Nama </t>
  </si>
  <si>
    <t>: ................................................................................................................................</t>
  </si>
  <si>
    <t>April</t>
  </si>
  <si>
    <t xml:space="preserve">Cikalongwetan, 30 April </t>
  </si>
  <si>
    <t>b.  Alamat</t>
  </si>
  <si>
    <t>Mei</t>
  </si>
  <si>
    <t xml:space="preserve">Cikalongwetan, 31 Mei </t>
  </si>
  <si>
    <t xml:space="preserve">  ................................................................................................................................</t>
  </si>
  <si>
    <t>Juni</t>
  </si>
  <si>
    <t xml:space="preserve">Cikalongwetan, 29 Juni </t>
  </si>
  <si>
    <t>Tanggal Terima Pengaduan</t>
  </si>
  <si>
    <t>Juli</t>
  </si>
  <si>
    <t xml:space="preserve">Cikalongwetan, 31 Juli </t>
  </si>
  <si>
    <t xml:space="preserve">Lokasi Kejadian </t>
  </si>
  <si>
    <t>Agustus</t>
  </si>
  <si>
    <t xml:space="preserve">Cikalongwetan, 31 Agustus </t>
  </si>
  <si>
    <t xml:space="preserve">a.  RT/RW/Dusun </t>
  </si>
  <si>
    <t>September</t>
  </si>
  <si>
    <t xml:space="preserve">Cikalongwetan, 30 September </t>
  </si>
  <si>
    <t xml:space="preserve">b.  Kelurahan </t>
  </si>
  <si>
    <t>Oktober</t>
  </si>
  <si>
    <t xml:space="preserve">Cikalongwetan, 31 Oktober </t>
  </si>
  <si>
    <t xml:space="preserve">c.  Kabupaten/Kota </t>
  </si>
  <si>
    <t>November</t>
  </si>
  <si>
    <t xml:space="preserve">Cikalongwetan, 30 November </t>
  </si>
  <si>
    <t xml:space="preserve">d.  Provinsi </t>
  </si>
  <si>
    <t>Desember</t>
  </si>
  <si>
    <t xml:space="preserve">Cikalongwetan, 31 Desember </t>
  </si>
  <si>
    <t xml:space="preserve">Uraian Pengaduan: </t>
  </si>
  <si>
    <t>..........................................................................................................................................................................................</t>
  </si>
  <si>
    <t>Tanggal Penyelidikan Dilakukan</t>
  </si>
  <si>
    <t>Penyelidik</t>
  </si>
  <si>
    <t xml:space="preserve">Temuan: </t>
  </si>
  <si>
    <t xml:space="preserve">Keputusan/Rekomendasi: </t>
  </si>
  <si>
    <t>Pelaksanaan Keputusan</t>
  </si>
  <si>
    <t>Tanggal pemberitahuan kepada Pengadu tentang keputusan/dan pelaksanaan keputusan :</t>
  </si>
  <si>
    <t xml:space="preserve">Dokumen yang diterima: </t>
  </si>
  <si>
    <t>MELAPORKAN:</t>
  </si>
  <si>
    <t xml:space="preserve">LEMBAR PENCATATAN PERTANYAAN/KRITIK/SARAN </t>
  </si>
  <si>
    <t xml:space="preserve"> </t>
  </si>
  <si>
    <t xml:space="preserve">Identitas Penanya/Pemberi Saran </t>
  </si>
  <si>
    <t>: ........................................................................................................................</t>
  </si>
  <si>
    <t xml:space="preserve">  ........................................................................................................................</t>
  </si>
  <si>
    <t>Tanggal Penerimaan Pertanyaan/Saran</t>
  </si>
  <si>
    <t xml:space="preserve">Uraian Pertanyaan/Saran: </t>
  </si>
  <si>
    <t>.............................................................................................................................................................................................</t>
  </si>
  <si>
    <t>Penerima Pertanyaan/Saran</t>
  </si>
  <si>
    <t xml:space="preserve">Tindak Lanjut Saran: </t>
  </si>
  <si>
    <t>DATA SEKOLAH</t>
  </si>
  <si>
    <t>NPSN</t>
  </si>
  <si>
    <t>SEKOLAH</t>
  </si>
  <si>
    <t>KECAMATAN</t>
  </si>
  <si>
    <t>No</t>
  </si>
  <si>
    <t>Bulan</t>
  </si>
  <si>
    <t>Saldo Kas</t>
  </si>
  <si>
    <t>Saldo Pajak</t>
  </si>
  <si>
    <t>DATA SALDO BOS REGULER</t>
  </si>
  <si>
    <t>JANUARI</t>
  </si>
  <si>
    <t>FEBRUARI</t>
  </si>
  <si>
    <t>MARET</t>
  </si>
  <si>
    <t>APRIL</t>
  </si>
  <si>
    <t>MEI</t>
  </si>
  <si>
    <t>JUNI</t>
  </si>
  <si>
    <t>JULI</t>
  </si>
  <si>
    <t>AGUSTUS</t>
  </si>
  <si>
    <t>SEPTEMBER</t>
  </si>
  <si>
    <t>OKTOBER</t>
  </si>
  <si>
    <t>NOVEMBER</t>
  </si>
  <si>
    <t>DESEMBER</t>
  </si>
  <si>
    <t>Tanggal Penutupan Bulan lalu</t>
  </si>
  <si>
    <t>Tanggal Penutupan Bulan berjalan</t>
  </si>
  <si>
    <t>DATA SALDO SILPA BOS REGULER</t>
  </si>
  <si>
    <t>SILPA REGULER</t>
  </si>
  <si>
    <t>CIKALONGWETAN</t>
  </si>
  <si>
    <t>Nama Kepsek</t>
  </si>
  <si>
    <t>NIP Kepsek</t>
  </si>
  <si>
    <t>No. SK &amp; Tanggal KS</t>
  </si>
  <si>
    <t>Jumlah Penerimaan</t>
  </si>
  <si>
    <t>Jumlah Pengeluaran</t>
  </si>
  <si>
    <t>Jumlah Saldo Kas</t>
  </si>
  <si>
    <t>Berita Acara</t>
  </si>
  <si>
    <t>Nama Bendahara</t>
  </si>
  <si>
    <t>NIP</t>
  </si>
  <si>
    <t>No. SK &amp; Tanggal Bendahara</t>
  </si>
  <si>
    <t>Pada hari ini Sabtu tanggal tiga puluh satu bulan Januari tahun Dua ribu dua puluh enam. Yang bertanda tangan di bawah ini, kami Kepala Sekolah yang ditunjuk berdasarkan Surat Keputusan Nomor :</t>
  </si>
  <si>
    <t>Pada hari ini Sabtu tanggal dua puluh delapan bulan Februari tahun Dua ribu dua puluh enam. Yang bertanda tangan di bawah ini, kami Kepala Sekolah yang ditunjuk berdasarkan Surat Keputusan Nomor :</t>
  </si>
  <si>
    <t>Pada hari ini Selasa tanggal tiga puluh satu bulan Maret tahun Dua ribu dua puluh enam. Yang bertanda tangan di bawah ini, kami Kepala Sekolah yang ditunjuk berdasarkan Surat Keputusan Nomor :</t>
  </si>
  <si>
    <t>Pada hari ini Kamis tanggal tiga puluh bulan April tahun Dua ribu dua puluh enam. Yang bertanda tangan di bawah ini, kami Kepala Sekolah yang ditunjuk berdasarkan Surat Keputusan Nomor :</t>
  </si>
  <si>
    <t>Pada hari ini Sabtu tanggal tiga puluh satu bulan Mei tahun Dua ribu dua puluh enam. Yang bertanda tangan di bawah ini, kami Kepala Sekolah yang ditunjuk berdasarkan Surat Keputusan Nomor :</t>
  </si>
  <si>
    <t>Pada hari ini Kamis tanggal tiga puluh satu bulan Juli tahun Dua ribu dua puluh enam. Yang bertanda tangan di bawah ini, kami Kepala Sekolah yang ditunjuk berdasarkan Surat Keputusan Nomor :</t>
  </si>
  <si>
    <t>Pada hari ini Senin tanggal tiga puluh satu bulan Agustus tahun Dua ribu dua puluh enam. Yang bertanda tangan di bawah ini, kami Kepala Sekolah yang ditunjuk berdasarkan Surat Keputusan Nomor :</t>
  </si>
  <si>
    <t>Pada hari ini Selasa tanggal tiga puluh bulan September tahun Dua ribu dua puluh enam. Yang bertanda tangan di bawah ini, kami Kepala Sekolah yang ditunjuk berdasarkan Surat Keputusan Nomor :</t>
  </si>
  <si>
    <t>Pada hari ini Jumat tanggal tiga puluh bulan Oktober tahun Dua ribu dua puluh enam. Yang bertanda tangan di bawah ini, kami Kepala Sekolah yang ditunjuk berdasarkan Surat Keputusan Nomor :</t>
  </si>
  <si>
    <t>Pada hari ini Sabtu tanggal dua puluh sembilan bulan November tahun Dua ribu dua puluh enam. Yang bertanda tangan di bawah ini, kami Kepala Sekolah yang ditunjuk berdasarkan Surat Keputusan Nomor :</t>
  </si>
  <si>
    <t>Pada hari ini Rabu tanggal tiga puluh satu bulan Desember tahun Dua ribu dua puluh enam. Yang bertanda tangan di bawah ini, kami Kepala Sekolah yang ditunjuk berdasarkan Surat Keputusan Nomor :</t>
  </si>
  <si>
    <t>Pada hari ini Selasa tanggal tiga puluh bulan Juni tahun Dua ribu dua puluh enam. Yang bertanda tangan di bawah ini, kami Kepala Sekolah yang ditunjuk berdasarkan Surat Keputusan Nomor :</t>
  </si>
  <si>
    <t>800.1.13.3/062-BKPSDM tanggal 2 Januari 2026</t>
  </si>
  <si>
    <t>100.3.3.2/Kep.     - BKAD/2026</t>
  </si>
  <si>
    <t>20205293</t>
  </si>
  <si>
    <t>SD NEGERI PASIRHALANG</t>
  </si>
  <si>
    <t>YUNIARTI, S.Pd</t>
  </si>
  <si>
    <t xml:space="preserve"> 196607071986102005</t>
  </si>
  <si>
    <t>AHMAD, S.Pd.</t>
  </si>
  <si>
    <t>196805251992121003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</si>
</sst>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F800]dddd\,\ mmmm\ dd\,\ yyyy"/>
    <numFmt numFmtId="166" formatCode="_(&quot;Rp&quot;* #,##0.\-_);_(&quot;Rp&quot;* \(#,##0.\-\);_(&quot;Rp&quot;* &quot;0&quot;??_);_(@_)"/>
    <numFmt numFmtId="167" formatCode="_(&quot;Rp&quot;* #,##0.\-_);_(&quot;Rp&quot;* \(#,##0.\-\);_(&quot;Rp&quot;* &quot;-&quot;??_);_(@_)"/>
    <numFmt numFmtId="168" formatCode="_(&quot;Rp&quot;* #,##0_);_(&quot;Rp&quot;* \(#,##0\);_(&quot;Rp&quot;* &quot;0&quot;_);_(@_)"/>
    <numFmt numFmtId="169" formatCode="[$-421]dd\ mmmm\ yyyy;@"/>
  </numFmts>
  <fonts count="29" x14ac:knownFonts="1">
    <font>
      <sz val="11"/>
      <color theme="1"/>
      <name val="Calibri"/>
      <family val="2"/>
      <charset val="1"/>
      <scheme val="minor"/>
    </font>
    <font>
      <sz val="11"/>
      <color theme="1"/>
      <name val="Calibri"/>
      <family val="2"/>
      <charset val="1"/>
      <scheme val="minor"/>
    </font>
    <font>
      <sz val="11"/>
      <color theme="0"/>
      <name val="Calibri"/>
      <family val="2"/>
      <charset val="1"/>
      <scheme val="minor"/>
    </font>
    <font>
      <sz val="11"/>
      <color theme="1"/>
      <name val="Calibri"/>
      <family val="2"/>
      <scheme val="minor"/>
    </font>
    <font>
      <sz val="9"/>
      <color theme="1"/>
      <name val="Bookman Old Style"/>
      <family val="1"/>
    </font>
    <font>
      <b/>
      <sz val="11"/>
      <color theme="1"/>
      <name val="Bookman Old Style"/>
      <family val="1"/>
    </font>
    <font>
      <b/>
      <sz val="9"/>
      <color theme="1"/>
      <name val="Bookman Old Style"/>
      <family val="1"/>
    </font>
    <font>
      <i/>
      <sz val="9"/>
      <color theme="1"/>
      <name val="Bookman Old Style"/>
      <family val="1"/>
    </font>
    <font>
      <sz val="11"/>
      <color theme="1"/>
      <name val="Bookman Old Style"/>
      <family val="1"/>
    </font>
    <font>
      <sz val="11"/>
      <color theme="0"/>
      <name val="Bookman Old Style"/>
      <family val="1"/>
    </font>
    <font>
      <sz val="11"/>
      <color rgb="FF000000"/>
      <name val="Bookman Old Style"/>
      <family val="1"/>
    </font>
    <font>
      <b/>
      <sz val="11"/>
      <color rgb="FF000000"/>
      <name val="Bookman Old Style"/>
      <family val="1"/>
    </font>
    <font>
      <sz val="12"/>
      <color rgb="FF000000"/>
      <name val="Bookman Old Style"/>
      <family val="1"/>
    </font>
    <font>
      <sz val="10"/>
      <color rgb="FF000000"/>
      <name val="Bookman Old Style"/>
      <family val="1"/>
    </font>
    <font>
      <sz val="10"/>
      <color theme="1"/>
      <name val="Bookman Old Style"/>
      <family val="1"/>
    </font>
    <font>
      <b/>
      <u/>
      <sz val="10"/>
      <color theme="1"/>
      <name val="Bookman Old Style"/>
      <family val="1"/>
    </font>
    <font>
      <sz val="14"/>
      <color rgb="FF000000"/>
      <name val="Bookman Old Style"/>
      <family val="1"/>
    </font>
    <font>
      <b/>
      <sz val="12"/>
      <color rgb="FF000000"/>
      <name val="Bookman Old Style"/>
      <family val="1"/>
    </font>
    <font>
      <sz val="8"/>
      <color theme="0"/>
      <name val="Bookman Old Style"/>
      <family val="1"/>
    </font>
    <font>
      <b/>
      <sz val="11"/>
      <color theme="1"/>
      <name val="Calibri"/>
      <family val="2"/>
      <scheme val="minor"/>
    </font>
    <font>
      <sz val="10"/>
      <color theme="1"/>
      <name val="Calibri"/>
      <family val="2"/>
      <scheme val="minor"/>
    </font>
    <font>
      <b/>
      <sz val="10"/>
      <color theme="1"/>
      <name val="Calibri"/>
      <family val="2"/>
      <scheme val="minor"/>
    </font>
    <font>
      <sz val="10"/>
      <color theme="1"/>
      <name val="Calibri"/>
      <family val="2"/>
      <charset val="1"/>
      <scheme val="minor"/>
    </font>
    <font>
      <sz val="11"/>
      <name val="Calibri"/>
      <family val="2"/>
      <charset val="1"/>
      <scheme val="minor"/>
    </font>
    <font>
      <sz val="10"/>
      <name val="Calibri"/>
      <family val="2"/>
      <charset val="1"/>
      <scheme val="minor"/>
    </font>
    <font>
      <b/>
      <sz val="10"/>
      <name val="Calibri"/>
      <family val="2"/>
      <scheme val="minor"/>
    </font>
    <font>
      <b/>
      <sz val="10"/>
      <color rgb="FFFF0000"/>
      <name val="Calibri"/>
      <family val="2"/>
      <scheme val="minor"/>
    </font>
    <font>
      <sz val="11"/>
      <color rgb="FFFF0000"/>
      <name val="Calibri"/>
      <family val="2"/>
      <charset val="1"/>
      <scheme val="minor"/>
    </font>
    <font>
      <sz val="9"/>
      <color rgb="FFFF0000"/>
      <name val="Calibri"/>
      <family val="2"/>
      <charset val="1"/>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dotted">
        <color auto="1"/>
      </bottom>
      <diagonal/>
    </border>
    <border>
      <left/>
      <right/>
      <top style="dotted">
        <color auto="1"/>
      </top>
      <bottom style="dotted">
        <color auto="1"/>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3" fillId="0" borderId="0"/>
  </cellStyleXfs>
  <cellXfs count="112">
    <xf numFmtId="0" fontId="0" fillId="0" borderId="0" xfId="0"/>
    <xf numFmtId="0" fontId="4" fillId="0" borderId="0" xfId="2" applyFont="1" applyAlignment="1">
      <alignment vertical="center"/>
    </xf>
    <xf numFmtId="0" fontId="2" fillId="0" borderId="0" xfId="0" applyFont="1"/>
    <xf numFmtId="167" fontId="4" fillId="0" borderId="0" xfId="1" applyNumberFormat="1" applyFont="1" applyFill="1" applyAlignment="1" applyProtection="1">
      <alignment vertical="center"/>
      <protection hidden="1"/>
    </xf>
    <xf numFmtId="0" fontId="6" fillId="0" borderId="0" xfId="2" applyFont="1" applyAlignment="1">
      <alignment vertical="center"/>
    </xf>
    <xf numFmtId="167" fontId="6" fillId="0" borderId="0" xfId="1" applyNumberFormat="1" applyFont="1" applyFill="1" applyAlignment="1" applyProtection="1">
      <alignment vertical="center"/>
      <protection hidden="1"/>
    </xf>
    <xf numFmtId="167" fontId="4" fillId="0" borderId="0" xfId="2" applyNumberFormat="1" applyFont="1" applyAlignment="1">
      <alignment vertical="center"/>
    </xf>
    <xf numFmtId="167" fontId="4" fillId="0" borderId="0" xfId="1" applyNumberFormat="1" applyFont="1" applyFill="1" applyAlignment="1">
      <alignment vertical="center"/>
    </xf>
    <xf numFmtId="0" fontId="4" fillId="0" borderId="0" xfId="2" applyFont="1" applyAlignment="1">
      <alignment horizontal="center" vertical="center"/>
    </xf>
    <xf numFmtId="168" fontId="4" fillId="0" borderId="2" xfId="1" applyNumberFormat="1" applyFont="1" applyFill="1" applyBorder="1" applyAlignment="1" applyProtection="1">
      <alignment vertical="center"/>
      <protection hidden="1"/>
    </xf>
    <xf numFmtId="167" fontId="6" fillId="0" borderId="0" xfId="1" applyNumberFormat="1" applyFont="1" applyFill="1" applyAlignment="1">
      <alignment vertical="center"/>
    </xf>
    <xf numFmtId="0" fontId="6" fillId="0" borderId="0" xfId="2" applyFont="1" applyAlignment="1" applyProtection="1">
      <alignment vertical="center"/>
      <protection hidden="1"/>
    </xf>
    <xf numFmtId="168" fontId="6" fillId="0" borderId="0" xfId="1" applyNumberFormat="1" applyFont="1" applyFill="1" applyAlignment="1" applyProtection="1">
      <alignment vertical="center"/>
      <protection hidden="1"/>
    </xf>
    <xf numFmtId="0" fontId="4" fillId="0" borderId="0" xfId="2" applyFont="1" applyAlignment="1" applyProtection="1">
      <alignment vertical="center"/>
      <protection hidden="1"/>
    </xf>
    <xf numFmtId="168" fontId="4" fillId="0" borderId="0" xfId="1" applyNumberFormat="1" applyFont="1" applyFill="1" applyBorder="1" applyAlignment="1" applyProtection="1">
      <alignment vertical="center"/>
      <protection hidden="1"/>
    </xf>
    <xf numFmtId="167" fontId="6" fillId="0" borderId="0" xfId="2" applyNumberFormat="1" applyFont="1" applyAlignment="1">
      <alignment vertical="center"/>
    </xf>
    <xf numFmtId="168" fontId="4" fillId="0" borderId="0" xfId="1" applyNumberFormat="1" applyFont="1" applyFill="1" applyAlignment="1" applyProtection="1">
      <alignment vertical="center"/>
      <protection hidden="1"/>
    </xf>
    <xf numFmtId="168" fontId="6" fillId="0" borderId="0" xfId="2" applyNumberFormat="1" applyFont="1" applyAlignment="1" applyProtection="1">
      <alignment horizontal="left" vertical="center"/>
      <protection hidden="1"/>
    </xf>
    <xf numFmtId="168" fontId="6" fillId="0" borderId="0" xfId="2" applyNumberFormat="1" applyFont="1" applyAlignment="1">
      <alignment horizontal="left" vertical="center"/>
    </xf>
    <xf numFmtId="0" fontId="7" fillId="0" borderId="0" xfId="2" applyFont="1" applyAlignment="1" applyProtection="1">
      <alignment vertical="center"/>
      <protection hidden="1"/>
    </xf>
    <xf numFmtId="0" fontId="6" fillId="0" borderId="0" xfId="2" applyFont="1" applyAlignment="1">
      <alignment horizontal="right" vertical="center"/>
    </xf>
    <xf numFmtId="164" fontId="6" fillId="0" borderId="0" xfId="2" applyNumberFormat="1" applyFont="1" applyAlignment="1" applyProtection="1">
      <alignment vertical="center"/>
      <protection hidden="1"/>
    </xf>
    <xf numFmtId="0" fontId="6" fillId="0" borderId="0" xfId="2" applyFont="1" applyAlignment="1" applyProtection="1">
      <alignment horizontal="left" vertical="center"/>
      <protection hidden="1"/>
    </xf>
    <xf numFmtId="0" fontId="4" fillId="0" borderId="0" xfId="2" applyFont="1" applyAlignment="1" applyProtection="1">
      <alignment horizontal="left" vertical="center"/>
      <protection hidden="1"/>
    </xf>
    <xf numFmtId="0" fontId="0" fillId="0" borderId="0" xfId="0" applyAlignment="1" applyProtection="1">
      <alignment horizontal="left"/>
      <protection hidden="1"/>
    </xf>
    <xf numFmtId="0" fontId="4" fillId="0" borderId="0" xfId="2" applyFont="1" applyAlignment="1">
      <alignment vertical="top"/>
    </xf>
    <xf numFmtId="168" fontId="4" fillId="0" borderId="0" xfId="2" applyNumberFormat="1" applyFont="1" applyAlignment="1" applyProtection="1">
      <alignment horizontal="left" vertical="center"/>
      <protection hidden="1"/>
    </xf>
    <xf numFmtId="0" fontId="4" fillId="0" borderId="0" xfId="2" applyFont="1" applyAlignment="1">
      <alignment horizontal="left" vertical="center"/>
    </xf>
    <xf numFmtId="0" fontId="6" fillId="0" borderId="0" xfId="2" applyFont="1" applyAlignment="1" applyProtection="1">
      <alignment horizontal="center" vertical="center"/>
      <protection hidden="1"/>
    </xf>
    <xf numFmtId="0" fontId="4" fillId="0" borderId="0" xfId="2" applyFont="1" applyAlignment="1" applyProtection="1">
      <alignment horizontal="center" vertical="center"/>
      <protection hidden="1"/>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vertical="center"/>
    </xf>
    <xf numFmtId="0" fontId="10" fillId="0" borderId="0" xfId="0" applyFont="1" applyAlignment="1">
      <alignment vertical="center" wrapText="1"/>
    </xf>
    <xf numFmtId="0" fontId="13" fillId="0" borderId="0" xfId="0" applyFont="1" applyAlignment="1" applyProtection="1">
      <alignment horizontal="left" vertical="center"/>
      <protection hidden="1"/>
    </xf>
    <xf numFmtId="0" fontId="13" fillId="0" borderId="0" xfId="0" applyFont="1" applyAlignment="1">
      <alignment horizontal="left" vertical="center"/>
    </xf>
    <xf numFmtId="0" fontId="14" fillId="0" borderId="0" xfId="0" applyFont="1" applyAlignment="1">
      <alignment vertical="center"/>
    </xf>
    <xf numFmtId="1" fontId="15" fillId="0" borderId="0" xfId="0" applyNumberFormat="1" applyFont="1" applyAlignment="1" applyProtection="1">
      <alignment horizontal="left" vertical="center"/>
      <protection hidden="1"/>
    </xf>
    <xf numFmtId="0" fontId="14" fillId="0" borderId="0" xfId="0" applyFont="1" applyAlignment="1" applyProtection="1">
      <alignment horizontal="left" vertical="center"/>
      <protection hidden="1"/>
    </xf>
    <xf numFmtId="0" fontId="13" fillId="0" borderId="0" xfId="0" applyFont="1" applyAlignment="1" applyProtection="1">
      <alignment horizontal="left" vertical="center"/>
      <protection locked="0" hidden="1"/>
    </xf>
    <xf numFmtId="0" fontId="18" fillId="0" borderId="0" xfId="0" applyFont="1" applyAlignment="1">
      <alignment vertical="center"/>
    </xf>
    <xf numFmtId="1" fontId="8" fillId="0" borderId="0" xfId="0" applyNumberFormat="1" applyFont="1" applyAlignment="1">
      <alignment horizontal="left" vertical="center"/>
    </xf>
    <xf numFmtId="0" fontId="20" fillId="0" borderId="0" xfId="0" applyFont="1" applyAlignment="1">
      <alignment vertical="center"/>
    </xf>
    <xf numFmtId="0" fontId="21" fillId="0" borderId="0" xfId="0" applyFont="1" applyAlignment="1">
      <alignment horizontal="left" vertical="center"/>
    </xf>
    <xf numFmtId="0" fontId="20" fillId="0" borderId="0" xfId="0" applyFont="1" applyAlignment="1">
      <alignment vertical="center" wrapText="1"/>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0" fontId="20" fillId="0" borderId="1" xfId="0" applyFont="1" applyBorder="1" applyAlignment="1">
      <alignment vertical="center"/>
    </xf>
    <xf numFmtId="3" fontId="20" fillId="0" borderId="1" xfId="0" applyNumberFormat="1" applyFont="1" applyBorder="1" applyAlignment="1">
      <alignment vertical="center"/>
    </xf>
    <xf numFmtId="0" fontId="20" fillId="0" borderId="0" xfId="0" applyFont="1" applyAlignment="1">
      <alignment horizontal="center" vertical="center"/>
    </xf>
    <xf numFmtId="0" fontId="21" fillId="0" borderId="1" xfId="0" applyFont="1" applyBorder="1" applyAlignment="1">
      <alignment horizontal="center" vertical="center" wrapText="1"/>
    </xf>
    <xf numFmtId="0" fontId="22" fillId="4" borderId="1" xfId="0" applyFont="1" applyFill="1" applyBorder="1" applyAlignment="1">
      <alignment horizontal="center"/>
    </xf>
    <xf numFmtId="0" fontId="22" fillId="2" borderId="0" xfId="0" applyFont="1" applyFill="1" applyAlignment="1">
      <alignment horizontal="center"/>
    </xf>
    <xf numFmtId="0" fontId="0" fillId="4" borderId="1" xfId="0" applyFill="1" applyBorder="1" applyAlignment="1">
      <alignment horizontal="center" vertical="center"/>
    </xf>
    <xf numFmtId="0" fontId="0" fillId="2" borderId="0" xfId="0" applyFill="1" applyAlignment="1">
      <alignment horizontal="center" vertical="center"/>
    </xf>
    <xf numFmtId="0" fontId="0" fillId="3" borderId="1" xfId="0" applyFill="1" applyBorder="1" applyAlignment="1" applyProtection="1">
      <alignment horizontal="center" vertical="center"/>
      <protection locked="0"/>
    </xf>
    <xf numFmtId="0" fontId="19" fillId="4" borderId="1" xfId="0" applyFont="1" applyFill="1" applyBorder="1" applyAlignment="1">
      <alignment horizontal="center" vertical="center"/>
    </xf>
    <xf numFmtId="0" fontId="19" fillId="2" borderId="0" xfId="0" applyFont="1" applyFill="1" applyAlignment="1">
      <alignment horizontal="center" vertical="center"/>
    </xf>
    <xf numFmtId="0" fontId="19" fillId="3" borderId="1" xfId="0" applyFont="1" applyFill="1" applyBorder="1" applyAlignment="1" applyProtection="1">
      <alignment horizontal="center" vertical="center"/>
      <protection locked="0"/>
    </xf>
    <xf numFmtId="0" fontId="23" fillId="0" borderId="0" xfId="0" applyFont="1"/>
    <xf numFmtId="0" fontId="24" fillId="4" borderId="1" xfId="0" applyFont="1" applyFill="1" applyBorder="1" applyAlignment="1">
      <alignment horizontal="center"/>
    </xf>
    <xf numFmtId="0" fontId="24" fillId="2" borderId="0" xfId="0" applyFont="1" applyFill="1" applyAlignment="1">
      <alignment horizontal="center"/>
    </xf>
    <xf numFmtId="0" fontId="21" fillId="0" borderId="0" xfId="0" applyFont="1" applyAlignment="1">
      <alignment vertical="center"/>
    </xf>
    <xf numFmtId="0" fontId="20" fillId="0" borderId="1" xfId="0" applyFont="1" applyBorder="1" applyAlignment="1">
      <alignment horizontal="left" vertical="center"/>
    </xf>
    <xf numFmtId="49" fontId="20" fillId="0" borderId="1" xfId="0" applyNumberFormat="1" applyFont="1" applyBorder="1" applyAlignment="1">
      <alignment vertical="center"/>
    </xf>
    <xf numFmtId="0" fontId="20" fillId="0" borderId="5" xfId="0" applyFont="1" applyBorder="1" applyAlignment="1">
      <alignment vertical="center"/>
    </xf>
    <xf numFmtId="0" fontId="20" fillId="0" borderId="4" xfId="0" applyFont="1" applyBorder="1" applyAlignment="1">
      <alignment vertical="center"/>
    </xf>
    <xf numFmtId="0" fontId="20" fillId="0" borderId="6" xfId="0" applyFont="1" applyBorder="1" applyAlignment="1">
      <alignment vertical="center"/>
    </xf>
    <xf numFmtId="0" fontId="20" fillId="0" borderId="7" xfId="0" applyFont="1" applyBorder="1" applyAlignment="1">
      <alignment vertical="center"/>
    </xf>
    <xf numFmtId="0" fontId="20" fillId="0" borderId="8" xfId="0" applyFont="1" applyBorder="1" applyAlignment="1">
      <alignment vertical="center"/>
    </xf>
    <xf numFmtId="0" fontId="20" fillId="0" borderId="9" xfId="0" applyFont="1" applyBorder="1" applyAlignment="1">
      <alignment vertical="center"/>
    </xf>
    <xf numFmtId="0" fontId="21" fillId="0" borderId="0" xfId="0" applyFont="1" applyAlignment="1">
      <alignment horizontal="center" vertical="center"/>
    </xf>
    <xf numFmtId="0" fontId="25" fillId="3" borderId="1" xfId="0" applyFont="1" applyFill="1" applyBorder="1" applyAlignment="1" applyProtection="1">
      <alignment horizontal="center"/>
      <protection locked="0"/>
    </xf>
    <xf numFmtId="0" fontId="21" fillId="0" borderId="1" xfId="0" applyFont="1" applyBorder="1" applyAlignment="1">
      <alignment horizontal="center" vertical="center"/>
    </xf>
    <xf numFmtId="0" fontId="26" fillId="0" borderId="0" xfId="0" applyFont="1" applyAlignment="1">
      <alignment horizontal="left" vertical="center"/>
    </xf>
    <xf numFmtId="0" fontId="4" fillId="0" borderId="0" xfId="2" applyFont="1" applyAlignment="1">
      <alignment horizontal="right" vertical="center"/>
    </xf>
    <xf numFmtId="0" fontId="6" fillId="0" borderId="0" xfId="2" applyFont="1" applyAlignment="1" applyProtection="1">
      <alignment horizontal="right" vertical="center"/>
      <protection hidden="1"/>
    </xf>
    <xf numFmtId="49" fontId="20" fillId="0" borderId="1" xfId="0" quotePrefix="1" applyNumberFormat="1" applyFont="1" applyBorder="1" applyAlignment="1">
      <alignment vertical="center"/>
    </xf>
    <xf numFmtId="169" fontId="6" fillId="0" borderId="0" xfId="2" applyNumberFormat="1" applyFont="1" applyAlignment="1" applyProtection="1">
      <alignment horizontal="left" vertical="center"/>
      <protection hidden="1"/>
    </xf>
    <xf numFmtId="0" fontId="27" fillId="0" borderId="0" xfId="0" applyFont="1"/>
    <xf numFmtId="3" fontId="27" fillId="0" borderId="0" xfId="0" applyNumberFormat="1" applyFont="1"/>
    <xf numFmtId="0" fontId="28" fillId="0" borderId="0" xfId="0" applyFont="1"/>
    <xf numFmtId="3" fontId="20" fillId="0" borderId="0" xfId="0" applyNumberFormat="1" applyFont="1" applyAlignment="1">
      <alignment vertical="center"/>
    </xf>
    <xf numFmtId="0" fontId="21" fillId="3" borderId="1" xfId="0" applyFont="1" applyFill="1" applyBorder="1" applyAlignment="1" applyProtection="1">
      <alignment horizontal="center" vertical="center"/>
      <protection locked="0"/>
    </xf>
    <xf numFmtId="49" fontId="20" fillId="0" borderId="8" xfId="0" applyNumberFormat="1" applyFont="1" applyBorder="1" applyAlignment="1">
      <alignment horizontal="left" vertical="center"/>
    </xf>
    <xf numFmtId="49" fontId="20" fillId="0" borderId="10" xfId="0" applyNumberFormat="1" applyFont="1" applyBorder="1" applyAlignment="1">
      <alignment horizontal="left" vertical="center"/>
    </xf>
    <xf numFmtId="0" fontId="20" fillId="0" borderId="8" xfId="0" applyFont="1" applyBorder="1" applyAlignment="1">
      <alignment horizontal="left" vertical="center"/>
    </xf>
    <xf numFmtId="0" fontId="20" fillId="0" borderId="10" xfId="0" applyFont="1" applyBorder="1" applyAlignment="1">
      <alignment horizontal="left" vertical="center"/>
    </xf>
    <xf numFmtId="169" fontId="4" fillId="0" borderId="0" xfId="2" applyNumberFormat="1" applyFont="1" applyAlignment="1" applyProtection="1">
      <alignment horizontal="left" vertical="center"/>
      <protection hidden="1"/>
    </xf>
    <xf numFmtId="0" fontId="5" fillId="0" borderId="0" xfId="2" applyFont="1" applyAlignment="1">
      <alignment horizontal="center" vertical="center"/>
    </xf>
    <xf numFmtId="0" fontId="6" fillId="0" borderId="0" xfId="2" applyFont="1" applyAlignment="1" applyProtection="1">
      <alignment horizontal="center"/>
      <protection hidden="1"/>
    </xf>
    <xf numFmtId="165" fontId="4" fillId="0" borderId="0" xfId="2" applyNumberFormat="1" applyFont="1" applyAlignment="1" applyProtection="1">
      <alignment horizontal="left" vertical="center"/>
      <protection hidden="1"/>
    </xf>
    <xf numFmtId="3" fontId="4" fillId="0" borderId="3" xfId="2" applyNumberFormat="1" applyFont="1" applyBorder="1" applyAlignment="1" applyProtection="1">
      <alignment horizontal="center" vertical="center"/>
      <protection hidden="1"/>
    </xf>
    <xf numFmtId="0" fontId="4" fillId="0" borderId="3" xfId="2" applyFont="1" applyBorder="1" applyAlignment="1" applyProtection="1">
      <alignment horizontal="center" vertical="center"/>
      <protection hidden="1"/>
    </xf>
    <xf numFmtId="166" fontId="4" fillId="0" borderId="0" xfId="1" applyNumberFormat="1" applyFont="1" applyFill="1" applyAlignment="1" applyProtection="1">
      <alignment horizontal="center" vertical="center"/>
      <protection hidden="1"/>
    </xf>
    <xf numFmtId="0" fontId="6" fillId="0" borderId="0" xfId="2" applyFont="1" applyAlignment="1">
      <alignment horizontal="right" vertical="center"/>
    </xf>
    <xf numFmtId="166" fontId="6" fillId="0" borderId="0" xfId="1" applyNumberFormat="1" applyFont="1" applyFill="1" applyAlignment="1" applyProtection="1">
      <alignment horizontal="center" vertical="center"/>
      <protection hidden="1"/>
    </xf>
    <xf numFmtId="3" fontId="4" fillId="0" borderId="2" xfId="2" applyNumberFormat="1" applyFont="1" applyBorder="1" applyAlignment="1" applyProtection="1">
      <alignment horizontal="center" vertical="center"/>
      <protection hidden="1"/>
    </xf>
    <xf numFmtId="0" fontId="4" fillId="0" borderId="2" xfId="2" applyFont="1" applyBorder="1" applyAlignment="1" applyProtection="1">
      <alignment horizontal="center" vertical="center"/>
      <protection hidden="1"/>
    </xf>
    <xf numFmtId="0" fontId="4" fillId="0" borderId="0" xfId="2" applyFont="1" applyAlignment="1">
      <alignment horizontal="left" vertical="center" wrapText="1"/>
    </xf>
    <xf numFmtId="0" fontId="4" fillId="0" borderId="0" xfId="2" applyFont="1" applyAlignment="1" applyProtection="1">
      <alignment horizontal="justify" vertical="center" wrapText="1" readingOrder="1"/>
      <protection hidden="1"/>
    </xf>
    <xf numFmtId="0" fontId="4" fillId="0" borderId="0" xfId="2" applyFont="1" applyAlignment="1" applyProtection="1">
      <alignment horizontal="left" vertical="center" readingOrder="1"/>
      <protection hidden="1"/>
    </xf>
    <xf numFmtId="0" fontId="4" fillId="0" borderId="0" xfId="2" applyFont="1" applyAlignment="1" applyProtection="1">
      <alignment horizontal="justify" vertical="center" wrapText="1"/>
      <protection hidden="1"/>
    </xf>
    <xf numFmtId="0" fontId="10" fillId="0" borderId="0" xfId="0" applyFont="1" applyAlignment="1">
      <alignment horizontal="center" vertical="center"/>
    </xf>
    <xf numFmtId="1" fontId="11" fillId="0" borderId="0" xfId="0" applyNumberFormat="1" applyFont="1" applyAlignment="1" applyProtection="1">
      <alignment horizontal="center" vertical="center"/>
      <protection hidden="1"/>
    </xf>
    <xf numFmtId="0" fontId="11" fillId="0" borderId="0" xfId="0" applyFont="1" applyAlignment="1" applyProtection="1">
      <alignment horizontal="center" vertical="center"/>
      <protection hidden="1"/>
    </xf>
    <xf numFmtId="0" fontId="12" fillId="0" borderId="4" xfId="0" applyFont="1" applyBorder="1" applyAlignment="1" applyProtection="1">
      <alignment horizontal="center" vertical="center"/>
      <protection hidden="1"/>
    </xf>
    <xf numFmtId="0" fontId="16" fillId="0" borderId="0" xfId="0" applyFont="1" applyAlignment="1">
      <alignment horizontal="center" vertical="center"/>
    </xf>
    <xf numFmtId="1" fontId="17" fillId="0" borderId="4" xfId="0" applyNumberFormat="1" applyFont="1" applyBorder="1" applyAlignment="1" applyProtection="1">
      <alignment horizontal="center" vertical="center"/>
      <protection hidden="1"/>
    </xf>
    <xf numFmtId="0" fontId="17" fillId="0" borderId="4" xfId="0" applyFont="1" applyBorder="1" applyAlignment="1" applyProtection="1">
      <alignment horizontal="center" vertical="center"/>
      <protection hidden="1"/>
    </xf>
  </cellXfs>
  <cellStyles count="3">
    <cellStyle name="Comma [0]" xfId="1" builtinId="6"/>
    <cellStyle name="Normal" xfId="0" builtinId="0"/>
    <cellStyle name="Normal 14" xfId="2" xr:uid="{AE218E08-5F0B-4CEA-8563-F2C515DE43E7}"/>
  </cellStyles>
  <dxfs count="6">
    <dxf>
      <font>
        <b/>
        <i/>
        <color rgb="FFFF0000"/>
      </font>
    </dxf>
    <dxf>
      <font>
        <b/>
        <i/>
        <color rgb="FFFF0000"/>
      </font>
    </dxf>
    <dxf>
      <fill>
        <patternFill>
          <bgColor rgb="FFFF0000"/>
        </patternFill>
      </fill>
    </dxf>
    <dxf>
      <fill>
        <patternFill>
          <bgColor theme="7" tint="0.39994506668294322"/>
        </patternFill>
      </fill>
    </dxf>
    <dxf>
      <fill>
        <patternFill>
          <bgColor theme="7" tint="0.39994506668294322"/>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127002</xdr:colOff>
      <xdr:row>41</xdr:row>
      <xdr:rowOff>163080</xdr:rowOff>
    </xdr:from>
    <xdr:to>
      <xdr:col>3</xdr:col>
      <xdr:colOff>609601</xdr:colOff>
      <xdr:row>45</xdr:row>
      <xdr:rowOff>42334</xdr:rowOff>
    </xdr:to>
    <xdr:pic>
      <xdr:nvPicPr>
        <xdr:cNvPr id="2" name="Picture 1">
          <a:extLst>
            <a:ext uri="{FF2B5EF4-FFF2-40B4-BE49-F238E27FC236}">
              <a16:creationId xmlns:a16="http://schemas.microsoft.com/office/drawing/2014/main" id="{91FA8106-FE2A-22CD-532F-A99AAFE77A30}"/>
            </a:ext>
          </a:extLst>
        </xdr:cNvPr>
        <xdr:cNvPicPr>
          <a:picLocks noChangeAspect="1"/>
        </xdr:cNvPicPr>
      </xdr:nvPicPr>
      <xdr:blipFill>
        <a:blip xmlns:r="http://schemas.openxmlformats.org/officeDocument/2006/relationships" r:embed="rId1"/>
        <a:stretch>
          <a:fillRect/>
        </a:stretch>
      </xdr:blipFill>
      <xdr:spPr>
        <a:xfrm>
          <a:off x="127002" y="7800013"/>
          <a:ext cx="2531532" cy="624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63500</xdr:colOff>
      <xdr:row>7</xdr:row>
      <xdr:rowOff>148166</xdr:rowOff>
    </xdr:from>
    <xdr:to>
      <xdr:col>3</xdr:col>
      <xdr:colOff>2180166</xdr:colOff>
      <xdr:row>41</xdr:row>
      <xdr:rowOff>190500</xdr:rowOff>
    </xdr:to>
    <xdr:grpSp>
      <xdr:nvGrpSpPr>
        <xdr:cNvPr id="2" name="Group 1">
          <a:extLst>
            <a:ext uri="{FF2B5EF4-FFF2-40B4-BE49-F238E27FC236}">
              <a16:creationId xmlns:a16="http://schemas.microsoft.com/office/drawing/2014/main" id="{C645C197-5DE4-4373-A88A-8C42692B0175}"/>
            </a:ext>
          </a:extLst>
        </xdr:cNvPr>
        <xdr:cNvGrpSpPr/>
      </xdr:nvGrpSpPr>
      <xdr:grpSpPr>
        <a:xfrm>
          <a:off x="334433" y="1689099"/>
          <a:ext cx="7730066" cy="9254068"/>
          <a:chOff x="338667" y="1693333"/>
          <a:chExt cx="7831666" cy="9398000"/>
        </a:xfrm>
      </xdr:grpSpPr>
      <xdr:pic>
        <xdr:nvPicPr>
          <xdr:cNvPr id="3" name="Picture 2">
            <a:extLst>
              <a:ext uri="{FF2B5EF4-FFF2-40B4-BE49-F238E27FC236}">
                <a16:creationId xmlns:a16="http://schemas.microsoft.com/office/drawing/2014/main" id="{03E6F657-12AB-44EB-B86A-19038BB977A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rot="18575357">
            <a:off x="1323641" y="4840431"/>
            <a:ext cx="5190176" cy="17943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4" name="Straight Connector 3">
            <a:extLst>
              <a:ext uri="{FF2B5EF4-FFF2-40B4-BE49-F238E27FC236}">
                <a16:creationId xmlns:a16="http://schemas.microsoft.com/office/drawing/2014/main" id="{BE2649CA-0DB8-4DC8-8968-3832DB0878B6}"/>
              </a:ext>
            </a:extLst>
          </xdr:cNvPr>
          <xdr:cNvCxnSpPr/>
        </xdr:nvCxnSpPr>
        <xdr:spPr>
          <a:xfrm flipH="1">
            <a:off x="338667" y="1693333"/>
            <a:ext cx="7831666" cy="9398000"/>
          </a:xfrm>
          <a:prstGeom prst="line">
            <a:avLst/>
          </a:prstGeom>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1610084</xdr:colOff>
      <xdr:row>15</xdr:row>
      <xdr:rowOff>181296</xdr:rowOff>
    </xdr:from>
    <xdr:to>
      <xdr:col>3</xdr:col>
      <xdr:colOff>1231834</xdr:colOff>
      <xdr:row>20</xdr:row>
      <xdr:rowOff>98335</xdr:rowOff>
    </xdr:to>
    <xdr:pic>
      <xdr:nvPicPr>
        <xdr:cNvPr id="2" name="Picture 1">
          <a:extLst>
            <a:ext uri="{FF2B5EF4-FFF2-40B4-BE49-F238E27FC236}">
              <a16:creationId xmlns:a16="http://schemas.microsoft.com/office/drawing/2014/main" id="{FF8913B1-2EFC-43EA-BDCA-7D7D7161C0F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rot="19001424">
          <a:off x="1927584" y="4308796"/>
          <a:ext cx="5082750" cy="1631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298102</xdr:colOff>
      <xdr:row>9</xdr:row>
      <xdr:rowOff>188731</xdr:rowOff>
    </xdr:from>
    <xdr:to>
      <xdr:col>3</xdr:col>
      <xdr:colOff>2635250</xdr:colOff>
      <xdr:row>31</xdr:row>
      <xdr:rowOff>202846</xdr:rowOff>
    </xdr:to>
    <xdr:cxnSp macro="">
      <xdr:nvCxnSpPr>
        <xdr:cNvPr id="3" name="Straight Connector 2">
          <a:extLst>
            <a:ext uri="{FF2B5EF4-FFF2-40B4-BE49-F238E27FC236}">
              <a16:creationId xmlns:a16="http://schemas.microsoft.com/office/drawing/2014/main" id="{170D036E-B2A2-4595-934E-67FFB16A25DA}"/>
            </a:ext>
          </a:extLst>
        </xdr:cNvPr>
        <xdr:cNvCxnSpPr/>
      </xdr:nvCxnSpPr>
      <xdr:spPr>
        <a:xfrm flipH="1">
          <a:off x="298102" y="2258831"/>
          <a:ext cx="8115648" cy="7557915"/>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70D4-3E61-42C0-A3F5-E426CA7853EF}">
  <sheetPr codeName="Sheet1"/>
  <dimension ref="A1:U40"/>
  <sheetViews>
    <sheetView showGridLines="0" topLeftCell="C1" zoomScale="114" zoomScaleNormal="60" workbookViewId="0">
      <pane ySplit="8" topLeftCell="A9" activePane="bottomLeft" state="frozen"/>
      <selection pane="bottomLeft" activeCell="G14" sqref="G14"/>
    </sheetView>
  </sheetViews>
  <sheetFormatPr defaultColWidth="8.77734375" defaultRowHeight="13.8" zeroHeight="1" x14ac:dyDescent="0.3"/>
  <cols>
    <col min="1" max="1" width="5.21875" style="44" customWidth="1"/>
    <col min="2" max="2" width="11.21875" style="44" customWidth="1"/>
    <col min="3" max="3" width="12.77734375" style="44" customWidth="1"/>
    <col min="4" max="4" width="12.77734375" style="51" customWidth="1"/>
    <col min="5" max="7" width="12.6640625" style="44" customWidth="1"/>
    <col min="8" max="10" width="12.6640625" style="51" customWidth="1"/>
    <col min="11" max="11" width="20.109375" style="44" customWidth="1"/>
    <col min="12" max="12" width="18.44140625" style="44" customWidth="1"/>
    <col min="13" max="13" width="44.6640625" style="44" customWidth="1"/>
    <col min="14" max="14" width="20.21875" style="44" customWidth="1"/>
    <col min="15" max="15" width="17.88671875" style="44" customWidth="1"/>
    <col min="16" max="16" width="43.44140625" style="44" bestFit="1" customWidth="1"/>
    <col min="17" max="17" width="166.6640625" style="44" customWidth="1"/>
    <col min="18" max="18" width="8.77734375" style="44" customWidth="1"/>
    <col min="19" max="16384" width="8.77734375" style="44"/>
  </cols>
  <sheetData>
    <row r="1" spans="1:21" x14ac:dyDescent="0.3">
      <c r="U1" s="44" t="s">
        <v>129</v>
      </c>
    </row>
    <row r="2" spans="1:21" s="46" customFormat="1" ht="27.6" x14ac:dyDescent="0.3">
      <c r="A2" s="64" t="s">
        <v>105</v>
      </c>
      <c r="U2" s="46" t="s">
        <v>1</v>
      </c>
    </row>
    <row r="3" spans="1:21" x14ac:dyDescent="0.3">
      <c r="A3" s="69" t="s">
        <v>106</v>
      </c>
      <c r="B3" s="67"/>
      <c r="C3" s="86" t="s">
        <v>155</v>
      </c>
      <c r="D3" s="87"/>
      <c r="H3" s="44"/>
      <c r="I3" s="44"/>
      <c r="J3" s="44"/>
    </row>
    <row r="4" spans="1:21" x14ac:dyDescent="0.3">
      <c r="A4" s="71" t="s">
        <v>107</v>
      </c>
      <c r="B4" s="72"/>
      <c r="C4" s="88" t="s">
        <v>156</v>
      </c>
      <c r="D4" s="89"/>
      <c r="H4" s="44"/>
      <c r="I4" s="44"/>
      <c r="J4" s="44"/>
    </row>
    <row r="5" spans="1:21" x14ac:dyDescent="0.3">
      <c r="A5" s="70" t="s">
        <v>108</v>
      </c>
      <c r="B5" s="68"/>
      <c r="C5" s="88" t="s">
        <v>130</v>
      </c>
      <c r="D5" s="89"/>
      <c r="H5" s="44"/>
      <c r="I5" s="44"/>
      <c r="J5" s="44"/>
    </row>
    <row r="6" spans="1:21" x14ac:dyDescent="0.3">
      <c r="D6" s="44"/>
      <c r="E6" s="44">
        <f>E9*2</f>
        <v>165120000</v>
      </c>
      <c r="G6" s="84">
        <f>E9+203400</f>
        <v>82763400</v>
      </c>
      <c r="H6" s="84">
        <f>G6-J13</f>
        <v>74722000</v>
      </c>
      <c r="I6" s="44"/>
      <c r="J6" s="44"/>
    </row>
    <row r="7" spans="1:21" x14ac:dyDescent="0.3">
      <c r="A7" s="76" t="s">
        <v>113</v>
      </c>
      <c r="C7" s="45"/>
      <c r="D7" s="45"/>
      <c r="H7" s="44"/>
      <c r="I7" s="44"/>
      <c r="J7" s="44"/>
    </row>
    <row r="8" spans="1:21" s="73" customFormat="1" ht="37.200000000000003" customHeight="1" x14ac:dyDescent="0.3">
      <c r="A8" s="52" t="s">
        <v>109</v>
      </c>
      <c r="B8" s="52" t="s">
        <v>110</v>
      </c>
      <c r="C8" s="52" t="s">
        <v>126</v>
      </c>
      <c r="D8" s="52" t="s">
        <v>127</v>
      </c>
      <c r="E8" s="52" t="s">
        <v>134</v>
      </c>
      <c r="F8" s="52" t="s">
        <v>135</v>
      </c>
      <c r="G8" s="52" t="s">
        <v>44</v>
      </c>
      <c r="H8" s="52" t="s">
        <v>111</v>
      </c>
      <c r="I8" s="52" t="s">
        <v>112</v>
      </c>
      <c r="J8" s="52" t="s">
        <v>136</v>
      </c>
      <c r="K8" s="52" t="s">
        <v>131</v>
      </c>
      <c r="L8" s="52" t="s">
        <v>132</v>
      </c>
      <c r="M8" s="52" t="s">
        <v>133</v>
      </c>
      <c r="N8" s="52" t="s">
        <v>138</v>
      </c>
      <c r="O8" s="52" t="s">
        <v>139</v>
      </c>
      <c r="P8" s="52" t="s">
        <v>140</v>
      </c>
      <c r="Q8" s="75" t="s">
        <v>137</v>
      </c>
    </row>
    <row r="9" spans="1:21" x14ac:dyDescent="0.3">
      <c r="A9" s="47">
        <v>1</v>
      </c>
      <c r="B9" s="49" t="s">
        <v>114</v>
      </c>
      <c r="C9" s="48">
        <v>46022</v>
      </c>
      <c r="D9" s="48">
        <v>46053</v>
      </c>
      <c r="E9" s="50">
        <v>82560000</v>
      </c>
      <c r="F9" s="50">
        <f>E9-J9</f>
        <v>0</v>
      </c>
      <c r="G9" s="50">
        <v>82560000</v>
      </c>
      <c r="H9" s="50">
        <v>0</v>
      </c>
      <c r="I9" s="50">
        <v>0</v>
      </c>
      <c r="J9" s="50">
        <f>SUM(G9:I9)</f>
        <v>82560000</v>
      </c>
      <c r="K9" s="49" t="s">
        <v>157</v>
      </c>
      <c r="L9" s="79" t="s">
        <v>158</v>
      </c>
      <c r="M9" s="65" t="s">
        <v>153</v>
      </c>
      <c r="N9" s="49" t="s">
        <v>159</v>
      </c>
      <c r="O9" s="79" t="s">
        <v>160</v>
      </c>
      <c r="P9" s="49" t="s">
        <v>154</v>
      </c>
      <c r="Q9" s="49" t="s">
        <v>141</v>
      </c>
      <c r="S9" s="44" t="str">
        <f>TEXT(D9,"Dddd")</f>
        <v>Saturday</v>
      </c>
    </row>
    <row r="10" spans="1:21" x14ac:dyDescent="0.3">
      <c r="A10" s="47">
        <v>2</v>
      </c>
      <c r="B10" s="49" t="s">
        <v>115</v>
      </c>
      <c r="C10" s="48">
        <f>D9</f>
        <v>46053</v>
      </c>
      <c r="D10" s="48">
        <v>46081</v>
      </c>
      <c r="E10" s="50">
        <v>82560000</v>
      </c>
      <c r="F10" s="50">
        <f t="shared" ref="F10:F20" si="0">E10-J10</f>
        <v>36375900</v>
      </c>
      <c r="G10" s="50">
        <v>37109100</v>
      </c>
      <c r="H10" s="50">
        <v>9075000</v>
      </c>
      <c r="I10" s="50">
        <v>0</v>
      </c>
      <c r="J10" s="50">
        <f t="shared" ref="J10:J20" si="1">SUM(G10:I10)</f>
        <v>46184100</v>
      </c>
      <c r="K10" s="49" t="str">
        <f t="shared" ref="K10:P10" si="2">K9</f>
        <v>YUNIARTI, S.Pd</v>
      </c>
      <c r="L10" s="66" t="str">
        <f t="shared" si="2"/>
        <v xml:space="preserve"> 196607071986102005</v>
      </c>
      <c r="M10" s="65" t="str">
        <f t="shared" si="2"/>
        <v>800.1.13.3/062-BKPSDM tanggal 2 Januari 2026</v>
      </c>
      <c r="N10" s="49" t="str">
        <f t="shared" si="2"/>
        <v>AHMAD, S.Pd.</v>
      </c>
      <c r="O10" s="66" t="str">
        <f t="shared" si="2"/>
        <v>196805251992121003</v>
      </c>
      <c r="P10" s="65" t="str">
        <f t="shared" si="2"/>
        <v>100.3.3.2/Kep.     - BKAD/2026</v>
      </c>
      <c r="Q10" s="49" t="s">
        <v>142</v>
      </c>
      <c r="S10" s="44" t="str">
        <f t="shared" ref="S10:S20" si="3">TEXT(D10,"Dddd")</f>
        <v>Saturday</v>
      </c>
    </row>
    <row r="11" spans="1:21" x14ac:dyDescent="0.3">
      <c r="A11" s="47">
        <v>3</v>
      </c>
      <c r="B11" s="49" t="s">
        <v>116</v>
      </c>
      <c r="C11" s="48">
        <f t="shared" ref="C11:C20" si="4">D10</f>
        <v>46081</v>
      </c>
      <c r="D11" s="48">
        <v>46112</v>
      </c>
      <c r="E11" s="50">
        <v>46184100</v>
      </c>
      <c r="F11" s="50">
        <f t="shared" si="0"/>
        <v>5300000</v>
      </c>
      <c r="G11" s="50">
        <v>37109100</v>
      </c>
      <c r="H11" s="50">
        <v>3775000</v>
      </c>
      <c r="I11" s="50">
        <v>0</v>
      </c>
      <c r="J11" s="50">
        <f t="shared" si="1"/>
        <v>40884100</v>
      </c>
      <c r="K11" s="49" t="str">
        <f t="shared" ref="K11:K13" si="5">K10</f>
        <v>YUNIARTI, S.Pd</v>
      </c>
      <c r="L11" s="66" t="str">
        <f t="shared" ref="L11:M14" si="6">L10</f>
        <v xml:space="preserve"> 196607071986102005</v>
      </c>
      <c r="M11" s="65" t="str">
        <f t="shared" si="6"/>
        <v>800.1.13.3/062-BKPSDM tanggal 2 Januari 2026</v>
      </c>
      <c r="N11" s="49" t="str">
        <f t="shared" ref="N11:P20" si="7">N10</f>
        <v>AHMAD, S.Pd.</v>
      </c>
      <c r="O11" s="66" t="str">
        <f t="shared" si="7"/>
        <v>196805251992121003</v>
      </c>
      <c r="P11" s="65" t="str">
        <f t="shared" si="7"/>
        <v>100.3.3.2/Kep.     - BKAD/2026</v>
      </c>
      <c r="Q11" s="49" t="s">
        <v>143</v>
      </c>
      <c r="S11" s="44" t="str">
        <f t="shared" si="3"/>
        <v>Tuesday</v>
      </c>
    </row>
    <row r="12" spans="1:21" x14ac:dyDescent="0.3">
      <c r="A12" s="47">
        <v>4</v>
      </c>
      <c r="B12" s="49" t="s">
        <v>117</v>
      </c>
      <c r="C12" s="48">
        <f t="shared" si="4"/>
        <v>46112</v>
      </c>
      <c r="D12" s="48">
        <v>46142</v>
      </c>
      <c r="E12" s="50">
        <f>J11</f>
        <v>40884100</v>
      </c>
      <c r="F12" s="50">
        <f t="shared" si="0"/>
        <v>31742700</v>
      </c>
      <c r="G12" s="50">
        <v>8041400</v>
      </c>
      <c r="H12" s="50">
        <v>1100000</v>
      </c>
      <c r="I12" s="50">
        <v>0</v>
      </c>
      <c r="J12" s="50">
        <f t="shared" si="1"/>
        <v>9141400</v>
      </c>
      <c r="K12" s="49" t="str">
        <f t="shared" si="5"/>
        <v>YUNIARTI, S.Pd</v>
      </c>
      <c r="L12" s="66" t="str">
        <f t="shared" si="6"/>
        <v xml:space="preserve"> 196607071986102005</v>
      </c>
      <c r="M12" s="65" t="str">
        <f t="shared" si="6"/>
        <v>800.1.13.3/062-BKPSDM tanggal 2 Januari 2026</v>
      </c>
      <c r="N12" s="49" t="str">
        <f t="shared" si="7"/>
        <v>AHMAD, S.Pd.</v>
      </c>
      <c r="O12" s="66" t="str">
        <f t="shared" si="7"/>
        <v>196805251992121003</v>
      </c>
      <c r="P12" s="65" t="str">
        <f t="shared" si="7"/>
        <v>100.3.3.2/Kep.     - BKAD/2026</v>
      </c>
      <c r="Q12" s="49" t="s">
        <v>144</v>
      </c>
      <c r="S12" s="44" t="str">
        <f t="shared" si="3"/>
        <v>Thursday</v>
      </c>
    </row>
    <row r="13" spans="1:21" x14ac:dyDescent="0.3">
      <c r="A13" s="47">
        <v>5</v>
      </c>
      <c r="B13" s="49" t="s">
        <v>118</v>
      </c>
      <c r="C13" s="48">
        <f t="shared" si="4"/>
        <v>46142</v>
      </c>
      <c r="D13" s="48">
        <v>46172</v>
      </c>
      <c r="E13" s="50">
        <f>J12</f>
        <v>9141400</v>
      </c>
      <c r="F13" s="50">
        <f t="shared" si="0"/>
        <v>1100000</v>
      </c>
      <c r="G13" s="50">
        <v>8041400</v>
      </c>
      <c r="H13" s="50">
        <v>0</v>
      </c>
      <c r="I13" s="50">
        <v>0</v>
      </c>
      <c r="J13" s="50">
        <f t="shared" si="1"/>
        <v>8041400</v>
      </c>
      <c r="K13" s="49" t="str">
        <f t="shared" si="5"/>
        <v>YUNIARTI, S.Pd</v>
      </c>
      <c r="L13" s="66" t="str">
        <f t="shared" si="6"/>
        <v xml:space="preserve"> 196607071986102005</v>
      </c>
      <c r="M13" s="65" t="str">
        <f t="shared" si="6"/>
        <v>800.1.13.3/062-BKPSDM tanggal 2 Januari 2026</v>
      </c>
      <c r="N13" s="49" t="str">
        <f t="shared" si="7"/>
        <v>AHMAD, S.Pd.</v>
      </c>
      <c r="O13" s="66" t="str">
        <f t="shared" si="7"/>
        <v>196805251992121003</v>
      </c>
      <c r="P13" s="65" t="str">
        <f t="shared" si="7"/>
        <v>100.3.3.2/Kep.     - BKAD/2026</v>
      </c>
      <c r="Q13" s="49" t="s">
        <v>145</v>
      </c>
      <c r="S13" s="44" t="str">
        <f t="shared" si="3"/>
        <v>Saturday</v>
      </c>
    </row>
    <row r="14" spans="1:21" x14ac:dyDescent="0.3">
      <c r="A14" s="47">
        <v>6</v>
      </c>
      <c r="B14" s="49" t="s">
        <v>119</v>
      </c>
      <c r="C14" s="48">
        <f t="shared" si="4"/>
        <v>46172</v>
      </c>
      <c r="D14" s="48">
        <v>46203</v>
      </c>
      <c r="E14" s="50">
        <f>J13</f>
        <v>8041400</v>
      </c>
      <c r="F14" s="50">
        <f t="shared" si="0"/>
        <v>8041400</v>
      </c>
      <c r="G14" s="50">
        <v>0</v>
      </c>
      <c r="H14" s="50">
        <v>0</v>
      </c>
      <c r="I14" s="50">
        <v>0</v>
      </c>
      <c r="J14" s="50">
        <f t="shared" si="1"/>
        <v>0</v>
      </c>
      <c r="K14" s="49" t="str">
        <f t="shared" ref="K14:K20" si="8">K13</f>
        <v>YUNIARTI, S.Pd</v>
      </c>
      <c r="L14" s="66" t="str">
        <f t="shared" si="6"/>
        <v xml:space="preserve"> 196607071986102005</v>
      </c>
      <c r="M14" s="65" t="str">
        <f t="shared" si="6"/>
        <v>800.1.13.3/062-BKPSDM tanggal 2 Januari 2026</v>
      </c>
      <c r="N14" s="49" t="str">
        <f t="shared" si="7"/>
        <v>AHMAD, S.Pd.</v>
      </c>
      <c r="O14" s="66" t="str">
        <f t="shared" si="7"/>
        <v>196805251992121003</v>
      </c>
      <c r="P14" s="65" t="str">
        <f t="shared" si="7"/>
        <v>100.3.3.2/Kep.     - BKAD/2026</v>
      </c>
      <c r="Q14" s="49" t="s">
        <v>152</v>
      </c>
      <c r="S14" s="44" t="str">
        <f t="shared" si="3"/>
        <v>Tuesday</v>
      </c>
    </row>
    <row r="15" spans="1:21" x14ac:dyDescent="0.3">
      <c r="A15" s="47">
        <v>7</v>
      </c>
      <c r="B15" s="49" t="s">
        <v>120</v>
      </c>
      <c r="C15" s="48">
        <f t="shared" si="4"/>
        <v>46203</v>
      </c>
      <c r="D15" s="48">
        <v>45868</v>
      </c>
      <c r="E15" s="50"/>
      <c r="F15" s="50">
        <f t="shared" si="0"/>
        <v>0</v>
      </c>
      <c r="G15" s="50"/>
      <c r="H15" s="50"/>
      <c r="I15" s="50">
        <v>0</v>
      </c>
      <c r="J15" s="50">
        <f t="shared" si="1"/>
        <v>0</v>
      </c>
      <c r="K15" s="49" t="str">
        <f t="shared" si="8"/>
        <v>YUNIARTI, S.Pd</v>
      </c>
      <c r="L15" s="66" t="str">
        <f t="shared" ref="L15:M20" si="9">L14</f>
        <v xml:space="preserve"> 196607071986102005</v>
      </c>
      <c r="M15" s="65" t="str">
        <f t="shared" si="9"/>
        <v>800.1.13.3/062-BKPSDM tanggal 2 Januari 2026</v>
      </c>
      <c r="N15" s="49" t="str">
        <f t="shared" si="7"/>
        <v>AHMAD, S.Pd.</v>
      </c>
      <c r="O15" s="66" t="str">
        <f t="shared" si="7"/>
        <v>196805251992121003</v>
      </c>
      <c r="P15" s="65" t="str">
        <f t="shared" si="7"/>
        <v>100.3.3.2/Kep.     - BKAD/2026</v>
      </c>
      <c r="Q15" s="49" t="s">
        <v>146</v>
      </c>
      <c r="S15" s="44" t="str">
        <f t="shared" si="3"/>
        <v>Wednesday</v>
      </c>
    </row>
    <row r="16" spans="1:21" x14ac:dyDescent="0.3">
      <c r="A16" s="47">
        <v>8</v>
      </c>
      <c r="B16" s="49" t="s">
        <v>121</v>
      </c>
      <c r="C16" s="48">
        <f t="shared" si="4"/>
        <v>45868</v>
      </c>
      <c r="D16" s="48">
        <v>45900</v>
      </c>
      <c r="E16" s="50"/>
      <c r="F16" s="50">
        <f t="shared" si="0"/>
        <v>0</v>
      </c>
      <c r="G16" s="50"/>
      <c r="H16" s="50"/>
      <c r="I16" s="50">
        <v>0</v>
      </c>
      <c r="J16" s="50">
        <f t="shared" si="1"/>
        <v>0</v>
      </c>
      <c r="K16" s="49" t="str">
        <f t="shared" si="8"/>
        <v>YUNIARTI, S.Pd</v>
      </c>
      <c r="L16" s="66" t="str">
        <f t="shared" si="9"/>
        <v xml:space="preserve"> 196607071986102005</v>
      </c>
      <c r="M16" s="65" t="str">
        <f t="shared" si="9"/>
        <v>800.1.13.3/062-BKPSDM tanggal 2 Januari 2026</v>
      </c>
      <c r="N16" s="49" t="str">
        <f t="shared" si="7"/>
        <v>AHMAD, S.Pd.</v>
      </c>
      <c r="O16" s="66" t="str">
        <f t="shared" si="7"/>
        <v>196805251992121003</v>
      </c>
      <c r="P16" s="65" t="str">
        <f t="shared" si="7"/>
        <v>100.3.3.2/Kep.     - BKAD/2026</v>
      </c>
      <c r="Q16" s="49" t="s">
        <v>147</v>
      </c>
      <c r="S16" s="44" t="str">
        <f t="shared" si="3"/>
        <v>Sunday</v>
      </c>
    </row>
    <row r="17" spans="1:19" x14ac:dyDescent="0.3">
      <c r="A17" s="47">
        <v>9</v>
      </c>
      <c r="B17" s="49" t="s">
        <v>122</v>
      </c>
      <c r="C17" s="48">
        <f t="shared" si="4"/>
        <v>45900</v>
      </c>
      <c r="D17" s="48">
        <v>45930</v>
      </c>
      <c r="E17" s="50"/>
      <c r="F17" s="50">
        <f t="shared" si="0"/>
        <v>0</v>
      </c>
      <c r="G17" s="50"/>
      <c r="H17" s="50"/>
      <c r="I17" s="50">
        <v>0</v>
      </c>
      <c r="J17" s="50">
        <f t="shared" si="1"/>
        <v>0</v>
      </c>
      <c r="K17" s="49" t="str">
        <f t="shared" si="8"/>
        <v>YUNIARTI, S.Pd</v>
      </c>
      <c r="L17" s="66" t="str">
        <f t="shared" si="9"/>
        <v xml:space="preserve"> 196607071986102005</v>
      </c>
      <c r="M17" s="65" t="str">
        <f t="shared" si="9"/>
        <v>800.1.13.3/062-BKPSDM tanggal 2 Januari 2026</v>
      </c>
      <c r="N17" s="49" t="str">
        <f t="shared" si="7"/>
        <v>AHMAD, S.Pd.</v>
      </c>
      <c r="O17" s="66" t="str">
        <f t="shared" si="7"/>
        <v>196805251992121003</v>
      </c>
      <c r="P17" s="65" t="str">
        <f t="shared" si="7"/>
        <v>100.3.3.2/Kep.     - BKAD/2026</v>
      </c>
      <c r="Q17" s="49" t="s">
        <v>148</v>
      </c>
      <c r="S17" s="44" t="str">
        <f t="shared" si="3"/>
        <v>Tuesday</v>
      </c>
    </row>
    <row r="18" spans="1:19" x14ac:dyDescent="0.3">
      <c r="A18" s="47">
        <v>10</v>
      </c>
      <c r="B18" s="49" t="s">
        <v>123</v>
      </c>
      <c r="C18" s="48">
        <f t="shared" si="4"/>
        <v>45930</v>
      </c>
      <c r="D18" s="48">
        <v>45961</v>
      </c>
      <c r="E18" s="50"/>
      <c r="F18" s="50">
        <f t="shared" si="0"/>
        <v>0</v>
      </c>
      <c r="G18" s="50"/>
      <c r="H18" s="50"/>
      <c r="I18" s="50">
        <v>0</v>
      </c>
      <c r="J18" s="50">
        <f t="shared" si="1"/>
        <v>0</v>
      </c>
      <c r="K18" s="49" t="str">
        <f t="shared" si="8"/>
        <v>YUNIARTI, S.Pd</v>
      </c>
      <c r="L18" s="66" t="str">
        <f t="shared" si="9"/>
        <v xml:space="preserve"> 196607071986102005</v>
      </c>
      <c r="M18" s="65" t="str">
        <f t="shared" si="9"/>
        <v>800.1.13.3/062-BKPSDM tanggal 2 Januari 2026</v>
      </c>
      <c r="N18" s="49" t="str">
        <f t="shared" si="7"/>
        <v>AHMAD, S.Pd.</v>
      </c>
      <c r="O18" s="66" t="str">
        <f t="shared" si="7"/>
        <v>196805251992121003</v>
      </c>
      <c r="P18" s="65" t="str">
        <f t="shared" si="7"/>
        <v>100.3.3.2/Kep.     - BKAD/2026</v>
      </c>
      <c r="Q18" s="49" t="s">
        <v>149</v>
      </c>
      <c r="S18" s="44" t="str">
        <f t="shared" si="3"/>
        <v>Friday</v>
      </c>
    </row>
    <row r="19" spans="1:19" x14ac:dyDescent="0.3">
      <c r="A19" s="47">
        <v>11</v>
      </c>
      <c r="B19" s="49" t="s">
        <v>124</v>
      </c>
      <c r="C19" s="48">
        <f t="shared" si="4"/>
        <v>45961</v>
      </c>
      <c r="D19" s="48">
        <v>45990</v>
      </c>
      <c r="E19" s="50"/>
      <c r="F19" s="50">
        <f t="shared" si="0"/>
        <v>0</v>
      </c>
      <c r="G19" s="50"/>
      <c r="H19" s="50"/>
      <c r="I19" s="50">
        <v>0</v>
      </c>
      <c r="J19" s="50">
        <f t="shared" si="1"/>
        <v>0</v>
      </c>
      <c r="K19" s="49" t="str">
        <f t="shared" si="8"/>
        <v>YUNIARTI, S.Pd</v>
      </c>
      <c r="L19" s="66" t="str">
        <f t="shared" si="9"/>
        <v xml:space="preserve"> 196607071986102005</v>
      </c>
      <c r="M19" s="65" t="str">
        <f t="shared" si="9"/>
        <v>800.1.13.3/062-BKPSDM tanggal 2 Januari 2026</v>
      </c>
      <c r="N19" s="49" t="str">
        <f t="shared" si="7"/>
        <v>AHMAD, S.Pd.</v>
      </c>
      <c r="O19" s="66" t="str">
        <f t="shared" si="7"/>
        <v>196805251992121003</v>
      </c>
      <c r="P19" s="65" t="str">
        <f t="shared" si="7"/>
        <v>100.3.3.2/Kep.     - BKAD/2026</v>
      </c>
      <c r="Q19" s="49" t="s">
        <v>150</v>
      </c>
      <c r="S19" s="44" t="str">
        <f t="shared" si="3"/>
        <v>Saturday</v>
      </c>
    </row>
    <row r="20" spans="1:19" x14ac:dyDescent="0.3">
      <c r="A20" s="47">
        <v>12</v>
      </c>
      <c r="B20" s="49" t="s">
        <v>125</v>
      </c>
      <c r="C20" s="48">
        <f t="shared" si="4"/>
        <v>45990</v>
      </c>
      <c r="D20" s="48">
        <v>46022</v>
      </c>
      <c r="E20" s="50"/>
      <c r="F20" s="50">
        <f t="shared" si="0"/>
        <v>0</v>
      </c>
      <c r="G20" s="50"/>
      <c r="H20" s="50"/>
      <c r="I20" s="50">
        <v>0</v>
      </c>
      <c r="J20" s="50">
        <f t="shared" si="1"/>
        <v>0</v>
      </c>
      <c r="K20" s="49" t="str">
        <f t="shared" si="8"/>
        <v>YUNIARTI, S.Pd</v>
      </c>
      <c r="L20" s="66" t="str">
        <f t="shared" si="9"/>
        <v xml:space="preserve"> 196607071986102005</v>
      </c>
      <c r="M20" s="65" t="str">
        <f t="shared" si="9"/>
        <v>800.1.13.3/062-BKPSDM tanggal 2 Januari 2026</v>
      </c>
      <c r="N20" s="49" t="str">
        <f t="shared" si="7"/>
        <v>AHMAD, S.Pd.</v>
      </c>
      <c r="O20" s="66" t="str">
        <f t="shared" si="7"/>
        <v>196805251992121003</v>
      </c>
      <c r="P20" s="65" t="str">
        <f t="shared" si="7"/>
        <v>100.3.3.2/Kep.     - BKAD/2026</v>
      </c>
      <c r="Q20" s="49" t="s">
        <v>151</v>
      </c>
      <c r="S20" s="44" t="str">
        <f t="shared" si="3"/>
        <v>Wednesday</v>
      </c>
    </row>
    <row r="21" spans="1:19" x14ac:dyDescent="0.3">
      <c r="A21" s="51"/>
      <c r="C21" s="51"/>
      <c r="H21" s="44"/>
      <c r="I21" s="44"/>
      <c r="J21" s="44"/>
    </row>
    <row r="22" spans="1:19" x14ac:dyDescent="0.3">
      <c r="A22" s="76" t="s">
        <v>128</v>
      </c>
      <c r="C22" s="45"/>
      <c r="D22" s="45"/>
      <c r="H22" s="44"/>
      <c r="I22" s="44"/>
      <c r="J22" s="44"/>
    </row>
    <row r="23" spans="1:19" s="73" customFormat="1" ht="41.4" x14ac:dyDescent="0.3">
      <c r="A23" s="52" t="s">
        <v>109</v>
      </c>
      <c r="B23" s="52" t="s">
        <v>110</v>
      </c>
      <c r="C23" s="52" t="s">
        <v>126</v>
      </c>
      <c r="D23" s="52" t="s">
        <v>127</v>
      </c>
      <c r="E23" s="52" t="s">
        <v>134</v>
      </c>
      <c r="F23" s="52" t="s">
        <v>135</v>
      </c>
      <c r="G23" s="52" t="s">
        <v>44</v>
      </c>
      <c r="H23" s="52" t="s">
        <v>111</v>
      </c>
      <c r="I23" s="52" t="s">
        <v>112</v>
      </c>
      <c r="J23" s="52" t="s">
        <v>136</v>
      </c>
      <c r="K23" s="52" t="s">
        <v>131</v>
      </c>
      <c r="L23" s="52" t="s">
        <v>132</v>
      </c>
      <c r="M23" s="52" t="s">
        <v>133</v>
      </c>
      <c r="N23" s="52" t="s">
        <v>131</v>
      </c>
      <c r="O23" s="52" t="s">
        <v>132</v>
      </c>
      <c r="P23" s="52" t="s">
        <v>133</v>
      </c>
      <c r="Q23" s="75" t="s">
        <v>137</v>
      </c>
    </row>
    <row r="24" spans="1:19" x14ac:dyDescent="0.3">
      <c r="A24" s="47">
        <v>1</v>
      </c>
      <c r="B24" s="49" t="str">
        <f>B9</f>
        <v>JANUARI</v>
      </c>
      <c r="C24" s="48">
        <f>C9</f>
        <v>46022</v>
      </c>
      <c r="D24" s="48">
        <f>D9</f>
        <v>46053</v>
      </c>
      <c r="E24" s="50">
        <v>0</v>
      </c>
      <c r="F24" s="50">
        <v>0</v>
      </c>
      <c r="G24" s="50">
        <v>0</v>
      </c>
      <c r="H24" s="50">
        <v>0</v>
      </c>
      <c r="I24" s="50">
        <v>0</v>
      </c>
      <c r="J24" s="50">
        <f>SUM(G24:I24)</f>
        <v>0</v>
      </c>
      <c r="K24" s="49" t="str">
        <f t="shared" ref="K24:Q24" si="10">K9</f>
        <v>YUNIARTI, S.Pd</v>
      </c>
      <c r="L24" s="66" t="str">
        <f t="shared" si="10"/>
        <v xml:space="preserve"> 196607071986102005</v>
      </c>
      <c r="M24" s="65" t="str">
        <f t="shared" si="10"/>
        <v>800.1.13.3/062-BKPSDM tanggal 2 Januari 2026</v>
      </c>
      <c r="N24" s="49" t="str">
        <f t="shared" si="10"/>
        <v>AHMAD, S.Pd.</v>
      </c>
      <c r="O24" s="66" t="str">
        <f t="shared" si="10"/>
        <v>196805251992121003</v>
      </c>
      <c r="P24" s="65" t="str">
        <f t="shared" si="10"/>
        <v>100.3.3.2/Kep.     - BKAD/2026</v>
      </c>
      <c r="Q24" s="49" t="str">
        <f t="shared" si="10"/>
        <v>Pada hari ini Sabtu tanggal tiga puluh satu bulan Januari tahun Dua ribu dua puluh enam. Yang bertanda tangan di bawah ini, kami Kepala Sekolah yang ditunjuk berdasarkan Surat Keputusan Nomor :</v>
      </c>
    </row>
    <row r="25" spans="1:19" x14ac:dyDescent="0.3">
      <c r="A25" s="47">
        <v>2</v>
      </c>
      <c r="B25" s="49" t="str">
        <f t="shared" ref="B25:B35" si="11">B10</f>
        <v>FEBRUARI</v>
      </c>
      <c r="C25" s="48">
        <f t="shared" ref="C25:D25" si="12">C10</f>
        <v>46053</v>
      </c>
      <c r="D25" s="48">
        <f t="shared" si="12"/>
        <v>46081</v>
      </c>
      <c r="E25" s="50">
        <v>0</v>
      </c>
      <c r="F25" s="50">
        <v>0</v>
      </c>
      <c r="G25" s="50">
        <v>0</v>
      </c>
      <c r="H25" s="50">
        <v>0</v>
      </c>
      <c r="I25" s="50">
        <v>0</v>
      </c>
      <c r="J25" s="50">
        <f t="shared" ref="J25:J35" si="13">SUM(G25:I25)</f>
        <v>0</v>
      </c>
      <c r="K25" s="49" t="str">
        <f t="shared" ref="K25:O25" si="14">K10</f>
        <v>YUNIARTI, S.Pd</v>
      </c>
      <c r="L25" s="66" t="str">
        <f t="shared" si="14"/>
        <v xml:space="preserve"> 196607071986102005</v>
      </c>
      <c r="M25" s="65" t="str">
        <f t="shared" si="14"/>
        <v>800.1.13.3/062-BKPSDM tanggal 2 Januari 2026</v>
      </c>
      <c r="N25" s="49" t="str">
        <f t="shared" si="14"/>
        <v>AHMAD, S.Pd.</v>
      </c>
      <c r="O25" s="66" t="str">
        <f t="shared" si="14"/>
        <v>196805251992121003</v>
      </c>
      <c r="P25" s="65" t="str">
        <f t="shared" ref="P25:Q25" si="15">P10</f>
        <v>100.3.3.2/Kep.     - BKAD/2026</v>
      </c>
      <c r="Q25" s="49" t="str">
        <f t="shared" si="15"/>
        <v>Pada hari ini Sabtu tanggal dua puluh delapan bulan Februari tahun Dua ribu dua puluh enam. Yang bertanda tangan di bawah ini, kami Kepala Sekolah yang ditunjuk berdasarkan Surat Keputusan Nomor :</v>
      </c>
    </row>
    <row r="26" spans="1:19" x14ac:dyDescent="0.3">
      <c r="A26" s="47">
        <v>3</v>
      </c>
      <c r="B26" s="49" t="str">
        <f t="shared" si="11"/>
        <v>MARET</v>
      </c>
      <c r="C26" s="48">
        <f t="shared" ref="C26:D26" si="16">C11</f>
        <v>46081</v>
      </c>
      <c r="D26" s="48">
        <f t="shared" si="16"/>
        <v>46112</v>
      </c>
      <c r="E26" s="50">
        <v>0</v>
      </c>
      <c r="F26" s="50">
        <v>0</v>
      </c>
      <c r="G26" s="50">
        <v>0</v>
      </c>
      <c r="H26" s="50">
        <v>0</v>
      </c>
      <c r="I26" s="50">
        <v>0</v>
      </c>
      <c r="J26" s="50">
        <f t="shared" si="13"/>
        <v>0</v>
      </c>
      <c r="K26" s="49" t="str">
        <f t="shared" ref="K26:O26" si="17">K11</f>
        <v>YUNIARTI, S.Pd</v>
      </c>
      <c r="L26" s="66" t="str">
        <f t="shared" si="17"/>
        <v xml:space="preserve"> 196607071986102005</v>
      </c>
      <c r="M26" s="65" t="str">
        <f t="shared" si="17"/>
        <v>800.1.13.3/062-BKPSDM tanggal 2 Januari 2026</v>
      </c>
      <c r="N26" s="49" t="str">
        <f t="shared" si="17"/>
        <v>AHMAD, S.Pd.</v>
      </c>
      <c r="O26" s="66" t="str">
        <f t="shared" si="17"/>
        <v>196805251992121003</v>
      </c>
      <c r="P26" s="65" t="str">
        <f t="shared" ref="P26:Q26" si="18">P11</f>
        <v>100.3.3.2/Kep.     - BKAD/2026</v>
      </c>
      <c r="Q26" s="49" t="str">
        <f t="shared" si="18"/>
        <v>Pada hari ini Selasa tanggal tiga puluh satu bulan Maret tahun Dua ribu dua puluh enam. Yang bertanda tangan di bawah ini, kami Kepala Sekolah yang ditunjuk berdasarkan Surat Keputusan Nomor :</v>
      </c>
    </row>
    <row r="27" spans="1:19" x14ac:dyDescent="0.3">
      <c r="A27" s="47">
        <v>4</v>
      </c>
      <c r="B27" s="49" t="str">
        <f t="shared" si="11"/>
        <v>APRIL</v>
      </c>
      <c r="C27" s="48">
        <f t="shared" ref="C27:D27" si="19">C12</f>
        <v>46112</v>
      </c>
      <c r="D27" s="48">
        <f t="shared" si="19"/>
        <v>46142</v>
      </c>
      <c r="E27" s="50">
        <v>0</v>
      </c>
      <c r="F27" s="50">
        <v>0</v>
      </c>
      <c r="G27" s="50">
        <v>0</v>
      </c>
      <c r="H27" s="50">
        <v>0</v>
      </c>
      <c r="I27" s="50">
        <v>0</v>
      </c>
      <c r="J27" s="50">
        <f t="shared" si="13"/>
        <v>0</v>
      </c>
      <c r="K27" s="49" t="str">
        <f t="shared" ref="K27:O27" si="20">K12</f>
        <v>YUNIARTI, S.Pd</v>
      </c>
      <c r="L27" s="66" t="str">
        <f t="shared" si="20"/>
        <v xml:space="preserve"> 196607071986102005</v>
      </c>
      <c r="M27" s="65" t="str">
        <f t="shared" si="20"/>
        <v>800.1.13.3/062-BKPSDM tanggal 2 Januari 2026</v>
      </c>
      <c r="N27" s="49" t="str">
        <f t="shared" si="20"/>
        <v>AHMAD, S.Pd.</v>
      </c>
      <c r="O27" s="66" t="str">
        <f t="shared" si="20"/>
        <v>196805251992121003</v>
      </c>
      <c r="P27" s="65" t="str">
        <f t="shared" ref="P27:Q27" si="21">P12</f>
        <v>100.3.3.2/Kep.     - BKAD/2026</v>
      </c>
      <c r="Q27" s="49" t="str">
        <f t="shared" si="21"/>
        <v>Pada hari ini Kamis tanggal tiga puluh bulan April tahun Dua ribu dua puluh enam. Yang bertanda tangan di bawah ini, kami Kepala Sekolah yang ditunjuk berdasarkan Surat Keputusan Nomor :</v>
      </c>
    </row>
    <row r="28" spans="1:19" x14ac:dyDescent="0.3">
      <c r="A28" s="47">
        <v>5</v>
      </c>
      <c r="B28" s="49" t="str">
        <f t="shared" si="11"/>
        <v>MEI</v>
      </c>
      <c r="C28" s="48">
        <f t="shared" ref="C28:D28" si="22">C13</f>
        <v>46142</v>
      </c>
      <c r="D28" s="48">
        <f t="shared" si="22"/>
        <v>46172</v>
      </c>
      <c r="E28" s="50">
        <v>0</v>
      </c>
      <c r="F28" s="50">
        <v>0</v>
      </c>
      <c r="G28" s="50">
        <v>0</v>
      </c>
      <c r="H28" s="50">
        <v>0</v>
      </c>
      <c r="I28" s="50">
        <v>0</v>
      </c>
      <c r="J28" s="50">
        <f t="shared" si="13"/>
        <v>0</v>
      </c>
      <c r="K28" s="49" t="str">
        <f t="shared" ref="K28:O28" si="23">K13</f>
        <v>YUNIARTI, S.Pd</v>
      </c>
      <c r="L28" s="66" t="str">
        <f t="shared" si="23"/>
        <v xml:space="preserve"> 196607071986102005</v>
      </c>
      <c r="M28" s="65" t="str">
        <f t="shared" si="23"/>
        <v>800.1.13.3/062-BKPSDM tanggal 2 Januari 2026</v>
      </c>
      <c r="N28" s="49" t="str">
        <f t="shared" si="23"/>
        <v>AHMAD, S.Pd.</v>
      </c>
      <c r="O28" s="66" t="str">
        <f t="shared" si="23"/>
        <v>196805251992121003</v>
      </c>
      <c r="P28" s="65" t="str">
        <f t="shared" ref="P28:Q28" si="24">P13</f>
        <v>100.3.3.2/Kep.     - BKAD/2026</v>
      </c>
      <c r="Q28" s="49" t="str">
        <f t="shared" si="24"/>
        <v>Pada hari ini Sabtu tanggal tiga puluh satu bulan Mei tahun Dua ribu dua puluh enam. Yang bertanda tangan di bawah ini, kami Kepala Sekolah yang ditunjuk berdasarkan Surat Keputusan Nomor :</v>
      </c>
    </row>
    <row r="29" spans="1:19" x14ac:dyDescent="0.3">
      <c r="A29" s="47">
        <v>6</v>
      </c>
      <c r="B29" s="49" t="str">
        <f t="shared" si="11"/>
        <v>JUNI</v>
      </c>
      <c r="C29" s="48">
        <f t="shared" ref="C29:D29" si="25">C14</f>
        <v>46172</v>
      </c>
      <c r="D29" s="48">
        <f t="shared" si="25"/>
        <v>46203</v>
      </c>
      <c r="E29" s="50">
        <v>0</v>
      </c>
      <c r="F29" s="50">
        <v>0</v>
      </c>
      <c r="G29" s="50">
        <v>0</v>
      </c>
      <c r="H29" s="50">
        <v>0</v>
      </c>
      <c r="I29" s="50">
        <v>0</v>
      </c>
      <c r="J29" s="50">
        <f t="shared" si="13"/>
        <v>0</v>
      </c>
      <c r="K29" s="49" t="str">
        <f t="shared" ref="K29:O29" si="26">K14</f>
        <v>YUNIARTI, S.Pd</v>
      </c>
      <c r="L29" s="66" t="str">
        <f t="shared" si="26"/>
        <v xml:space="preserve"> 196607071986102005</v>
      </c>
      <c r="M29" s="65" t="str">
        <f t="shared" si="26"/>
        <v>800.1.13.3/062-BKPSDM tanggal 2 Januari 2026</v>
      </c>
      <c r="N29" s="49" t="str">
        <f t="shared" si="26"/>
        <v>AHMAD, S.Pd.</v>
      </c>
      <c r="O29" s="66" t="str">
        <f t="shared" si="26"/>
        <v>196805251992121003</v>
      </c>
      <c r="P29" s="65" t="str">
        <f t="shared" ref="P29:Q29" si="27">P14</f>
        <v>100.3.3.2/Kep.     - BKAD/2026</v>
      </c>
      <c r="Q29" s="49" t="str">
        <f t="shared" si="27"/>
        <v>Pada hari ini Selasa tanggal tiga puluh bulan Juni tahun Dua ribu dua puluh enam. Yang bertanda tangan di bawah ini, kami Kepala Sekolah yang ditunjuk berdasarkan Surat Keputusan Nomor :</v>
      </c>
    </row>
    <row r="30" spans="1:19" x14ac:dyDescent="0.3">
      <c r="A30" s="47">
        <v>7</v>
      </c>
      <c r="B30" s="49" t="str">
        <f t="shared" si="11"/>
        <v>JULI</v>
      </c>
      <c r="C30" s="48">
        <f t="shared" ref="C30:D30" si="28">C15</f>
        <v>46203</v>
      </c>
      <c r="D30" s="48">
        <f t="shared" si="28"/>
        <v>45868</v>
      </c>
      <c r="E30" s="50">
        <v>0</v>
      </c>
      <c r="F30" s="50">
        <v>0</v>
      </c>
      <c r="G30" s="50">
        <v>0</v>
      </c>
      <c r="H30" s="50">
        <v>0</v>
      </c>
      <c r="I30" s="50">
        <v>0</v>
      </c>
      <c r="J30" s="50">
        <f t="shared" si="13"/>
        <v>0</v>
      </c>
      <c r="K30" s="49" t="str">
        <f t="shared" ref="K30:O30" si="29">K15</f>
        <v>YUNIARTI, S.Pd</v>
      </c>
      <c r="L30" s="66" t="str">
        <f t="shared" si="29"/>
        <v xml:space="preserve"> 196607071986102005</v>
      </c>
      <c r="M30" s="65" t="str">
        <f t="shared" si="29"/>
        <v>800.1.13.3/062-BKPSDM tanggal 2 Januari 2026</v>
      </c>
      <c r="N30" s="49" t="str">
        <f t="shared" si="29"/>
        <v>AHMAD, S.Pd.</v>
      </c>
      <c r="O30" s="66" t="str">
        <f t="shared" si="29"/>
        <v>196805251992121003</v>
      </c>
      <c r="P30" s="65" t="str">
        <f t="shared" ref="P30:Q30" si="30">P15</f>
        <v>100.3.3.2/Kep.     - BKAD/2026</v>
      </c>
      <c r="Q30" s="49" t="str">
        <f t="shared" si="30"/>
        <v>Pada hari ini Kamis tanggal tiga puluh satu bulan Juli tahun Dua ribu dua puluh enam. Yang bertanda tangan di bawah ini, kami Kepala Sekolah yang ditunjuk berdasarkan Surat Keputusan Nomor :</v>
      </c>
    </row>
    <row r="31" spans="1:19" x14ac:dyDescent="0.3">
      <c r="A31" s="47">
        <v>8</v>
      </c>
      <c r="B31" s="49" t="str">
        <f t="shared" si="11"/>
        <v>AGUSTUS</v>
      </c>
      <c r="C31" s="48">
        <f t="shared" ref="C31:D31" si="31">C16</f>
        <v>45868</v>
      </c>
      <c r="D31" s="48">
        <f t="shared" si="31"/>
        <v>45900</v>
      </c>
      <c r="E31" s="50">
        <v>0</v>
      </c>
      <c r="F31" s="50">
        <v>0</v>
      </c>
      <c r="G31" s="50">
        <v>0</v>
      </c>
      <c r="H31" s="50">
        <v>0</v>
      </c>
      <c r="I31" s="50">
        <v>0</v>
      </c>
      <c r="J31" s="50">
        <f t="shared" si="13"/>
        <v>0</v>
      </c>
      <c r="K31" s="49" t="str">
        <f t="shared" ref="K31:O31" si="32">K16</f>
        <v>YUNIARTI, S.Pd</v>
      </c>
      <c r="L31" s="66" t="str">
        <f t="shared" si="32"/>
        <v xml:space="preserve"> 196607071986102005</v>
      </c>
      <c r="M31" s="65" t="str">
        <f t="shared" si="32"/>
        <v>800.1.13.3/062-BKPSDM tanggal 2 Januari 2026</v>
      </c>
      <c r="N31" s="49" t="str">
        <f t="shared" si="32"/>
        <v>AHMAD, S.Pd.</v>
      </c>
      <c r="O31" s="66" t="str">
        <f t="shared" si="32"/>
        <v>196805251992121003</v>
      </c>
      <c r="P31" s="65" t="str">
        <f t="shared" ref="P31:Q31" si="33">P16</f>
        <v>100.3.3.2/Kep.     - BKAD/2026</v>
      </c>
      <c r="Q31" s="49" t="str">
        <f t="shared" si="33"/>
        <v>Pada hari ini Senin tanggal tiga puluh satu bulan Agustus tahun Dua ribu dua puluh enam. Yang bertanda tangan di bawah ini, kami Kepala Sekolah yang ditunjuk berdasarkan Surat Keputusan Nomor :</v>
      </c>
    </row>
    <row r="32" spans="1:19" x14ac:dyDescent="0.3">
      <c r="A32" s="47">
        <v>9</v>
      </c>
      <c r="B32" s="49" t="str">
        <f t="shared" si="11"/>
        <v>SEPTEMBER</v>
      </c>
      <c r="C32" s="48">
        <f t="shared" ref="C32:D32" si="34">C17</f>
        <v>45900</v>
      </c>
      <c r="D32" s="48">
        <f t="shared" si="34"/>
        <v>45930</v>
      </c>
      <c r="E32" s="50">
        <v>0</v>
      </c>
      <c r="F32" s="50">
        <v>0</v>
      </c>
      <c r="G32" s="50">
        <v>0</v>
      </c>
      <c r="H32" s="50">
        <v>0</v>
      </c>
      <c r="I32" s="50">
        <v>0</v>
      </c>
      <c r="J32" s="50">
        <f t="shared" si="13"/>
        <v>0</v>
      </c>
      <c r="K32" s="49" t="str">
        <f t="shared" ref="K32:O32" si="35">K17</f>
        <v>YUNIARTI, S.Pd</v>
      </c>
      <c r="L32" s="66" t="str">
        <f t="shared" si="35"/>
        <v xml:space="preserve"> 196607071986102005</v>
      </c>
      <c r="M32" s="65" t="str">
        <f t="shared" si="35"/>
        <v>800.1.13.3/062-BKPSDM tanggal 2 Januari 2026</v>
      </c>
      <c r="N32" s="49" t="str">
        <f t="shared" si="35"/>
        <v>AHMAD, S.Pd.</v>
      </c>
      <c r="O32" s="66" t="str">
        <f t="shared" si="35"/>
        <v>196805251992121003</v>
      </c>
      <c r="P32" s="65" t="str">
        <f t="shared" ref="P32:Q32" si="36">P17</f>
        <v>100.3.3.2/Kep.     - BKAD/2026</v>
      </c>
      <c r="Q32" s="49" t="str">
        <f t="shared" si="36"/>
        <v>Pada hari ini Selasa tanggal tiga puluh bulan September tahun Dua ribu dua puluh enam. Yang bertanda tangan di bawah ini, kami Kepala Sekolah yang ditunjuk berdasarkan Surat Keputusan Nomor :</v>
      </c>
    </row>
    <row r="33" spans="1:17" x14ac:dyDescent="0.3">
      <c r="A33" s="47">
        <v>10</v>
      </c>
      <c r="B33" s="49" t="str">
        <f t="shared" si="11"/>
        <v>OKTOBER</v>
      </c>
      <c r="C33" s="48">
        <f t="shared" ref="C33:D33" si="37">C18</f>
        <v>45930</v>
      </c>
      <c r="D33" s="48">
        <f t="shared" si="37"/>
        <v>45961</v>
      </c>
      <c r="E33" s="50">
        <v>0</v>
      </c>
      <c r="F33" s="50">
        <v>0</v>
      </c>
      <c r="G33" s="50">
        <v>0</v>
      </c>
      <c r="H33" s="50">
        <v>0</v>
      </c>
      <c r="I33" s="50">
        <v>0</v>
      </c>
      <c r="J33" s="50">
        <f t="shared" si="13"/>
        <v>0</v>
      </c>
      <c r="K33" s="49" t="str">
        <f t="shared" ref="K33:O33" si="38">K18</f>
        <v>YUNIARTI, S.Pd</v>
      </c>
      <c r="L33" s="66" t="str">
        <f t="shared" si="38"/>
        <v xml:space="preserve"> 196607071986102005</v>
      </c>
      <c r="M33" s="65" t="str">
        <f t="shared" si="38"/>
        <v>800.1.13.3/062-BKPSDM tanggal 2 Januari 2026</v>
      </c>
      <c r="N33" s="49" t="str">
        <f t="shared" si="38"/>
        <v>AHMAD, S.Pd.</v>
      </c>
      <c r="O33" s="66" t="str">
        <f t="shared" si="38"/>
        <v>196805251992121003</v>
      </c>
      <c r="P33" s="65" t="str">
        <f t="shared" ref="P33:Q33" si="39">P18</f>
        <v>100.3.3.2/Kep.     - BKAD/2026</v>
      </c>
      <c r="Q33" s="49" t="str">
        <f t="shared" si="39"/>
        <v>Pada hari ini Jumat tanggal tiga puluh bulan Oktober tahun Dua ribu dua puluh enam. Yang bertanda tangan di bawah ini, kami Kepala Sekolah yang ditunjuk berdasarkan Surat Keputusan Nomor :</v>
      </c>
    </row>
    <row r="34" spans="1:17" x14ac:dyDescent="0.3">
      <c r="A34" s="47">
        <v>11</v>
      </c>
      <c r="B34" s="49" t="str">
        <f t="shared" si="11"/>
        <v>NOVEMBER</v>
      </c>
      <c r="C34" s="48">
        <f t="shared" ref="C34:D34" si="40">C19</f>
        <v>45961</v>
      </c>
      <c r="D34" s="48">
        <f t="shared" si="40"/>
        <v>45990</v>
      </c>
      <c r="E34" s="50">
        <v>0</v>
      </c>
      <c r="F34" s="50">
        <v>0</v>
      </c>
      <c r="G34" s="50">
        <v>0</v>
      </c>
      <c r="H34" s="50">
        <v>0</v>
      </c>
      <c r="I34" s="50">
        <v>0</v>
      </c>
      <c r="J34" s="50">
        <f t="shared" si="13"/>
        <v>0</v>
      </c>
      <c r="K34" s="49" t="str">
        <f t="shared" ref="K34:O34" si="41">K19</f>
        <v>YUNIARTI, S.Pd</v>
      </c>
      <c r="L34" s="66" t="str">
        <f t="shared" si="41"/>
        <v xml:space="preserve"> 196607071986102005</v>
      </c>
      <c r="M34" s="65" t="str">
        <f t="shared" si="41"/>
        <v>800.1.13.3/062-BKPSDM tanggal 2 Januari 2026</v>
      </c>
      <c r="N34" s="49" t="str">
        <f t="shared" si="41"/>
        <v>AHMAD, S.Pd.</v>
      </c>
      <c r="O34" s="66" t="str">
        <f t="shared" si="41"/>
        <v>196805251992121003</v>
      </c>
      <c r="P34" s="65" t="str">
        <f t="shared" ref="P34:Q34" si="42">P19</f>
        <v>100.3.3.2/Kep.     - BKAD/2026</v>
      </c>
      <c r="Q34" s="49" t="str">
        <f t="shared" si="42"/>
        <v>Pada hari ini Sabtu tanggal dua puluh sembilan bulan November tahun Dua ribu dua puluh enam. Yang bertanda tangan di bawah ini, kami Kepala Sekolah yang ditunjuk berdasarkan Surat Keputusan Nomor :</v>
      </c>
    </row>
    <row r="35" spans="1:17" x14ac:dyDescent="0.3">
      <c r="A35" s="47">
        <v>12</v>
      </c>
      <c r="B35" s="49" t="str">
        <f t="shared" si="11"/>
        <v>DESEMBER</v>
      </c>
      <c r="C35" s="48">
        <f t="shared" ref="C35:D35" si="43">C20</f>
        <v>45990</v>
      </c>
      <c r="D35" s="48">
        <f t="shared" si="43"/>
        <v>46022</v>
      </c>
      <c r="E35" s="50">
        <v>0</v>
      </c>
      <c r="F35" s="50">
        <v>0</v>
      </c>
      <c r="G35" s="50">
        <v>0</v>
      </c>
      <c r="H35" s="50">
        <v>0</v>
      </c>
      <c r="I35" s="50">
        <v>0</v>
      </c>
      <c r="J35" s="50">
        <f t="shared" si="13"/>
        <v>0</v>
      </c>
      <c r="K35" s="49" t="str">
        <f t="shared" ref="K35:O35" si="44">K20</f>
        <v>YUNIARTI, S.Pd</v>
      </c>
      <c r="L35" s="66" t="str">
        <f t="shared" si="44"/>
        <v xml:space="preserve"> 196607071986102005</v>
      </c>
      <c r="M35" s="65" t="str">
        <f t="shared" si="44"/>
        <v>800.1.13.3/062-BKPSDM tanggal 2 Januari 2026</v>
      </c>
      <c r="N35" s="49" t="str">
        <f t="shared" si="44"/>
        <v>AHMAD, S.Pd.</v>
      </c>
      <c r="O35" s="66" t="str">
        <f t="shared" si="44"/>
        <v>196805251992121003</v>
      </c>
      <c r="P35" s="65" t="str">
        <f t="shared" ref="P35:Q35" si="45">P20</f>
        <v>100.3.3.2/Kep.     - BKAD/2026</v>
      </c>
      <c r="Q35" s="49" t="str">
        <f t="shared" si="45"/>
        <v>Pada hari ini Rabu tanggal tiga puluh satu bulan Desember tahun Dua ribu dua puluh enam. Yang bertanda tangan di bawah ini, kami Kepala Sekolah yang ditunjuk berdasarkan Surat Keputusan Nomor :</v>
      </c>
    </row>
    <row r="36" spans="1:17" x14ac:dyDescent="0.3">
      <c r="A36" s="51"/>
      <c r="C36" s="51"/>
      <c r="H36" s="44"/>
      <c r="I36" s="44"/>
      <c r="J36" s="44"/>
    </row>
    <row r="37" spans="1:17" x14ac:dyDescent="0.3">
      <c r="A37" s="51"/>
      <c r="C37" s="51"/>
      <c r="H37" s="44"/>
      <c r="I37" s="44"/>
      <c r="J37" s="44"/>
    </row>
    <row r="38" spans="1:17" x14ac:dyDescent="0.3">
      <c r="A38" s="51"/>
      <c r="C38" s="51"/>
      <c r="H38" s="44"/>
      <c r="I38" s="44"/>
      <c r="J38" s="44"/>
    </row>
    <row r="39" spans="1:17" x14ac:dyDescent="0.3">
      <c r="A39" s="51"/>
      <c r="C39" s="51"/>
      <c r="H39" s="44"/>
      <c r="I39" s="44"/>
      <c r="J39" s="44"/>
    </row>
    <row r="40" spans="1:17" x14ac:dyDescent="0.3"/>
  </sheetData>
  <mergeCells count="3">
    <mergeCell ref="C3:D3"/>
    <mergeCell ref="C4:D4"/>
    <mergeCell ref="C5:D5"/>
  </mergeCells>
  <conditionalFormatting sqref="E24:I35">
    <cfRule type="containsBlanks" dxfId="5" priority="3">
      <formula>LEN(TRIM(E24))=0</formula>
    </cfRule>
  </conditionalFormatting>
  <conditionalFormatting sqref="E9:J20">
    <cfRule type="containsBlanks" dxfId="4" priority="2">
      <formula>LEN(TRIM(E9))=0</formula>
    </cfRule>
  </conditionalFormatting>
  <conditionalFormatting sqref="J24:J35">
    <cfRule type="containsBlanks" dxfId="3" priority="1">
      <formula>LEN(TRIM(J24))=0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D1D4-16CD-4AF3-B640-1AB30A7005B3}">
  <sheetPr codeName="Sheet18">
    <pageSetUpPr fitToPage="1"/>
  </sheetPr>
  <dimension ref="A1:P54"/>
  <sheetViews>
    <sheetView showGridLines="0" tabSelected="1" topLeftCell="A2" zoomScale="90" zoomScaleNormal="90" workbookViewId="0">
      <pane ySplit="5" topLeftCell="A26" activePane="bottomLeft" state="frozen"/>
      <selection activeCell="A2" sqref="A2"/>
      <selection pane="bottomLeft" activeCell="J5" sqref="J5"/>
    </sheetView>
  </sheetViews>
  <sheetFormatPr defaultColWidth="8.77734375" defaultRowHeight="14.55" customHeight="1" zeroHeight="1" x14ac:dyDescent="0.3"/>
  <cols>
    <col min="1" max="1" width="4.44140625" customWidth="1"/>
    <col min="2" max="2" width="3.21875" customWidth="1"/>
    <col min="3" max="3" width="22.21875" customWidth="1"/>
    <col min="4" max="4" width="17" customWidth="1"/>
    <col min="5" max="5" width="2.5546875" customWidth="1"/>
    <col min="6" max="6" width="5.77734375" customWidth="1"/>
    <col min="7" max="7" width="15" customWidth="1"/>
    <col min="8" max="8" width="26.109375" customWidth="1"/>
    <col min="9" max="9" width="4.88671875" customWidth="1"/>
    <col min="10" max="10" width="13.6640625" style="61" bestFit="1" customWidth="1"/>
    <col min="11" max="11" width="2.44140625" style="81" customWidth="1"/>
    <col min="12" max="13" width="8.77734375" style="81" customWidth="1"/>
    <col min="14" max="14" width="11.77734375" style="82" customWidth="1"/>
    <col min="15" max="15" width="13.21875" style="82" customWidth="1"/>
    <col min="16" max="16" width="9.21875" style="82" customWidth="1"/>
    <col min="17" max="16384" width="8.77734375" style="81"/>
  </cols>
  <sheetData>
    <row r="1" spans="2:16" ht="14.4" x14ac:dyDescent="0.3">
      <c r="B1" s="1"/>
      <c r="C1" s="1"/>
      <c r="D1" s="1"/>
      <c r="E1" s="1"/>
      <c r="F1" s="1"/>
      <c r="G1" s="1"/>
    </row>
    <row r="2" spans="2:16" ht="14.4" x14ac:dyDescent="0.3">
      <c r="B2" s="1"/>
      <c r="C2" s="1"/>
      <c r="D2" s="1"/>
      <c r="E2" s="1"/>
      <c r="F2" s="1"/>
      <c r="G2" s="1"/>
      <c r="H2" s="1"/>
    </row>
    <row r="3" spans="2:16" ht="14.4" x14ac:dyDescent="0.3">
      <c r="B3" s="91" t="s">
        <v>0</v>
      </c>
      <c r="C3" s="91"/>
      <c r="D3" s="91"/>
      <c r="E3" s="91"/>
      <c r="F3" s="91"/>
      <c r="G3" s="91"/>
      <c r="H3" s="91"/>
      <c r="J3" s="62" t="s">
        <v>1</v>
      </c>
    </row>
    <row r="4" spans="2:16" ht="14.4" x14ac:dyDescent="0.3">
      <c r="B4" s="91" t="str">
        <f>J3</f>
        <v>BOS REGULER</v>
      </c>
      <c r="C4" s="91"/>
      <c r="D4" s="91"/>
      <c r="E4" s="91"/>
      <c r="F4" s="91"/>
      <c r="G4" s="91"/>
      <c r="H4" s="91"/>
      <c r="J4" s="63" t="s">
        <v>2</v>
      </c>
    </row>
    <row r="5" spans="2:16" ht="14.4" x14ac:dyDescent="0.3">
      <c r="B5" s="92" t="str">
        <f>"PERIODE : BULAN "&amp;J5&amp;" "&amp;2026</f>
        <v>PERIODE : BULAN JANUARI 2026</v>
      </c>
      <c r="C5" s="92"/>
      <c r="D5" s="92"/>
      <c r="E5" s="92"/>
      <c r="F5" s="92"/>
      <c r="G5" s="92"/>
      <c r="H5" s="92"/>
      <c r="J5" s="74" t="s">
        <v>114</v>
      </c>
    </row>
    <row r="6" spans="2:16" ht="14.4" x14ac:dyDescent="0.3">
      <c r="B6" s="1"/>
      <c r="C6" s="1"/>
      <c r="D6" s="1"/>
      <c r="E6" s="1"/>
      <c r="F6" s="1"/>
      <c r="G6" s="1"/>
      <c r="H6" s="1"/>
    </row>
    <row r="7" spans="2:16" ht="14.4" x14ac:dyDescent="0.3">
      <c r="B7" s="1" t="s">
        <v>4</v>
      </c>
      <c r="C7" s="1"/>
      <c r="D7" s="1"/>
      <c r="E7" s="1" t="s">
        <v>5</v>
      </c>
      <c r="F7" s="90">
        <f>IF($J$3="","",IF($J$3="BOS REGULER",(VLOOKUP($J$5,Data!$B$9:$P$20,3,FALSE)),IF($J$3="SILPA REGULER",(VLOOKUP($J$5,Data!$B$24:$P$35,3,FALSE)))))</f>
        <v>46053</v>
      </c>
      <c r="G7" s="90"/>
      <c r="H7" s="90"/>
    </row>
    <row r="8" spans="2:16" ht="14.4" x14ac:dyDescent="0.3">
      <c r="B8" s="1" t="s">
        <v>6</v>
      </c>
      <c r="C8" s="1"/>
      <c r="D8" s="1"/>
      <c r="E8" s="1" t="s">
        <v>5</v>
      </c>
      <c r="F8" s="93" t="str">
        <f>IF($J$3="","",IF($J$3="BOS REGULER",(VLOOKUP($J$5,Data!$B$9:$P$20,13,FALSE)),IF($J$3="SILPA REGULER",(VLOOKUP($J$5,Data!$B$24:$P$35,13,FALSE)))))</f>
        <v>AHMAD, S.Pd.</v>
      </c>
      <c r="G8" s="93"/>
      <c r="H8" s="93"/>
    </row>
    <row r="9" spans="2:16" ht="14.4" x14ac:dyDescent="0.3">
      <c r="B9" s="1" t="s">
        <v>7</v>
      </c>
      <c r="C9" s="1"/>
      <c r="D9" s="1"/>
      <c r="E9" s="1" t="s">
        <v>5</v>
      </c>
      <c r="F9" s="90">
        <f>IF($J$3="","",IF($J$3="BOS REGULER",(VLOOKUP($J$5,Data!$B$9:$P$20,2,FALSE)),IF($J$3="SILPA REGULER",(VLOOKUP($J$5,Data!$B$24:$P$35,2,FALSE)))))</f>
        <v>46022</v>
      </c>
      <c r="G9" s="90"/>
      <c r="H9" s="90"/>
    </row>
    <row r="10" spans="2:16" ht="14.4" x14ac:dyDescent="0.3">
      <c r="B10" s="1" t="s">
        <v>8</v>
      </c>
      <c r="C10" s="1"/>
      <c r="D10" s="1"/>
      <c r="E10" s="1" t="s">
        <v>9</v>
      </c>
      <c r="F10" s="96">
        <f>IF($J$3="","",IF($J$3="BOS REGULER",(VLOOKUP($J$5,Data!$B$9:$P$20,4,FALSE)),IF($J$3="SILPA REGULER",(VLOOKUP($J$5,Data!$B$24:$P$35,4,FALSE)))))</f>
        <v>82560000</v>
      </c>
      <c r="G10" s="96"/>
      <c r="H10" s="3"/>
    </row>
    <row r="11" spans="2:16" ht="14.4" x14ac:dyDescent="0.3">
      <c r="B11" s="1" t="s">
        <v>10</v>
      </c>
      <c r="C11" s="1"/>
      <c r="D11" s="1"/>
      <c r="E11" s="1" t="s">
        <v>9</v>
      </c>
      <c r="F11" s="96">
        <f>IF($J$3="","",IF($J$3="BOS REGULER",(VLOOKUP($J$5,Data!$B$9:$P$20,5,FALSE)),IF($J$3="SILPA REGULER",(VLOOKUP($J$5,Data!$B$24:$P$35,5,FALSE)))))</f>
        <v>0</v>
      </c>
      <c r="G11" s="96"/>
      <c r="H11" s="3"/>
    </row>
    <row r="12" spans="2:16" ht="14.4" x14ac:dyDescent="0.3">
      <c r="B12" s="97" t="s">
        <v>11</v>
      </c>
      <c r="C12" s="97"/>
      <c r="D12" s="97"/>
      <c r="E12" s="4" t="s">
        <v>9</v>
      </c>
      <c r="F12" s="98">
        <f>F10-F11</f>
        <v>82560000</v>
      </c>
      <c r="G12" s="98"/>
      <c r="H12" s="5"/>
    </row>
    <row r="13" spans="2:16" ht="14.4" x14ac:dyDescent="0.3">
      <c r="B13" s="97" t="s">
        <v>12</v>
      </c>
      <c r="C13" s="97"/>
      <c r="D13" s="97"/>
      <c r="E13" s="4" t="s">
        <v>9</v>
      </c>
      <c r="F13" s="98">
        <f>H23+H29+H31</f>
        <v>82560000</v>
      </c>
      <c r="G13" s="98"/>
      <c r="H13" s="5"/>
      <c r="J13" s="2"/>
    </row>
    <row r="14" spans="2:16" ht="14.4" x14ac:dyDescent="0.3">
      <c r="B14" s="1"/>
      <c r="C14" s="1"/>
      <c r="D14" s="1"/>
      <c r="E14" s="1"/>
      <c r="F14" s="1"/>
      <c r="G14" s="1"/>
      <c r="H14" s="6"/>
      <c r="J14" s="2"/>
      <c r="N14" s="82">
        <f>IF($J$3="","",IF($J$3="BOS REGULER",(VLOOKUP($J$5,Data!$B$9:$P$20,7,FALSE)),IF($J$3="SILPA REGULER",(VLOOKUP($J$5,Data!$B$24:$P$35,7,FALSE)))))</f>
        <v>0</v>
      </c>
    </row>
    <row r="15" spans="2:16" ht="14.4" x14ac:dyDescent="0.3">
      <c r="B15" s="1"/>
      <c r="C15" s="1" t="s">
        <v>13</v>
      </c>
      <c r="D15" s="1"/>
      <c r="E15" s="1"/>
      <c r="F15" s="1"/>
      <c r="G15" s="1"/>
      <c r="H15" s="1"/>
      <c r="J15" s="2"/>
    </row>
    <row r="16" spans="2:16" ht="14.4" x14ac:dyDescent="0.3">
      <c r="B16" s="1" t="s">
        <v>14</v>
      </c>
      <c r="C16" s="1" t="s">
        <v>15</v>
      </c>
      <c r="D16" s="7">
        <v>100000</v>
      </c>
      <c r="E16" s="99">
        <f t="shared" ref="E16:E22" si="0">N16</f>
        <v>0</v>
      </c>
      <c r="F16" s="100"/>
      <c r="G16" s="8" t="s">
        <v>16</v>
      </c>
      <c r="H16" s="9">
        <f>IF(E16="","",D16*E16)</f>
        <v>0</v>
      </c>
      <c r="J16" s="2"/>
      <c r="N16" s="82">
        <f t="shared" ref="N16:N22" si="1">O16/D16</f>
        <v>0</v>
      </c>
      <c r="O16" s="82">
        <f>IF(N14&gt;10000000,ROUNDDOWN(N14,-7),IF(N14&lt;10000000,ROUNDDOWN(N14,-6),0))</f>
        <v>0</v>
      </c>
      <c r="P16" s="82">
        <f>N14-O16</f>
        <v>0</v>
      </c>
    </row>
    <row r="17" spans="2:16" ht="14.4" x14ac:dyDescent="0.3">
      <c r="B17" s="1"/>
      <c r="C17" s="1" t="s">
        <v>15</v>
      </c>
      <c r="D17" s="7">
        <v>50000</v>
      </c>
      <c r="E17" s="94">
        <f t="shared" si="0"/>
        <v>0</v>
      </c>
      <c r="F17" s="95"/>
      <c r="G17" s="8" t="s">
        <v>16</v>
      </c>
      <c r="H17" s="9">
        <f t="shared" ref="H17:H22" si="2">IF(E17="","",D17*E17)</f>
        <v>0</v>
      </c>
      <c r="J17" s="2"/>
      <c r="N17" s="82">
        <f t="shared" si="1"/>
        <v>0</v>
      </c>
      <c r="O17" s="82">
        <f>IF(P16=0,0,IF(P16&gt;50000,ROUNDDOWN(P16,-5)))</f>
        <v>0</v>
      </c>
      <c r="P17" s="82">
        <f t="shared" ref="P17:P22" si="3">P16-O17</f>
        <v>0</v>
      </c>
    </row>
    <row r="18" spans="2:16" ht="14.4" x14ac:dyDescent="0.3">
      <c r="B18" s="1"/>
      <c r="C18" s="1" t="s">
        <v>15</v>
      </c>
      <c r="D18" s="7">
        <v>20000</v>
      </c>
      <c r="E18" s="94">
        <f t="shared" si="0"/>
        <v>0</v>
      </c>
      <c r="F18" s="95"/>
      <c r="G18" s="8" t="s">
        <v>16</v>
      </c>
      <c r="H18" s="9">
        <f t="shared" si="2"/>
        <v>0</v>
      </c>
      <c r="J18" s="2"/>
      <c r="N18" s="82">
        <f t="shared" si="1"/>
        <v>0</v>
      </c>
      <c r="O18" s="82">
        <f>IF(P17=0,0,IF(P17&lt;20000,0,IF(P17&lt;40000,20000,IF(P17&lt;60000,40000,IF(P17&lt;80000,60000,IF(P17&lt;100000,80000))))))</f>
        <v>0</v>
      </c>
      <c r="P18" s="82">
        <f t="shared" si="3"/>
        <v>0</v>
      </c>
    </row>
    <row r="19" spans="2:16" ht="14.4" x14ac:dyDescent="0.3">
      <c r="B19" s="1"/>
      <c r="C19" s="1" t="s">
        <v>15</v>
      </c>
      <c r="D19" s="7">
        <v>10000</v>
      </c>
      <c r="E19" s="94">
        <f t="shared" si="0"/>
        <v>0</v>
      </c>
      <c r="F19" s="95"/>
      <c r="G19" s="8" t="s">
        <v>16</v>
      </c>
      <c r="H19" s="9">
        <f t="shared" si="2"/>
        <v>0</v>
      </c>
      <c r="J19" s="2"/>
      <c r="N19" s="82">
        <f t="shared" si="1"/>
        <v>0</v>
      </c>
      <c r="O19" s="82">
        <f>IF(P18=0,0,IF(P18&lt;100000,ROUNDDOWN(P18,-4)))</f>
        <v>0</v>
      </c>
      <c r="P19" s="82">
        <f>P18-O19</f>
        <v>0</v>
      </c>
    </row>
    <row r="20" spans="2:16" ht="14.4" x14ac:dyDescent="0.3">
      <c r="B20" s="1"/>
      <c r="C20" s="1" t="s">
        <v>15</v>
      </c>
      <c r="D20" s="7">
        <v>5000</v>
      </c>
      <c r="E20" s="95">
        <f t="shared" si="0"/>
        <v>0</v>
      </c>
      <c r="F20" s="95"/>
      <c r="G20" s="8" t="s">
        <v>16</v>
      </c>
      <c r="H20" s="9">
        <f t="shared" si="2"/>
        <v>0</v>
      </c>
      <c r="J20" s="2"/>
      <c r="N20" s="82">
        <f t="shared" si="1"/>
        <v>0</v>
      </c>
      <c r="O20" s="82">
        <f>IF(P19=0,0,IF(P19&lt;5000,0,IF(P19&lt;10000,5000,0)))</f>
        <v>0</v>
      </c>
      <c r="P20" s="82">
        <f t="shared" si="3"/>
        <v>0</v>
      </c>
    </row>
    <row r="21" spans="2:16" ht="14.4" x14ac:dyDescent="0.3">
      <c r="B21" s="1"/>
      <c r="C21" s="1" t="s">
        <v>15</v>
      </c>
      <c r="D21" s="7">
        <v>2000</v>
      </c>
      <c r="E21" s="94">
        <f>N21</f>
        <v>0</v>
      </c>
      <c r="F21" s="95"/>
      <c r="G21" s="8" t="s">
        <v>16</v>
      </c>
      <c r="H21" s="9">
        <f t="shared" si="2"/>
        <v>0</v>
      </c>
      <c r="J21" s="2"/>
      <c r="N21" s="82">
        <f>O21/D21</f>
        <v>0</v>
      </c>
      <c r="O21" s="82">
        <f>IF(P20=0,0,IF(P20&lt;2000,0,IF(P20&lt;5000,2000)))</f>
        <v>0</v>
      </c>
      <c r="P21" s="82">
        <f t="shared" si="3"/>
        <v>0</v>
      </c>
    </row>
    <row r="22" spans="2:16" ht="14.4" x14ac:dyDescent="0.3">
      <c r="B22" s="1"/>
      <c r="C22" s="1" t="s">
        <v>15</v>
      </c>
      <c r="D22" s="7">
        <v>1000</v>
      </c>
      <c r="E22" s="95">
        <f t="shared" si="0"/>
        <v>0</v>
      </c>
      <c r="F22" s="95"/>
      <c r="G22" s="8" t="s">
        <v>16</v>
      </c>
      <c r="H22" s="9">
        <f t="shared" si="2"/>
        <v>0</v>
      </c>
      <c r="J22" s="2"/>
      <c r="N22" s="82">
        <f t="shared" si="1"/>
        <v>0</v>
      </c>
      <c r="O22" s="82">
        <f>IF(P21=0,0,IF(P21&lt;1000,0,IF(P21&lt;1900,1000)))</f>
        <v>0</v>
      </c>
      <c r="P22" s="82">
        <f t="shared" si="3"/>
        <v>0</v>
      </c>
    </row>
    <row r="23" spans="2:16" ht="14.4" x14ac:dyDescent="0.3">
      <c r="B23" s="4"/>
      <c r="C23" s="4"/>
      <c r="D23" s="10"/>
      <c r="E23" s="11"/>
      <c r="G23" s="78" t="s">
        <v>17</v>
      </c>
      <c r="H23" s="12">
        <f>SUM(H16:H22)</f>
        <v>0</v>
      </c>
      <c r="J23" s="2"/>
    </row>
    <row r="24" spans="2:16" ht="14.4" x14ac:dyDescent="0.3">
      <c r="B24" s="1"/>
      <c r="C24" s="1"/>
      <c r="D24" s="7"/>
      <c r="E24" s="13"/>
      <c r="F24" s="13"/>
      <c r="G24" s="1"/>
      <c r="H24" s="14"/>
      <c r="J24" s="2"/>
    </row>
    <row r="25" spans="2:16" ht="14.4" x14ac:dyDescent="0.3">
      <c r="B25" s="1" t="s">
        <v>18</v>
      </c>
      <c r="C25" s="1" t="s">
        <v>19</v>
      </c>
      <c r="D25" s="7">
        <v>1000</v>
      </c>
      <c r="E25" s="100">
        <v>0</v>
      </c>
      <c r="F25" s="100"/>
      <c r="G25" s="1" t="s">
        <v>20</v>
      </c>
      <c r="H25" s="9">
        <f>IF(E25="","",D25*E25)</f>
        <v>0</v>
      </c>
      <c r="J25" s="2"/>
    </row>
    <row r="26" spans="2:16" ht="14.4" x14ac:dyDescent="0.3">
      <c r="B26" s="1"/>
      <c r="C26" s="1" t="s">
        <v>19</v>
      </c>
      <c r="D26" s="7">
        <v>500</v>
      </c>
      <c r="E26" s="94">
        <f>N26</f>
        <v>0</v>
      </c>
      <c r="F26" s="95"/>
      <c r="G26" s="1" t="s">
        <v>20</v>
      </c>
      <c r="H26" s="9">
        <f>IF(E26="","",D26*E26)</f>
        <v>0</v>
      </c>
      <c r="J26" s="2"/>
      <c r="N26" s="82">
        <f>O26/D26</f>
        <v>0</v>
      </c>
      <c r="O26" s="82">
        <f>IF(P22=0,0,IF(OR(P22&lt;1000,500,P22&lt;500,0),0))</f>
        <v>0</v>
      </c>
      <c r="P26" s="82">
        <f>P22-O26</f>
        <v>0</v>
      </c>
    </row>
    <row r="27" spans="2:16" ht="14.4" x14ac:dyDescent="0.3">
      <c r="B27" s="1"/>
      <c r="C27" s="1" t="s">
        <v>19</v>
      </c>
      <c r="D27" s="7">
        <v>200</v>
      </c>
      <c r="E27" s="94">
        <f>N27</f>
        <v>0</v>
      </c>
      <c r="F27" s="95"/>
      <c r="G27" s="1" t="s">
        <v>20</v>
      </c>
      <c r="H27" s="9">
        <f>IF(E27="","",D27*E27)</f>
        <v>0</v>
      </c>
      <c r="J27" s="2"/>
      <c r="N27" s="82">
        <f>O27/D27</f>
        <v>0</v>
      </c>
      <c r="O27" s="82">
        <f>IF(P26=0,0,IF(P26&lt;200,0,IF(P26&lt;400,200,IF(P26&lt;600,400,IF(P26&lt;800,600,IF(P26&lt;1000,800))))))</f>
        <v>0</v>
      </c>
      <c r="P27" s="82">
        <f>P26-O27</f>
        <v>0</v>
      </c>
    </row>
    <row r="28" spans="2:16" ht="14.4" x14ac:dyDescent="0.3">
      <c r="B28" s="1"/>
      <c r="C28" s="1" t="s">
        <v>19</v>
      </c>
      <c r="D28" s="7">
        <v>100</v>
      </c>
      <c r="E28" s="94">
        <f>N28</f>
        <v>0</v>
      </c>
      <c r="F28" s="95"/>
      <c r="G28" s="1" t="s">
        <v>20</v>
      </c>
      <c r="H28" s="9">
        <f>IF(E28="","",D28*E28)</f>
        <v>0</v>
      </c>
      <c r="J28" s="2"/>
      <c r="N28" s="82">
        <f>O28/D28</f>
        <v>0</v>
      </c>
      <c r="O28" s="82">
        <f>IF(P27=0,0,IF(P27&lt;500,ROUNDDOWN(P27,-2),IF(P27&lt;100,0)))</f>
        <v>0</v>
      </c>
      <c r="P28" s="82">
        <f>P27-O28</f>
        <v>0</v>
      </c>
    </row>
    <row r="29" spans="2:16" ht="14.4" x14ac:dyDescent="0.3">
      <c r="B29" s="4"/>
      <c r="C29" s="4"/>
      <c r="D29" s="4"/>
      <c r="E29" s="15"/>
      <c r="G29" s="20" t="s">
        <v>21</v>
      </c>
      <c r="H29" s="12">
        <f>SUM(H25:H28)</f>
        <v>0</v>
      </c>
      <c r="J29" s="2"/>
    </row>
    <row r="30" spans="2:16" ht="14.4" x14ac:dyDescent="0.3">
      <c r="B30" s="1"/>
      <c r="C30" s="1"/>
      <c r="D30" s="1"/>
      <c r="E30" s="6"/>
      <c r="G30" s="77"/>
      <c r="H30" s="16"/>
      <c r="J30" s="2"/>
    </row>
    <row r="31" spans="2:16" ht="14.4" x14ac:dyDescent="0.3">
      <c r="B31" s="1" t="s">
        <v>22</v>
      </c>
      <c r="C31" s="1" t="s">
        <v>23</v>
      </c>
      <c r="D31" s="1"/>
      <c r="E31" s="1"/>
      <c r="G31" s="20" t="s">
        <v>24</v>
      </c>
      <c r="H31" s="12">
        <f>IF($J$3="","",IF($J$3="BOS REGULER",(VLOOKUP($J$5,Data!$B$9:$P$20,6,FALSE)),IF($J$3="SILPA REGULER",(VLOOKUP($J$5,Data!$B$24:$P$35,6,FALSE)))))</f>
        <v>82560000</v>
      </c>
      <c r="J31" s="2"/>
    </row>
    <row r="32" spans="2:16" ht="14.4" x14ac:dyDescent="0.3">
      <c r="B32" s="1"/>
      <c r="C32" s="1"/>
      <c r="D32" s="1"/>
      <c r="E32" s="1"/>
      <c r="G32" s="77"/>
      <c r="H32" s="16"/>
      <c r="J32" s="2"/>
    </row>
    <row r="33" spans="2:15" ht="14.4" x14ac:dyDescent="0.3">
      <c r="B33" s="1"/>
      <c r="C33" s="1"/>
      <c r="D33" s="1"/>
      <c r="E33" s="1"/>
      <c r="G33" s="20" t="s">
        <v>25</v>
      </c>
      <c r="H33" s="12">
        <f>SUM(H23,H29,H31)</f>
        <v>82560000</v>
      </c>
      <c r="J33" s="2"/>
    </row>
    <row r="34" spans="2:15" ht="14.4" x14ac:dyDescent="0.3">
      <c r="B34" s="1"/>
      <c r="C34" s="1"/>
      <c r="D34" s="1"/>
      <c r="E34" s="1"/>
      <c r="F34" s="4"/>
      <c r="G34" s="1"/>
      <c r="H34" s="12"/>
      <c r="J34" s="2"/>
    </row>
    <row r="35" spans="2:15" ht="14.4" x14ac:dyDescent="0.3">
      <c r="B35" s="1"/>
      <c r="C35" s="4" t="s">
        <v>26</v>
      </c>
      <c r="D35" s="1"/>
      <c r="E35" s="1"/>
      <c r="F35" s="1"/>
      <c r="G35" s="1"/>
      <c r="H35" s="17">
        <f>F12-F13</f>
        <v>0</v>
      </c>
      <c r="J35" s="2"/>
    </row>
    <row r="36" spans="2:15" ht="14.4" x14ac:dyDescent="0.3">
      <c r="B36" s="1"/>
      <c r="C36" s="4"/>
      <c r="D36" s="1"/>
      <c r="E36" s="1"/>
      <c r="F36" s="1"/>
      <c r="G36" s="1"/>
      <c r="H36" s="18"/>
      <c r="J36" s="2"/>
    </row>
    <row r="37" spans="2:15" ht="14.4" x14ac:dyDescent="0.3">
      <c r="B37" s="1"/>
      <c r="C37" s="1" t="s">
        <v>27</v>
      </c>
      <c r="D37" s="19" t="str">
        <f>IF(H35=0,O37,N37)</f>
        <v>: ...............................................................................................................</v>
      </c>
      <c r="E37" s="1"/>
      <c r="F37" s="1"/>
      <c r="G37" s="1"/>
      <c r="H37" s="1"/>
      <c r="J37" s="2"/>
      <c r="N37" s="83" t="str">
        <f>": disebabkan tidak ada pecahan uang Rp "&amp;TEXT(H35,"#.##0")&amp;" rupiah pada saat transaksi."</f>
        <v>: disebabkan tidak ada pecahan uang Rp 0 rupiah pada saat transaksi.</v>
      </c>
      <c r="O37" s="81" t="str">
        <f>": ..............................................................................................................."</f>
        <v>: ...............................................................................................................</v>
      </c>
    </row>
    <row r="38" spans="2:15" ht="14.4" x14ac:dyDescent="0.3">
      <c r="B38" s="1"/>
      <c r="C38" s="1"/>
      <c r="D38" s="1"/>
      <c r="E38" s="1"/>
      <c r="F38" s="1"/>
      <c r="G38" s="1"/>
      <c r="H38" s="1"/>
      <c r="J38" s="2"/>
    </row>
    <row r="39" spans="2:15" ht="14.4" x14ac:dyDescent="0.3">
      <c r="B39" s="1"/>
      <c r="C39" s="1"/>
      <c r="D39" s="1"/>
      <c r="E39" s="1"/>
      <c r="F39" s="1"/>
      <c r="G39" s="20" t="s">
        <v>28</v>
      </c>
      <c r="H39" s="80">
        <f>F7</f>
        <v>46053</v>
      </c>
      <c r="J39" s="2"/>
    </row>
    <row r="40" spans="2:15" ht="14.4" x14ac:dyDescent="0.3">
      <c r="B40" s="1"/>
      <c r="C40" s="1" t="s">
        <v>29</v>
      </c>
      <c r="D40" s="1"/>
      <c r="E40" s="1"/>
      <c r="F40" s="1"/>
      <c r="H40" s="1" t="s">
        <v>30</v>
      </c>
      <c r="J40" s="2"/>
    </row>
    <row r="41" spans="2:15" ht="14.4" x14ac:dyDescent="0.3">
      <c r="B41" s="1"/>
      <c r="C41" s="1" t="s">
        <v>31</v>
      </c>
      <c r="D41" s="1"/>
      <c r="E41" s="1"/>
      <c r="F41" s="1"/>
      <c r="H41" s="1" t="s">
        <v>32</v>
      </c>
      <c r="J41" s="2"/>
    </row>
    <row r="42" spans="2:15" ht="14.4" x14ac:dyDescent="0.3">
      <c r="B42" s="1"/>
      <c r="C42" s="1"/>
      <c r="D42" s="1"/>
      <c r="E42" s="1"/>
      <c r="F42" s="1"/>
      <c r="H42" s="1"/>
      <c r="J42" s="2"/>
    </row>
    <row r="43" spans="2:15" ht="14.4" x14ac:dyDescent="0.3">
      <c r="B43" s="1"/>
      <c r="C43" s="1"/>
      <c r="D43" s="1"/>
      <c r="E43" s="1"/>
      <c r="F43" s="1"/>
      <c r="H43" s="1"/>
      <c r="J43" s="2"/>
    </row>
    <row r="44" spans="2:15" ht="14.4" x14ac:dyDescent="0.3">
      <c r="B44" s="1"/>
      <c r="C44" s="1"/>
      <c r="D44" s="1"/>
      <c r="E44" s="1"/>
      <c r="F44" s="1"/>
      <c r="H44" s="1"/>
      <c r="J44" s="2"/>
    </row>
    <row r="45" spans="2:15" ht="14.4" x14ac:dyDescent="0.3">
      <c r="B45" s="1"/>
      <c r="C45" s="1"/>
      <c r="D45" s="1"/>
      <c r="E45" s="1"/>
      <c r="F45" s="1"/>
      <c r="H45" s="1"/>
      <c r="J45" s="2"/>
    </row>
    <row r="46" spans="2:15" ht="14.4" x14ac:dyDescent="0.3">
      <c r="B46" s="1"/>
      <c r="C46" s="21"/>
      <c r="D46" s="1"/>
      <c r="E46" s="1"/>
      <c r="F46" s="1"/>
      <c r="H46" s="21"/>
    </row>
    <row r="47" spans="2:15" ht="14.4" x14ac:dyDescent="0.3">
      <c r="B47" s="1"/>
      <c r="C47" s="22" t="str">
        <f>IF($J$3="","",IF($J$3="BOS REGULER",(VLOOKUP($J$5,Data!$B$9:$P$20,13,FALSE)),IF($J$3="SILPA REGULER",(VLOOKUP($J$5,Data!$B$24:$P$35,13,FALSE)))))</f>
        <v>AHMAD, S.Pd.</v>
      </c>
      <c r="D47" s="23"/>
      <c r="E47" s="23"/>
      <c r="F47" s="23"/>
      <c r="G47" s="24"/>
      <c r="H47" s="22" t="str">
        <f>IF($J$3="","",IF($J$3="BOS REGULER",(VLOOKUP($J$5,Data!$B$9:$P$20,10,FALSE)),IF($J$3="SILPA REGULER",(VLOOKUP($J$5,Data!$B$24:$P$35,10,FALSE)))))</f>
        <v>YUNIARTI, S.Pd</v>
      </c>
    </row>
    <row r="48" spans="2:15" ht="14.4" x14ac:dyDescent="0.3">
      <c r="B48" s="1"/>
      <c r="C48" s="23" t="str">
        <f>IF($J$3="","","NIP. "&amp;IF($J$3="BOS REGULER",(VLOOKUP($J$5,Data!$B$9:$P$20,14,FALSE)),IF($J$3="SILPA REGULER",(VLOOKUP($J$5,Data!$B$24:$P$35,14,FALSE)))))</f>
        <v>NIP. 196805251992121003</v>
      </c>
      <c r="D48" s="23"/>
      <c r="E48" s="23"/>
      <c r="F48" s="23"/>
      <c r="G48" s="23"/>
      <c r="H48" s="23" t="str">
        <f>IF($J$3="","","NIP. "&amp;IF($J$3="BOS REGULER",(VLOOKUP($J$5,Data!$B$9:$P$20,11,FALSE)),IF($J$3="SILPA REGULER",(VLOOKUP($J$5,Data!$B$24:$P$35,11,FALSE)))))</f>
        <v>NIP.  196607071986102005</v>
      </c>
    </row>
    <row r="49" ht="14.4" x14ac:dyDescent="0.3"/>
    <row r="50" ht="14.4" x14ac:dyDescent="0.3"/>
    <row r="51" ht="14.4" x14ac:dyDescent="0.3"/>
    <row r="52" ht="14.4" x14ac:dyDescent="0.3"/>
    <row r="53" ht="14.4" x14ac:dyDescent="0.3"/>
    <row r="54" ht="14.4" x14ac:dyDescent="0.3"/>
  </sheetData>
  <mergeCells count="23">
    <mergeCell ref="E22:F22"/>
    <mergeCell ref="E25:F25"/>
    <mergeCell ref="E26:F26"/>
    <mergeCell ref="E27:F27"/>
    <mergeCell ref="E28:F28"/>
    <mergeCell ref="E21:F21"/>
    <mergeCell ref="F10:G10"/>
    <mergeCell ref="F11:G11"/>
    <mergeCell ref="B12:D12"/>
    <mergeCell ref="F12:G12"/>
    <mergeCell ref="B13:D13"/>
    <mergeCell ref="F13:G13"/>
    <mergeCell ref="E16:F16"/>
    <mergeCell ref="E17:F17"/>
    <mergeCell ref="E18:F18"/>
    <mergeCell ref="E19:F19"/>
    <mergeCell ref="E20:F20"/>
    <mergeCell ref="F9:H9"/>
    <mergeCell ref="B3:H3"/>
    <mergeCell ref="B4:H4"/>
    <mergeCell ref="B5:H5"/>
    <mergeCell ref="F7:H7"/>
    <mergeCell ref="F8:H8"/>
  </mergeCells>
  <conditionalFormatting sqref="E16:F22 E25:F28">
    <cfRule type="containsBlanks" dxfId="2" priority="1">
      <formula>LEN(TRIM(E16))=0</formula>
    </cfRule>
  </conditionalFormatting>
  <conditionalFormatting sqref="H35">
    <cfRule type="cellIs" dxfId="1" priority="2" operator="lessThan">
      <formula>0</formula>
    </cfRule>
  </conditionalFormatting>
  <dataValidations count="2">
    <dataValidation type="list" allowBlank="1" showInputMessage="1" showErrorMessage="1" sqref="J5:M5" xr:uid="{03BBE0D4-C2EE-4971-814F-D0BF64AEFAE5}">
      <formula1>bulan</formula1>
    </dataValidation>
    <dataValidation type="list" allowBlank="1" showInputMessage="1" showErrorMessage="1" sqref="J3" xr:uid="{64EAE5CF-CE9C-493D-8286-AADFF8C2A318}">
      <formula1>sumber_dana</formula1>
    </dataValidation>
  </dataValidations>
  <pageMargins left="0.75" right="0.59055118110236227" top="0.74803149606299213" bottom="0.74803149606299213" header="0.31496062992125984" footer="0.31496062992125984"/>
  <pageSetup paperSize="9" scale="9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DE14-233E-4BD5-B1B7-F20796558764}">
  <sheetPr codeName="Sheet65">
    <pageSetUpPr fitToPage="1"/>
  </sheetPr>
  <dimension ref="A1:H44"/>
  <sheetViews>
    <sheetView showGridLines="0" workbookViewId="0">
      <selection activeCell="G5" sqref="G5"/>
    </sheetView>
  </sheetViews>
  <sheetFormatPr defaultColWidth="0" defaultRowHeight="14.55" customHeight="1" zeroHeight="1" x14ac:dyDescent="0.3"/>
  <cols>
    <col min="1" max="1" width="3.77734375" customWidth="1"/>
    <col min="2" max="2" width="2.44140625" customWidth="1"/>
    <col min="3" max="3" width="22.21875" customWidth="1"/>
    <col min="4" max="4" width="32.21875" customWidth="1"/>
    <col min="5" max="5" width="31.109375" customWidth="1"/>
    <col min="6" max="6" width="2.77734375" customWidth="1"/>
    <col min="7" max="7" width="13.33203125" bestFit="1" customWidth="1"/>
    <col min="8" max="8" width="4.44140625" customWidth="1"/>
    <col min="9" max="16384" width="8.77734375" hidden="1"/>
  </cols>
  <sheetData>
    <row r="1" spans="2:7" ht="14.4" x14ac:dyDescent="0.3">
      <c r="B1" s="1"/>
      <c r="C1" s="1"/>
      <c r="D1" s="1"/>
    </row>
    <row r="2" spans="2:7" ht="14.4" x14ac:dyDescent="0.3">
      <c r="B2" s="91" t="s">
        <v>33</v>
      </c>
      <c r="C2" s="91"/>
      <c r="D2" s="91"/>
      <c r="E2" s="91"/>
    </row>
    <row r="3" spans="2:7" ht="14.4" x14ac:dyDescent="0.3">
      <c r="B3" s="91" t="str">
        <f>G3</f>
        <v>BOS REGULER</v>
      </c>
      <c r="C3" s="91"/>
      <c r="D3" s="91"/>
      <c r="E3" s="91"/>
      <c r="G3" s="53" t="s">
        <v>1</v>
      </c>
    </row>
    <row r="4" spans="2:7" ht="14.4" x14ac:dyDescent="0.3">
      <c r="B4" s="92" t="str">
        <f>"PERIODE : BULAN "&amp;G5&amp;" "&amp;2026</f>
        <v>PERIODE : BULAN JUNI 2026</v>
      </c>
      <c r="C4" s="92"/>
      <c r="D4" s="92"/>
      <c r="E4" s="92"/>
      <c r="G4" s="54" t="s">
        <v>2</v>
      </c>
    </row>
    <row r="5" spans="2:7" ht="25.95" customHeight="1" x14ac:dyDescent="0.3">
      <c r="B5" s="1"/>
      <c r="C5" s="1"/>
      <c r="D5" s="1"/>
      <c r="E5" s="1"/>
      <c r="G5" s="85" t="s">
        <v>119</v>
      </c>
    </row>
    <row r="6" spans="2:7" ht="24.45" customHeight="1" x14ac:dyDescent="0.3">
      <c r="B6" s="102" t="str">
        <f>IF($G$3="","",IF($G$3="BOS REGULER",(VLOOKUP($G$5,Data!$B$9:$Q$20,16,FALSE)),IF($G$3="SILPA REGULER",(VLOOKUP($G$5,Data!$B$24:$Q$35,16,FALSE)))))</f>
        <v>Pada hari ini Selasa tanggal tiga puluh bulan Juni tahun Dua ribu dua puluh enam. Yang bertanda tangan di bawah ini, kami Kepala Sekolah yang ditunjuk berdasarkan Surat Keputusan Nomor :</v>
      </c>
      <c r="C6" s="102"/>
      <c r="D6" s="102"/>
      <c r="E6" s="102"/>
    </row>
    <row r="7" spans="2:7" ht="14.4" x14ac:dyDescent="0.3">
      <c r="B7" s="103" t="str">
        <f>IF($G$3="","",IF($G$3="BOS REGULER",(VLOOKUP($G$5,Data!$B$9:$P$20,12,FALSE)),IF($G$3="SILPA REGULER",(VLOOKUP($G$5,Data!$B$24:$P$35,12,FALSE)))))&amp;"."</f>
        <v>800.1.13.3/062-BKPSDM tanggal 2 Januari 2026.</v>
      </c>
      <c r="C7" s="103"/>
      <c r="D7" s="103"/>
      <c r="E7" s="103"/>
    </row>
    <row r="8" spans="2:7" ht="14.4" x14ac:dyDescent="0.3">
      <c r="B8" s="1"/>
      <c r="C8" s="1"/>
      <c r="D8" s="1"/>
      <c r="E8" s="1"/>
    </row>
    <row r="9" spans="2:7" ht="14.4" x14ac:dyDescent="0.3">
      <c r="B9" s="1"/>
      <c r="C9" s="1" t="s">
        <v>34</v>
      </c>
      <c r="D9" s="11" t="str">
        <f>": "&amp;IF($G$3="","",IF($G$3="BOS REGULER",(VLOOKUP($G$5,Data!$B$9:$P$20,10,FALSE)),IF($G$3="SILPA REGULER",(VLOOKUP($G$5,Data!$B$24:$P$35,10,FALSE)))))</f>
        <v>: YUNIARTI, S.Pd</v>
      </c>
      <c r="E9" s="1"/>
    </row>
    <row r="10" spans="2:7" ht="14.4" x14ac:dyDescent="0.3">
      <c r="B10" s="1"/>
      <c r="C10" s="1" t="s">
        <v>35</v>
      </c>
      <c r="D10" s="13" t="s">
        <v>36</v>
      </c>
      <c r="E10" s="1"/>
    </row>
    <row r="11" spans="2:7" ht="9" customHeight="1" x14ac:dyDescent="0.3">
      <c r="B11" s="1"/>
      <c r="C11" s="1"/>
      <c r="D11" s="1"/>
      <c r="E11" s="1"/>
    </row>
    <row r="12" spans="2:7" ht="14.4" x14ac:dyDescent="0.3">
      <c r="B12" s="1" t="s">
        <v>37</v>
      </c>
      <c r="C12" s="1"/>
      <c r="D12" s="1"/>
      <c r="E12" s="1"/>
    </row>
    <row r="13" spans="2:7" ht="9" customHeight="1" x14ac:dyDescent="0.3">
      <c r="B13" s="1"/>
      <c r="C13" s="1"/>
      <c r="D13" s="1"/>
      <c r="E13" s="1"/>
    </row>
    <row r="14" spans="2:7" ht="14.4" x14ac:dyDescent="0.3">
      <c r="B14" s="1"/>
      <c r="C14" s="1" t="s">
        <v>34</v>
      </c>
      <c r="D14" s="11" t="str">
        <f>": "&amp;IF($G$3="","",IF($G$3="BOS REGULER",(VLOOKUP($G$5,Data!$B$9:$P$20,13,FALSE)),IF($G$3="SILPA REGULER",(VLOOKUP($G$5,Data!$B$24:$P$35,13,FALSE)))))</f>
        <v>: AHMAD, S.Pd.</v>
      </c>
      <c r="E14" s="1"/>
    </row>
    <row r="15" spans="2:7" ht="14.4" x14ac:dyDescent="0.3">
      <c r="B15" s="1"/>
      <c r="C15" s="1" t="s">
        <v>35</v>
      </c>
      <c r="D15" s="13" t="s">
        <v>38</v>
      </c>
      <c r="E15" s="1"/>
    </row>
    <row r="16" spans="2:7" ht="7.5" customHeight="1" x14ac:dyDescent="0.3">
      <c r="B16" s="1"/>
      <c r="C16" s="1"/>
      <c r="D16" s="1"/>
      <c r="E16" s="1"/>
    </row>
    <row r="17" spans="2:5" ht="27" customHeight="1" x14ac:dyDescent="0.3">
      <c r="B17" s="104" t="str">
        <f>"yang berdasarkan Surat Keputusan Bupati Bandung Barat Nomor : "&amp;IF($G$3="","",IF($G$3="BOS REGULER",(VLOOKUP($G$5,Data!$B$9:$P$20,15,FALSE)),IF($G$3="SILPA REGULER",(VLOOKUP($G$5,Data!$B$24:$P$35,15,FALSE)))))&amp;" ditunjuk sebagai Bendahara Bantuan Operasional Sekolah Tingkat Sekolah Dasar Tahun Anggaran 2026."</f>
        <v>yang berdasarkan Surat Keputusan Bupati Bandung Barat Nomor : 100.3.3.2/Kep.     - BKAD/2026 ditunjuk sebagai Bendahara Bantuan Operasional Sekolah Tingkat Sekolah Dasar Tahun Anggaran 2026.</v>
      </c>
      <c r="C17" s="104"/>
      <c r="D17" s="104"/>
      <c r="E17" s="104"/>
    </row>
    <row r="18" spans="2:5" ht="4.95" customHeight="1" x14ac:dyDescent="0.3">
      <c r="B18" s="104"/>
      <c r="C18" s="104"/>
      <c r="D18" s="104"/>
      <c r="E18" s="104"/>
    </row>
    <row r="19" spans="2:5" ht="3" customHeight="1" x14ac:dyDescent="0.3">
      <c r="B19" s="1"/>
      <c r="C19" s="1"/>
      <c r="D19" s="1"/>
      <c r="E19" s="1"/>
    </row>
    <row r="20" spans="2:5" ht="24" customHeight="1" x14ac:dyDescent="0.3">
      <c r="B20" s="101" t="s">
        <v>39</v>
      </c>
      <c r="C20" s="101"/>
      <c r="D20" s="101"/>
      <c r="E20" s="101"/>
    </row>
    <row r="21" spans="2:5" ht="5.55" customHeight="1" x14ac:dyDescent="0.3">
      <c r="B21" s="1"/>
      <c r="C21" s="1"/>
      <c r="D21" s="1"/>
      <c r="E21" s="1"/>
    </row>
    <row r="22" spans="2:5" ht="14.4" x14ac:dyDescent="0.3">
      <c r="B22" s="25" t="s">
        <v>40</v>
      </c>
      <c r="C22" s="1"/>
      <c r="D22" s="1"/>
      <c r="E22" s="1"/>
    </row>
    <row r="23" spans="2:5" ht="14.4" x14ac:dyDescent="0.3">
      <c r="B23" s="8" t="s">
        <v>41</v>
      </c>
      <c r="C23" s="1" t="s">
        <v>42</v>
      </c>
      <c r="D23" s="1"/>
      <c r="E23" s="16">
        <f>IF($G$3="","",IF($G$3="BOS REGULER",(VLOOKUP($G$5,Data!$B$9:$P$20,7,FALSE)),IF($G$3="SILPA REGULER",(VLOOKUP($G$5,Data!$B$24:$P$35,7,FALSE)))))</f>
        <v>0</v>
      </c>
    </row>
    <row r="24" spans="2:5" ht="14.4" x14ac:dyDescent="0.3">
      <c r="B24" s="8" t="s">
        <v>43</v>
      </c>
      <c r="C24" s="1" t="s">
        <v>44</v>
      </c>
      <c r="D24" s="1"/>
      <c r="E24" s="16">
        <f>IF($G$3="","",IF($G$3="BOS REGULER",(VLOOKUP($G$5,Data!$B$9:$P$20,6,FALSE)),IF($G$3="SILPA REGULER",(VLOOKUP($G$5,Data!$B$24:$P$35,6,FALSE)))))</f>
        <v>0</v>
      </c>
    </row>
    <row r="25" spans="2:5" ht="14.4" x14ac:dyDescent="0.3">
      <c r="B25" s="8" t="s">
        <v>45</v>
      </c>
      <c r="C25" s="1" t="s">
        <v>46</v>
      </c>
      <c r="D25" s="1"/>
      <c r="E25" s="16">
        <v>0</v>
      </c>
    </row>
    <row r="26" spans="2:5" ht="14.4" x14ac:dyDescent="0.3">
      <c r="B26" s="8"/>
      <c r="C26" s="1"/>
      <c r="D26" s="4" t="s">
        <v>47</v>
      </c>
      <c r="E26" s="12">
        <f>SUM(E23:E25)</f>
        <v>0</v>
      </c>
    </row>
    <row r="27" spans="2:5" ht="14.4" x14ac:dyDescent="0.3">
      <c r="B27" s="8"/>
      <c r="C27" s="1"/>
      <c r="D27" s="4"/>
      <c r="E27" s="12"/>
    </row>
    <row r="28" spans="2:5" ht="14.4" x14ac:dyDescent="0.3">
      <c r="B28" s="1" t="s">
        <v>48</v>
      </c>
      <c r="C28" s="1"/>
      <c r="D28" s="1"/>
      <c r="E28" s="16">
        <f>IF($G$3="","",IF($G$3="BOS REGULER",(VLOOKUP($G$5,Data!$B$9:$P$20,9,FALSE)),IF($G$3="SILPA REGULER",(VLOOKUP($G$5,Data!$B$24:$P$35,9,FALSE)))))</f>
        <v>0</v>
      </c>
    </row>
    <row r="29" spans="2:5" ht="14.4" x14ac:dyDescent="0.3">
      <c r="B29" s="1" t="s">
        <v>49</v>
      </c>
      <c r="C29" s="1"/>
      <c r="D29" s="1"/>
      <c r="E29" s="26">
        <f>E28-E26</f>
        <v>0</v>
      </c>
    </row>
    <row r="30" spans="2:5" ht="14.4" x14ac:dyDescent="0.3">
      <c r="B30" s="1"/>
      <c r="C30" s="1"/>
      <c r="D30" s="1"/>
      <c r="E30" s="1"/>
    </row>
    <row r="31" spans="2:5" ht="14.4" x14ac:dyDescent="0.3">
      <c r="B31" s="1"/>
      <c r="C31" s="8"/>
      <c r="D31" s="8"/>
      <c r="E31" s="22" t="str">
        <f>"Tanggal : "&amp;TEXT(IF($G$3="","",IF($G$3="BOS REGULER",(VLOOKUP($G$5,Data!$B$9:$P$20,3,FALSE)),IF($G$3="SILPA REGULER",(VLOOKUP($G$5,Data!$B$24:$P$35,3,FALSE))))),"dd mmmm yyyy")</f>
        <v>Tanggal : 30 June 2026</v>
      </c>
    </row>
    <row r="32" spans="2:5" ht="14.4" x14ac:dyDescent="0.3">
      <c r="B32" s="1"/>
      <c r="C32" s="27" t="s">
        <v>31</v>
      </c>
      <c r="D32" s="8"/>
      <c r="E32" s="27" t="s">
        <v>32</v>
      </c>
    </row>
    <row r="33" spans="2:5" ht="14.4" x14ac:dyDescent="0.3">
      <c r="B33" s="1"/>
      <c r="C33" s="8"/>
      <c r="D33" s="8"/>
      <c r="E33" s="27"/>
    </row>
    <row r="34" spans="2:5" ht="14.4" x14ac:dyDescent="0.3">
      <c r="B34" s="1"/>
      <c r="C34" s="8"/>
      <c r="D34" s="8"/>
      <c r="E34" s="27"/>
    </row>
    <row r="35" spans="2:5" ht="14.4" x14ac:dyDescent="0.3">
      <c r="B35" s="1"/>
      <c r="C35" s="8"/>
      <c r="D35" s="8"/>
      <c r="E35" s="27"/>
    </row>
    <row r="36" spans="2:5" ht="14.4" x14ac:dyDescent="0.3">
      <c r="B36" s="1"/>
      <c r="C36" s="8"/>
      <c r="D36" s="8"/>
      <c r="E36" s="27"/>
    </row>
    <row r="37" spans="2:5" ht="14.4" x14ac:dyDescent="0.3">
      <c r="B37" s="4"/>
      <c r="C37" s="22" t="str">
        <f>IF($G$3="","",IF($G$3="BOS REGULER",(VLOOKUP($G$5,Data!$B$9:$P$20,13,FALSE)),IF($G$3="SILPA REGULER",(VLOOKUP($G$5,Data!$B$24:$P$35,13,FALSE)))))</f>
        <v>AHMAD, S.Pd.</v>
      </c>
      <c r="D37" s="28"/>
      <c r="E37" s="22" t="str">
        <f>IF($G$3="","",IF($G$3="BOS REGULER",(VLOOKUP($G$5,Data!$B$9:$P$20,10,FALSE)),IF($G$3="SILPA REGULER",(VLOOKUP($G$5,Data!$B$24:$P$35,10,FALSE)))))</f>
        <v>YUNIARTI, S.Pd</v>
      </c>
    </row>
    <row r="38" spans="2:5" ht="14.4" x14ac:dyDescent="0.3">
      <c r="B38" s="1"/>
      <c r="C38" s="23" t="str">
        <f>IF($G$3="","","NIP. "&amp;IF($G$3="BOS REGULER",(VLOOKUP($G$5,Data!$B$9:$P$20,14,FALSE)),IF($G$3="SILPA REGULER",(VLOOKUP($G$5,Data!$B$24:$P$35,14,FALSE)))))</f>
        <v>NIP. 196805251992121003</v>
      </c>
      <c r="D38" s="29"/>
      <c r="E38" s="23" t="str">
        <f>IF($G$3="","","NIP. "&amp;IF($G$3="BOS REGULER",(VLOOKUP($G$5,Data!$B$9:$P$20,11,FALSE)),IF($G$3="SILPA REGULER",(VLOOKUP($G$5,Data!$B$24:$P$35,11,FALSE)))))</f>
        <v>NIP.  196607071986102005</v>
      </c>
    </row>
    <row r="39" spans="2:5" ht="14.4" x14ac:dyDescent="0.3">
      <c r="B39" s="1"/>
      <c r="C39" s="1"/>
      <c r="D39" s="1"/>
      <c r="E39" s="1"/>
    </row>
    <row r="40" spans="2:5" ht="14.4" x14ac:dyDescent="0.3">
      <c r="B40" s="1"/>
      <c r="C40" s="1"/>
      <c r="D40" s="1"/>
      <c r="E40" s="1"/>
    </row>
    <row r="41" spans="2:5" ht="14.4" x14ac:dyDescent="0.3">
      <c r="B41" s="1"/>
      <c r="C41" s="1"/>
      <c r="D41" s="1"/>
      <c r="E41" s="1"/>
    </row>
    <row r="42" spans="2:5" ht="14.4" hidden="1" x14ac:dyDescent="0.3">
      <c r="B42" s="1"/>
      <c r="C42" s="1"/>
      <c r="D42" s="1"/>
      <c r="E42" s="1"/>
    </row>
    <row r="43" spans="2:5" ht="14.4" hidden="1" x14ac:dyDescent="0.3">
      <c r="B43" s="1"/>
      <c r="C43" s="1"/>
      <c r="D43" s="1"/>
      <c r="E43" s="1"/>
    </row>
    <row r="44" spans="2:5" ht="14.4" hidden="1" x14ac:dyDescent="0.3">
      <c r="B44" s="1"/>
      <c r="C44" s="1"/>
      <c r="D44" s="1"/>
      <c r="E44" s="1"/>
    </row>
  </sheetData>
  <mergeCells count="7">
    <mergeCell ref="B20:E20"/>
    <mergeCell ref="B2:E2"/>
    <mergeCell ref="B3:E3"/>
    <mergeCell ref="B4:E4"/>
    <mergeCell ref="B6:E6"/>
    <mergeCell ref="B7:E7"/>
    <mergeCell ref="B17:E18"/>
  </mergeCells>
  <conditionalFormatting sqref="E29">
    <cfRule type="cellIs" dxfId="0" priority="1" operator="lessThan">
      <formula>0</formula>
    </cfRule>
  </conditionalFormatting>
  <dataValidations count="4">
    <dataValidation allowBlank="1" showInputMessage="1" showErrorMessage="1" promptTitle="SK Kepala Sekolah" prompt="Nomor SK dan Tanggal" sqref="B7:E7" xr:uid="{B87465D2-A99C-45B1-BBB9-BC4131DC6548}"/>
    <dataValidation allowBlank="1" showInputMessage="1" showErrorMessage="1" prompt="Nomor SK Bendahara" sqref="B17:E18" xr:uid="{8E7DD7A2-EE61-49F0-9709-7A63E42DE72E}"/>
    <dataValidation type="list" allowBlank="1" showInputMessage="1" showErrorMessage="1" sqref="G5" xr:uid="{88DA0F9B-C8B0-479F-A8EF-F35985B2354D}">
      <formula1>bulan</formula1>
    </dataValidation>
    <dataValidation type="list" allowBlank="1" showInputMessage="1" showErrorMessage="1" sqref="G3" xr:uid="{1B95008B-68A3-4095-BACB-0539CF6F96E9}">
      <formula1>sumber_dana</formula1>
    </dataValidation>
  </dataValidations>
  <pageMargins left="0.78" right="0.54" top="0.81"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177C-50A8-429F-9278-8996F83616AF}">
  <sheetPr codeName="Sheet67">
    <pageSetUpPr fitToPage="1"/>
  </sheetPr>
  <dimension ref="A1:H56"/>
  <sheetViews>
    <sheetView showGridLines="0" zoomScale="90" zoomScaleNormal="90" workbookViewId="0">
      <selection activeCell="E3" sqref="E3"/>
    </sheetView>
  </sheetViews>
  <sheetFormatPr defaultColWidth="0" defaultRowHeight="13.95" customHeight="1" zeroHeight="1" x14ac:dyDescent="0.3"/>
  <cols>
    <col min="1" max="1" width="4" style="30" customWidth="1"/>
    <col min="2" max="2" width="34.5546875" style="30" customWidth="1"/>
    <col min="3" max="3" width="47.33203125" style="30" customWidth="1"/>
    <col min="4" max="4" width="31.77734375" style="30" customWidth="1"/>
    <col min="5" max="5" width="15.44140625" style="30" customWidth="1"/>
    <col min="6" max="6" width="3.44140625" style="31" customWidth="1"/>
    <col min="7" max="8" width="0" style="31" hidden="1" customWidth="1"/>
    <col min="9" max="16384" width="9.21875" style="31" hidden="1"/>
  </cols>
  <sheetData>
    <row r="1" spans="1:8" ht="13.8" x14ac:dyDescent="0.3"/>
    <row r="2" spans="1:8" ht="18" customHeight="1" x14ac:dyDescent="0.3">
      <c r="A2" s="105" t="s">
        <v>50</v>
      </c>
      <c r="B2" s="105"/>
      <c r="C2" s="105"/>
      <c r="D2" s="105"/>
    </row>
    <row r="3" spans="1:8" ht="18" customHeight="1" x14ac:dyDescent="0.3">
      <c r="A3" s="105" t="str">
        <f>"DANA "&amp;E3&amp;" TAHUN ANGGARAN 2024"</f>
        <v>DANA BOS REGULER TAHUN ANGGARAN 2024</v>
      </c>
      <c r="B3" s="105"/>
      <c r="C3" s="105"/>
      <c r="D3" s="105"/>
      <c r="E3" s="55" t="s">
        <v>1</v>
      </c>
    </row>
    <row r="4" spans="1:8" ht="18" customHeight="1" x14ac:dyDescent="0.3">
      <c r="A4" s="106" t="str">
        <f>IF(Data!C4="","",Data!C4&amp;" KECAMATAN "&amp;Data!C5)</f>
        <v>SD NEGERI PASIRHALANG KECAMATAN CIKALONGWETAN</v>
      </c>
      <c r="B4" s="107"/>
      <c r="C4" s="107"/>
      <c r="D4" s="107"/>
      <c r="E4" s="56" t="s">
        <v>2</v>
      </c>
    </row>
    <row r="5" spans="1:8" ht="18" customHeight="1" x14ac:dyDescent="0.3">
      <c r="A5" s="108" t="str">
        <f>"PERIODE : BULAN "&amp;E5&amp;" TAHUN 2024"</f>
        <v>PERIODE : BULAN JANUARI TAHUN 2024</v>
      </c>
      <c r="B5" s="108"/>
      <c r="C5" s="108"/>
      <c r="D5" s="108"/>
      <c r="E5" s="57" t="s">
        <v>114</v>
      </c>
      <c r="G5" s="31" t="s">
        <v>3</v>
      </c>
      <c r="H5" s="31" t="s">
        <v>51</v>
      </c>
    </row>
    <row r="6" spans="1:8" ht="13.8" x14ac:dyDescent="0.3">
      <c r="B6" s="32"/>
      <c r="C6" s="33"/>
      <c r="D6" s="33"/>
      <c r="G6" s="31" t="s">
        <v>52</v>
      </c>
      <c r="H6" s="31" t="s">
        <v>53</v>
      </c>
    </row>
    <row r="7" spans="1:8" ht="21" customHeight="1" x14ac:dyDescent="0.3">
      <c r="A7" s="30">
        <v>1</v>
      </c>
      <c r="B7" s="32" t="s">
        <v>54</v>
      </c>
      <c r="C7" s="33"/>
      <c r="D7" s="33"/>
      <c r="G7" s="31" t="s">
        <v>55</v>
      </c>
      <c r="H7" s="31" t="s">
        <v>56</v>
      </c>
    </row>
    <row r="8" spans="1:8" ht="21" customHeight="1" x14ac:dyDescent="0.3">
      <c r="B8" s="32" t="s">
        <v>57</v>
      </c>
      <c r="C8" s="32" t="s">
        <v>58</v>
      </c>
      <c r="D8" s="33"/>
      <c r="G8" s="31" t="s">
        <v>59</v>
      </c>
      <c r="H8" s="31" t="s">
        <v>60</v>
      </c>
    </row>
    <row r="9" spans="1:8" ht="21" customHeight="1" x14ac:dyDescent="0.3">
      <c r="B9" s="32" t="s">
        <v>61</v>
      </c>
      <c r="C9" s="32" t="s">
        <v>58</v>
      </c>
      <c r="D9" s="33"/>
      <c r="G9" s="31" t="s">
        <v>62</v>
      </c>
      <c r="H9" s="31" t="s">
        <v>63</v>
      </c>
    </row>
    <row r="10" spans="1:8" ht="21" customHeight="1" x14ac:dyDescent="0.3">
      <c r="B10" s="33"/>
      <c r="C10" s="32" t="s">
        <v>64</v>
      </c>
      <c r="G10" s="31" t="s">
        <v>65</v>
      </c>
      <c r="H10" s="31" t="s">
        <v>66</v>
      </c>
    </row>
    <row r="11" spans="1:8" ht="21" customHeight="1" x14ac:dyDescent="0.3">
      <c r="A11" s="30">
        <v>2</v>
      </c>
      <c r="B11" s="32" t="s">
        <v>67</v>
      </c>
      <c r="C11" s="32" t="s">
        <v>58</v>
      </c>
      <c r="D11" s="33"/>
      <c r="G11" s="31" t="s">
        <v>68</v>
      </c>
      <c r="H11" s="31" t="s">
        <v>69</v>
      </c>
    </row>
    <row r="12" spans="1:8" ht="21" customHeight="1" x14ac:dyDescent="0.3">
      <c r="A12" s="30">
        <v>3</v>
      </c>
      <c r="B12" s="32" t="s">
        <v>70</v>
      </c>
      <c r="C12" s="33"/>
      <c r="D12" s="33"/>
      <c r="G12" s="31" t="s">
        <v>71</v>
      </c>
      <c r="H12" s="31" t="s">
        <v>72</v>
      </c>
    </row>
    <row r="13" spans="1:8" ht="21" customHeight="1" x14ac:dyDescent="0.3">
      <c r="B13" s="32" t="s">
        <v>73</v>
      </c>
      <c r="C13" s="32" t="s">
        <v>58</v>
      </c>
      <c r="D13" s="33"/>
      <c r="G13" s="31" t="s">
        <v>74</v>
      </c>
      <c r="H13" s="31" t="s">
        <v>75</v>
      </c>
    </row>
    <row r="14" spans="1:8" ht="21" customHeight="1" x14ac:dyDescent="0.3">
      <c r="B14" s="32" t="s">
        <v>76</v>
      </c>
      <c r="C14" s="32" t="s">
        <v>58</v>
      </c>
      <c r="G14" s="31" t="s">
        <v>77</v>
      </c>
      <c r="H14" s="31" t="s">
        <v>78</v>
      </c>
    </row>
    <row r="15" spans="1:8" ht="21" customHeight="1" x14ac:dyDescent="0.3">
      <c r="B15" s="32" t="s">
        <v>79</v>
      </c>
      <c r="C15" s="32" t="s">
        <v>58</v>
      </c>
      <c r="D15" s="33"/>
      <c r="G15" s="31" t="s">
        <v>80</v>
      </c>
      <c r="H15" s="31" t="s">
        <v>81</v>
      </c>
    </row>
    <row r="16" spans="1:8" ht="21" customHeight="1" x14ac:dyDescent="0.3">
      <c r="B16" s="32" t="s">
        <v>82</v>
      </c>
      <c r="C16" s="32" t="s">
        <v>58</v>
      </c>
      <c r="G16" s="31" t="s">
        <v>83</v>
      </c>
      <c r="H16" s="31" t="s">
        <v>84</v>
      </c>
    </row>
    <row r="17" spans="1:4" ht="21" customHeight="1" x14ac:dyDescent="0.3">
      <c r="A17" s="30">
        <v>4</v>
      </c>
      <c r="B17" s="32" t="s">
        <v>85</v>
      </c>
      <c r="C17" s="33"/>
      <c r="D17" s="33"/>
    </row>
    <row r="18" spans="1:4" ht="21" customHeight="1" x14ac:dyDescent="0.3">
      <c r="B18" s="32" t="s">
        <v>86</v>
      </c>
      <c r="C18" s="33"/>
      <c r="D18" s="33"/>
    </row>
    <row r="19" spans="1:4" ht="21" customHeight="1" x14ac:dyDescent="0.3">
      <c r="B19" s="32" t="s">
        <v>86</v>
      </c>
      <c r="C19" s="33"/>
      <c r="D19" s="33"/>
    </row>
    <row r="20" spans="1:4" ht="21" customHeight="1" x14ac:dyDescent="0.3">
      <c r="B20" s="32" t="s">
        <v>86</v>
      </c>
      <c r="C20" s="33"/>
      <c r="D20" s="33"/>
    </row>
    <row r="21" spans="1:4" ht="21" customHeight="1" x14ac:dyDescent="0.3">
      <c r="B21" s="32" t="s">
        <v>86</v>
      </c>
      <c r="C21" s="33"/>
      <c r="D21" s="33"/>
    </row>
    <row r="22" spans="1:4" ht="21" customHeight="1" x14ac:dyDescent="0.3">
      <c r="A22" s="30">
        <v>5</v>
      </c>
      <c r="B22" s="32" t="s">
        <v>87</v>
      </c>
      <c r="C22" s="32" t="s">
        <v>58</v>
      </c>
      <c r="D22" s="33"/>
    </row>
    <row r="23" spans="1:4" ht="21" customHeight="1" x14ac:dyDescent="0.3">
      <c r="A23" s="30">
        <v>6</v>
      </c>
      <c r="B23" s="32" t="s">
        <v>88</v>
      </c>
      <c r="C23" s="32" t="s">
        <v>58</v>
      </c>
      <c r="D23" s="33"/>
    </row>
    <row r="24" spans="1:4" ht="21" customHeight="1" x14ac:dyDescent="0.3">
      <c r="A24" s="30">
        <v>7</v>
      </c>
      <c r="B24" s="32" t="s">
        <v>89</v>
      </c>
      <c r="C24" s="33"/>
      <c r="D24" s="33"/>
    </row>
    <row r="25" spans="1:4" ht="21" customHeight="1" x14ac:dyDescent="0.3">
      <c r="B25" s="32" t="s">
        <v>86</v>
      </c>
      <c r="C25" s="33"/>
      <c r="D25" s="33"/>
    </row>
    <row r="26" spans="1:4" ht="21" customHeight="1" x14ac:dyDescent="0.3">
      <c r="B26" s="32" t="s">
        <v>86</v>
      </c>
      <c r="C26" s="33"/>
      <c r="D26" s="33"/>
    </row>
    <row r="27" spans="1:4" ht="21" customHeight="1" x14ac:dyDescent="0.3">
      <c r="B27" s="32" t="s">
        <v>86</v>
      </c>
      <c r="C27" s="33"/>
      <c r="D27" s="33"/>
    </row>
    <row r="28" spans="1:4" ht="21" customHeight="1" x14ac:dyDescent="0.3">
      <c r="B28" s="32" t="s">
        <v>86</v>
      </c>
      <c r="C28" s="33"/>
      <c r="D28" s="33"/>
    </row>
    <row r="29" spans="1:4" ht="21" customHeight="1" x14ac:dyDescent="0.3">
      <c r="A29" s="30">
        <v>8</v>
      </c>
      <c r="B29" s="32" t="s">
        <v>90</v>
      </c>
      <c r="C29" s="33"/>
      <c r="D29" s="33"/>
    </row>
    <row r="30" spans="1:4" ht="21" customHeight="1" x14ac:dyDescent="0.3">
      <c r="B30" s="32" t="s">
        <v>86</v>
      </c>
      <c r="C30" s="33"/>
      <c r="D30" s="33"/>
    </row>
    <row r="31" spans="1:4" ht="21" customHeight="1" x14ac:dyDescent="0.3">
      <c r="B31" s="32" t="s">
        <v>86</v>
      </c>
      <c r="C31" s="33"/>
      <c r="D31" s="33"/>
    </row>
    <row r="32" spans="1:4" ht="21" customHeight="1" x14ac:dyDescent="0.3">
      <c r="B32" s="32" t="s">
        <v>86</v>
      </c>
      <c r="C32" s="33"/>
      <c r="D32" s="33"/>
    </row>
    <row r="33" spans="1:4" ht="21" customHeight="1" x14ac:dyDescent="0.3">
      <c r="A33" s="30">
        <v>9</v>
      </c>
      <c r="B33" s="34" t="s">
        <v>91</v>
      </c>
      <c r="C33" s="33"/>
      <c r="D33" s="33"/>
    </row>
    <row r="34" spans="1:4" ht="21" customHeight="1" x14ac:dyDescent="0.3">
      <c r="B34" s="32" t="s">
        <v>86</v>
      </c>
      <c r="C34" s="33"/>
      <c r="D34" s="33"/>
    </row>
    <row r="35" spans="1:4" ht="21" customHeight="1" x14ac:dyDescent="0.3">
      <c r="B35" s="32" t="s">
        <v>86</v>
      </c>
      <c r="C35" s="33"/>
      <c r="D35" s="33"/>
    </row>
    <row r="36" spans="1:4" ht="21" customHeight="1" x14ac:dyDescent="0.3">
      <c r="B36" s="32" t="s">
        <v>86</v>
      </c>
      <c r="C36" s="33"/>
      <c r="D36" s="33"/>
    </row>
    <row r="37" spans="1:4" ht="21" customHeight="1" x14ac:dyDescent="0.3">
      <c r="A37" s="30">
        <v>10</v>
      </c>
      <c r="B37" s="32" t="s">
        <v>92</v>
      </c>
      <c r="C37" s="33"/>
      <c r="D37" s="33"/>
    </row>
    <row r="38" spans="1:4" ht="21" customHeight="1" x14ac:dyDescent="0.3">
      <c r="B38" s="32" t="s">
        <v>86</v>
      </c>
      <c r="C38" s="33"/>
      <c r="D38" s="33"/>
    </row>
    <row r="39" spans="1:4" ht="21" customHeight="1" x14ac:dyDescent="0.3">
      <c r="A39" s="30">
        <v>11</v>
      </c>
      <c r="B39" s="32" t="s">
        <v>93</v>
      </c>
      <c r="C39" s="33"/>
      <c r="D39" s="33"/>
    </row>
    <row r="40" spans="1:4" ht="21" customHeight="1" x14ac:dyDescent="0.3">
      <c r="B40" s="32" t="s">
        <v>86</v>
      </c>
      <c r="C40" s="33"/>
      <c r="D40" s="33"/>
    </row>
    <row r="41" spans="1:4" ht="21" customHeight="1" x14ac:dyDescent="0.3">
      <c r="B41" s="32" t="s">
        <v>86</v>
      </c>
      <c r="C41" s="33"/>
      <c r="D41" s="33"/>
    </row>
    <row r="42" spans="1:4" ht="21" customHeight="1" x14ac:dyDescent="0.3">
      <c r="B42" s="32" t="s">
        <v>86</v>
      </c>
      <c r="C42" s="33"/>
      <c r="D42" s="33"/>
    </row>
    <row r="43" spans="1:4" ht="13.8" x14ac:dyDescent="0.3">
      <c r="B43" s="35"/>
      <c r="C43" s="32"/>
      <c r="D43" s="33"/>
    </row>
    <row r="44" spans="1:4" ht="13.8" x14ac:dyDescent="0.3">
      <c r="B44" s="35"/>
      <c r="D44" s="36" t="str">
        <f>"Bandung Barat, "&amp;TEXT(IF($E$3="","",IF($E$3="BOS REGULER",(VLOOKUP($E$5,Data!$B$9:$P$20,3,FALSE)),IF($E$3="SILPA REGULER",(VLOOKUP($E$5,Data!$B$24:$P$35,3,FALSE))))),"dd mmmm yyyy")</f>
        <v>Bandung Barat, 31 January 2026</v>
      </c>
    </row>
    <row r="45" spans="1:4" ht="13.8" x14ac:dyDescent="0.3">
      <c r="B45" s="35"/>
      <c r="D45" s="37" t="s">
        <v>94</v>
      </c>
    </row>
    <row r="46" spans="1:4" ht="13.8" x14ac:dyDescent="0.3">
      <c r="B46" s="35"/>
      <c r="D46" s="37" t="s">
        <v>32</v>
      </c>
    </row>
    <row r="47" spans="1:4" ht="21" customHeight="1" x14ac:dyDescent="0.3">
      <c r="B47" s="35"/>
      <c r="D47" s="37"/>
    </row>
    <row r="48" spans="1:4" ht="21" customHeight="1" x14ac:dyDescent="0.3">
      <c r="B48" s="35"/>
      <c r="D48" s="37"/>
    </row>
    <row r="49" spans="2:4" ht="21" customHeight="1" x14ac:dyDescent="0.3">
      <c r="B49" s="35"/>
      <c r="D49" s="37"/>
    </row>
    <row r="50" spans="2:4" ht="21" customHeight="1" x14ac:dyDescent="0.3">
      <c r="B50" s="35"/>
      <c r="D50" s="38"/>
    </row>
    <row r="51" spans="2:4" ht="13.8" x14ac:dyDescent="0.3">
      <c r="B51" s="35"/>
      <c r="D51" s="39" t="str">
        <f>IF($E$3="","",IF($E$3="BOS REGULER",(VLOOKUP($E$5,Data!$B$9:$P$20,10,FALSE)),IF($E$3="SILPA REGULER",(VLOOKUP($E$5,Data!$B$24:$P$35,10,FALSE)))))</f>
        <v>YUNIARTI, S.Pd</v>
      </c>
    </row>
    <row r="52" spans="2:4" ht="13.8" x14ac:dyDescent="0.3">
      <c r="D52" s="40" t="str">
        <f>IF($E$3="","","NIP. "&amp;IF($E$3="BOS REGULER",(VLOOKUP($E$5,Data!$B$9:$P$20,11,FALSE)),IF($E$3="SILPA REGULER",(VLOOKUP($E$5,Data!$B$24:$P$35,11,FALSE)))))</f>
        <v>NIP.  196607071986102005</v>
      </c>
    </row>
    <row r="53" spans="2:4" ht="13.8" x14ac:dyDescent="0.3">
      <c r="D53" s="41"/>
    </row>
    <row r="54" spans="2:4" ht="13.8" x14ac:dyDescent="0.3"/>
    <row r="55" spans="2:4" ht="13.8" x14ac:dyDescent="0.3"/>
    <row r="56" spans="2:4" ht="13.8" x14ac:dyDescent="0.3"/>
  </sheetData>
  <mergeCells count="4">
    <mergeCell ref="A2:D2"/>
    <mergeCell ref="A3:D3"/>
    <mergeCell ref="A4:D4"/>
    <mergeCell ref="A5:D5"/>
  </mergeCells>
  <dataValidations count="2">
    <dataValidation type="list" allowBlank="1" showInputMessage="1" showErrorMessage="1" sqref="E3" xr:uid="{91352ECE-031A-4DB1-B7E0-0E58395A972B}">
      <formula1>sumber_dana</formula1>
    </dataValidation>
    <dataValidation type="list" allowBlank="1" showInputMessage="1" showErrorMessage="1" sqref="E5" xr:uid="{6E4B35CD-5685-4782-9E0D-77C2FAAA4496}">
      <formula1>bulan</formula1>
    </dataValidation>
  </dataValidations>
  <pageMargins left="0.91" right="0.53" top="0.84" bottom="1.22" header="0.31496062992125984" footer="0.31496062992125984"/>
  <pageSetup paperSize="5" scale="7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52F6-0D29-425C-A616-6421773CED0A}">
  <sheetPr codeName="Sheet68">
    <pageSetUpPr fitToPage="1"/>
  </sheetPr>
  <dimension ref="A1:H57"/>
  <sheetViews>
    <sheetView showGridLines="0" zoomScale="70" zoomScaleNormal="70" workbookViewId="0">
      <selection activeCell="A7" sqref="A7"/>
    </sheetView>
  </sheetViews>
  <sheetFormatPr defaultColWidth="0" defaultRowHeight="13.95" customHeight="1" zeroHeight="1" x14ac:dyDescent="0.3"/>
  <cols>
    <col min="1" max="1" width="4.5546875" style="30" customWidth="1"/>
    <col min="2" max="2" width="41" style="30" customWidth="1"/>
    <col min="3" max="3" width="37.21875" style="30" customWidth="1"/>
    <col min="4" max="4" width="38.77734375" style="30" customWidth="1"/>
    <col min="5" max="5" width="15.109375" style="30" customWidth="1"/>
    <col min="6" max="6" width="3.88671875" style="31" customWidth="1"/>
    <col min="7" max="8" width="0" style="31" hidden="1" customWidth="1"/>
    <col min="9" max="16384" width="9.21875" style="31" hidden="1"/>
  </cols>
  <sheetData>
    <row r="1" spans="1:8" ht="13.8" x14ac:dyDescent="0.3"/>
    <row r="2" spans="1:8" ht="13.8" x14ac:dyDescent="0.3"/>
    <row r="3" spans="1:8" ht="20.25" customHeight="1" x14ac:dyDescent="0.3">
      <c r="A3" s="105" t="s">
        <v>95</v>
      </c>
      <c r="B3" s="105"/>
      <c r="C3" s="105"/>
      <c r="D3" s="105"/>
      <c r="E3" s="58" t="s">
        <v>1</v>
      </c>
    </row>
    <row r="4" spans="1:8" ht="20.25" customHeight="1" x14ac:dyDescent="0.3">
      <c r="A4" s="109" t="str">
        <f>"DANA "&amp;E3&amp;" TAHUN ANGGARAN 2024"</f>
        <v>DANA BOS REGULER TAHUN ANGGARAN 2024</v>
      </c>
      <c r="B4" s="109"/>
      <c r="C4" s="109"/>
      <c r="D4" s="109"/>
      <c r="E4" s="59" t="s">
        <v>2</v>
      </c>
    </row>
    <row r="5" spans="1:8" ht="20.25" customHeight="1" x14ac:dyDescent="0.3">
      <c r="A5" s="106" t="str">
        <f>IF(Data!C4="","",Data!C4&amp;" KECAMATAN "&amp;Data!C5)</f>
        <v>SD NEGERI PASIRHALANG KECAMATAN CIKALONGWETAN</v>
      </c>
      <c r="B5" s="107"/>
      <c r="C5" s="107"/>
      <c r="D5" s="107"/>
      <c r="E5" s="60" t="s">
        <v>114</v>
      </c>
    </row>
    <row r="6" spans="1:8" ht="20.25" customHeight="1" x14ac:dyDescent="0.3">
      <c r="A6" s="110" t="str">
        <f>"PERIODE : BULAN "&amp;E5&amp;" TAHUN 2024"</f>
        <v>PERIODE : BULAN JANUARI TAHUN 2024</v>
      </c>
      <c r="B6" s="111"/>
      <c r="C6" s="111"/>
      <c r="D6" s="111"/>
    </row>
    <row r="7" spans="1:8" ht="13.8" x14ac:dyDescent="0.3">
      <c r="B7" s="32" t="s">
        <v>96</v>
      </c>
      <c r="G7" s="42" t="s">
        <v>3</v>
      </c>
      <c r="H7" s="42" t="s">
        <v>51</v>
      </c>
    </row>
    <row r="8" spans="1:8" ht="13.8" x14ac:dyDescent="0.3">
      <c r="B8" s="32"/>
      <c r="G8" s="42" t="s">
        <v>52</v>
      </c>
      <c r="H8" s="42" t="s">
        <v>53</v>
      </c>
    </row>
    <row r="9" spans="1:8" ht="27" customHeight="1" x14ac:dyDescent="0.3">
      <c r="A9" s="30">
        <v>1</v>
      </c>
      <c r="B9" s="34" t="s">
        <v>97</v>
      </c>
      <c r="G9" s="42" t="s">
        <v>55</v>
      </c>
      <c r="H9" s="42" t="s">
        <v>56</v>
      </c>
    </row>
    <row r="10" spans="1:8" ht="27" customHeight="1" x14ac:dyDescent="0.3">
      <c r="B10" s="32" t="s">
        <v>57</v>
      </c>
      <c r="C10" s="32" t="s">
        <v>98</v>
      </c>
      <c r="G10" s="42" t="s">
        <v>59</v>
      </c>
      <c r="H10" s="42" t="s">
        <v>60</v>
      </c>
    </row>
    <row r="11" spans="1:8" ht="27" customHeight="1" x14ac:dyDescent="0.3">
      <c r="B11" s="32" t="s">
        <v>61</v>
      </c>
      <c r="C11" s="32" t="s">
        <v>98</v>
      </c>
      <c r="G11" s="42" t="s">
        <v>62</v>
      </c>
      <c r="H11" s="42" t="s">
        <v>63</v>
      </c>
    </row>
    <row r="12" spans="1:8" ht="27" customHeight="1" x14ac:dyDescent="0.3">
      <c r="C12" s="32" t="s">
        <v>99</v>
      </c>
      <c r="G12" s="42" t="s">
        <v>65</v>
      </c>
      <c r="H12" s="42" t="s">
        <v>66</v>
      </c>
    </row>
    <row r="13" spans="1:8" ht="27" customHeight="1" x14ac:dyDescent="0.3">
      <c r="A13" s="30">
        <v>2</v>
      </c>
      <c r="B13" s="34" t="s">
        <v>100</v>
      </c>
      <c r="C13" s="32" t="s">
        <v>98</v>
      </c>
      <c r="G13" s="42" t="s">
        <v>68</v>
      </c>
      <c r="H13" s="42" t="s">
        <v>69</v>
      </c>
    </row>
    <row r="14" spans="1:8" ht="27" customHeight="1" x14ac:dyDescent="0.3">
      <c r="A14" s="30">
        <v>3</v>
      </c>
      <c r="B14" s="32" t="s">
        <v>101</v>
      </c>
      <c r="G14" s="42" t="s">
        <v>71</v>
      </c>
      <c r="H14" s="42" t="s">
        <v>72</v>
      </c>
    </row>
    <row r="15" spans="1:8" ht="27" customHeight="1" x14ac:dyDescent="0.3">
      <c r="B15" s="32" t="s">
        <v>102</v>
      </c>
      <c r="G15" s="42" t="s">
        <v>74</v>
      </c>
      <c r="H15" s="42" t="s">
        <v>75</v>
      </c>
    </row>
    <row r="16" spans="1:8" ht="27" customHeight="1" x14ac:dyDescent="0.3">
      <c r="B16" s="32" t="s">
        <v>102</v>
      </c>
      <c r="G16" s="42" t="s">
        <v>77</v>
      </c>
      <c r="H16" s="42" t="s">
        <v>78</v>
      </c>
    </row>
    <row r="17" spans="1:8" ht="27" customHeight="1" x14ac:dyDescent="0.3">
      <c r="B17" s="32" t="s">
        <v>102</v>
      </c>
      <c r="G17" s="42" t="s">
        <v>80</v>
      </c>
      <c r="H17" s="42" t="s">
        <v>81</v>
      </c>
    </row>
    <row r="18" spans="1:8" ht="27" customHeight="1" x14ac:dyDescent="0.3">
      <c r="B18" s="32" t="s">
        <v>102</v>
      </c>
      <c r="G18" s="42" t="s">
        <v>83</v>
      </c>
      <c r="H18" s="42" t="s">
        <v>84</v>
      </c>
    </row>
    <row r="19" spans="1:8" ht="27" customHeight="1" x14ac:dyDescent="0.3">
      <c r="B19" s="32" t="s">
        <v>102</v>
      </c>
      <c r="G19" s="42" t="s">
        <v>83</v>
      </c>
      <c r="H19" s="42" t="s">
        <v>84</v>
      </c>
    </row>
    <row r="20" spans="1:8" ht="27" customHeight="1" x14ac:dyDescent="0.3">
      <c r="B20" s="32" t="s">
        <v>102</v>
      </c>
      <c r="G20" s="42" t="s">
        <v>83</v>
      </c>
      <c r="H20" s="42" t="s">
        <v>84</v>
      </c>
    </row>
    <row r="21" spans="1:8" ht="27" customHeight="1" x14ac:dyDescent="0.3">
      <c r="B21" s="32" t="s">
        <v>102</v>
      </c>
      <c r="G21" s="42" t="s">
        <v>83</v>
      </c>
      <c r="H21" s="42" t="s">
        <v>84</v>
      </c>
    </row>
    <row r="22" spans="1:8" ht="27" customHeight="1" x14ac:dyDescent="0.3">
      <c r="B22" s="32" t="s">
        <v>102</v>
      </c>
      <c r="G22" s="42" t="s">
        <v>83</v>
      </c>
      <c r="H22" s="42" t="s">
        <v>84</v>
      </c>
    </row>
    <row r="23" spans="1:8" ht="27" customHeight="1" x14ac:dyDescent="0.3">
      <c r="B23" s="32" t="s">
        <v>102</v>
      </c>
      <c r="G23" s="42" t="s">
        <v>83</v>
      </c>
      <c r="H23" s="42" t="s">
        <v>84</v>
      </c>
    </row>
    <row r="24" spans="1:8" ht="27" customHeight="1" x14ac:dyDescent="0.3">
      <c r="A24" s="30">
        <v>4</v>
      </c>
      <c r="B24" s="32" t="s">
        <v>103</v>
      </c>
      <c r="C24" s="32" t="s">
        <v>98</v>
      </c>
    </row>
    <row r="25" spans="1:8" ht="27" customHeight="1" x14ac:dyDescent="0.3">
      <c r="A25" s="30">
        <v>5</v>
      </c>
      <c r="B25" s="32" t="s">
        <v>104</v>
      </c>
    </row>
    <row r="26" spans="1:8" ht="27" customHeight="1" x14ac:dyDescent="0.3">
      <c r="B26" s="32" t="s">
        <v>102</v>
      </c>
    </row>
    <row r="27" spans="1:8" ht="27" customHeight="1" x14ac:dyDescent="0.3">
      <c r="B27" s="32" t="s">
        <v>102</v>
      </c>
    </row>
    <row r="28" spans="1:8" ht="27" customHeight="1" x14ac:dyDescent="0.3">
      <c r="B28" s="32" t="s">
        <v>102</v>
      </c>
    </row>
    <row r="29" spans="1:8" ht="27" customHeight="1" x14ac:dyDescent="0.3">
      <c r="B29" s="32" t="s">
        <v>102</v>
      </c>
    </row>
    <row r="30" spans="1:8" ht="27" customHeight="1" x14ac:dyDescent="0.3">
      <c r="B30" s="32" t="s">
        <v>102</v>
      </c>
    </row>
    <row r="31" spans="1:8" ht="27" customHeight="1" x14ac:dyDescent="0.3">
      <c r="B31" s="32" t="s">
        <v>102</v>
      </c>
    </row>
    <row r="32" spans="1:8" ht="27" customHeight="1" x14ac:dyDescent="0.3">
      <c r="B32" s="32" t="s">
        <v>102</v>
      </c>
    </row>
    <row r="33" spans="4:4" ht="27" customHeight="1" x14ac:dyDescent="0.3"/>
    <row r="34" spans="4:4" ht="13.8" x14ac:dyDescent="0.3">
      <c r="D34" s="36" t="str">
        <f>"Bandung Barat, "&amp;TEXT(IF($E$3="","",IF($E$3="BOS REGULER",(VLOOKUP($E$5,Data!$B$9:$P$20,3,FALSE)),IF($E$3="SILPA REGULER",(VLOOKUP($E$5,Data!$B$24:$P$35,3,FALSE))))),"dd mmmm yyyy")</f>
        <v>Bandung Barat, 31 January 2026</v>
      </c>
    </row>
    <row r="35" spans="4:4" ht="13.8" x14ac:dyDescent="0.3">
      <c r="D35" s="37" t="s">
        <v>94</v>
      </c>
    </row>
    <row r="36" spans="4:4" ht="13.8" x14ac:dyDescent="0.3">
      <c r="D36" s="37" t="s">
        <v>32</v>
      </c>
    </row>
    <row r="37" spans="4:4" ht="21" customHeight="1" x14ac:dyDescent="0.3">
      <c r="D37" s="37"/>
    </row>
    <row r="38" spans="4:4" ht="21" customHeight="1" x14ac:dyDescent="0.3">
      <c r="D38" s="37"/>
    </row>
    <row r="39" spans="4:4" ht="21" customHeight="1" x14ac:dyDescent="0.3">
      <c r="D39" s="37"/>
    </row>
    <row r="40" spans="4:4" ht="21" customHeight="1" x14ac:dyDescent="0.3">
      <c r="D40" s="38"/>
    </row>
    <row r="41" spans="4:4" ht="13.8" x14ac:dyDescent="0.3">
      <c r="D41" s="39" t="str">
        <f>IF($E$3="","",IF($E$3="BOS REGULER",(VLOOKUP($E$5,Data!$B$9:$P$20,10,FALSE)),IF($E$3="SILPA REGULER",(VLOOKUP($E$5,Data!$B$24:$P$35,10,FALSE)))))</f>
        <v>YUNIARTI, S.Pd</v>
      </c>
    </row>
    <row r="42" spans="4:4" ht="13.8" x14ac:dyDescent="0.3">
      <c r="D42" s="40" t="str">
        <f>IF($E$3="","","NIP. "&amp;IF($E$3="BOS REGULER",(VLOOKUP($E$5,Data!$B$9:$P$20,11,FALSE)),IF($E$3="SILPA REGULER",(VLOOKUP($E$5,Data!$B$24:$P$35,11,FALSE)))))</f>
        <v>NIP.  196607071986102005</v>
      </c>
    </row>
    <row r="43" spans="4:4" ht="13.8" x14ac:dyDescent="0.3"/>
    <row r="44" spans="4:4" ht="13.8" x14ac:dyDescent="0.3">
      <c r="D44" s="43"/>
    </row>
    <row r="45" spans="4:4" ht="13.8" x14ac:dyDescent="0.3">
      <c r="D45" s="43"/>
    </row>
    <row r="46" spans="4:4" ht="13.8" x14ac:dyDescent="0.3"/>
    <row r="47" spans="4:4" ht="13.8" x14ac:dyDescent="0.3"/>
    <row r="48" spans="4:4" ht="13.8" x14ac:dyDescent="0.3"/>
    <row r="49" ht="13.8" x14ac:dyDescent="0.3"/>
    <row r="50" ht="13.8" x14ac:dyDescent="0.3"/>
    <row r="51" ht="13.8" x14ac:dyDescent="0.3"/>
    <row r="52" ht="13.8" x14ac:dyDescent="0.3"/>
    <row r="53" ht="13.8" x14ac:dyDescent="0.3"/>
    <row r="54" ht="13.8" x14ac:dyDescent="0.3"/>
    <row r="55" ht="13.8" x14ac:dyDescent="0.3"/>
    <row r="56" ht="13.8" x14ac:dyDescent="0.3"/>
    <row r="57" ht="13.8" x14ac:dyDescent="0.3"/>
  </sheetData>
  <mergeCells count="4">
    <mergeCell ref="A3:D3"/>
    <mergeCell ref="A4:D4"/>
    <mergeCell ref="A5:D5"/>
    <mergeCell ref="A6:D6"/>
  </mergeCells>
  <dataValidations count="2">
    <dataValidation type="list" allowBlank="1" showInputMessage="1" showErrorMessage="1" sqref="E5" xr:uid="{0807EC9A-E1D4-41F3-9ADB-486493B9E8A0}">
      <formula1>bulan</formula1>
    </dataValidation>
    <dataValidation type="list" allowBlank="1" showInputMessage="1" showErrorMessage="1" sqref="E3" xr:uid="{C74B4BFD-4D53-400E-9DCF-ADF6E5D58904}">
      <formula1>sumber_dana</formula1>
    </dataValidation>
  </dataValidations>
  <pageMargins left="0.79" right="0.56000000000000005" top="0.74803149606299213" bottom="1.1000000000000001" header="0.31496062992125984" footer="0.31496062992125984"/>
  <pageSetup paperSize="5"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Data</vt:lpstr>
      <vt:lpstr>Register Kas</vt:lpstr>
      <vt:lpstr>BA_Pemeriksaan Kas</vt:lpstr>
      <vt:lpstr>Lbr. Pengaduan Masyarakat</vt:lpstr>
      <vt:lpstr>Lbr. Kritik-Saran</vt:lpstr>
      <vt:lpstr>bulan</vt:lpstr>
      <vt:lpstr>'BA_Pemeriksaan Kas'!Print_Area</vt:lpstr>
      <vt:lpstr>'Lbr. Kritik-Saran'!Print_Area</vt:lpstr>
      <vt:lpstr>'Lbr. Pengaduan Masyarakat'!Print_Area</vt:lpstr>
      <vt:lpstr>'Register Kas'!Print_Area</vt:lpstr>
      <vt:lpstr>sumber_dana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DEGUN</dc:creator>
  <cp:lastModifiedBy>Santo Susanto</cp:lastModifiedBy>
  <cp:lastPrinted>2026-07-06T01:55:10Z</cp:lastPrinted>
  <dcterms:created xsi:type="dcterms:W3CDTF">2021-08-23T02:09:24Z</dcterms:created>
  <dcterms:modified xsi:type="dcterms:W3CDTF">2026-07-06T01:55:15Z</dcterms:modified>
</cp:coreProperties>
</file>
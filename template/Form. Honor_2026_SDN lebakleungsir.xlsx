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OS 2026\BOS 2026_SDN LEBAKLEUNGSIR\"/>
    </mc:Choice>
  </mc:AlternateContent>
  <xr:revisionPtr revIDLastSave="0" documentId="13_ncr:1_{D4C5719A-5977-4FE4-B293-29CA11E98081}" xr6:coauthVersionLast="47" xr6:coauthVersionMax="47" xr10:uidLastSave="{00000000-0000-0000-0000-000000000000}"/>
  <bookViews>
    <workbookView xWindow="-110" yWindow="-110" windowWidth="19420" windowHeight="10300" tabRatio="960" activeTab="1" xr2:uid="{00000000-000D-0000-FFFF-FFFF00000000}"/>
  </bookViews>
  <sheets>
    <sheet name="Data" sheetId="17" r:id="rId1"/>
    <sheet name="Honor_guru" sheetId="1" r:id="rId2"/>
    <sheet name="Honor_tendik" sheetId="12" r:id="rId3"/>
    <sheet name="Honor_Perpus" sheetId="18" r:id="rId4"/>
    <sheet name="Honor_penjaga" sheetId="13" r:id="rId5"/>
    <sheet name="Transpor_bank" sheetId="8" r:id="rId6"/>
    <sheet name="Transpor_koordinasi" sheetId="15" r:id="rId7"/>
    <sheet name="Transpor_rapat" sheetId="14" r:id="rId8"/>
    <sheet name="Transpor_pendamping" sheetId="16" r:id="rId9"/>
    <sheet name="Upah" sheetId="3" r:id="rId10"/>
    <sheet name="Pulsa" sheetId="10" r:id="rId11"/>
  </sheets>
  <externalReferences>
    <externalReference r:id="rId12"/>
  </externalReferences>
  <definedNames>
    <definedName name="c_kegiatan">[1]!tbl_kegiatan[[#Headers],[Kegiatan]]</definedName>
    <definedName name="c_progrm">[1]!tbl_progrm[[#Headers],[No]]</definedName>
    <definedName name="c_stdr">[1]!tbl_stdr[[#Headers],[ID]]</definedName>
    <definedName name="list_Y_T">[1]!tbl_ya_tdk[tbl_ya_tdk]</definedName>
    <definedName name="_xlnm.Print_Area" localSheetId="1">Honor_guru!$A$1:$Q$451</definedName>
    <definedName name="_xlnm.Print_Area" localSheetId="4">Honor_penjaga!$A$1:$P$428</definedName>
    <definedName name="_xlnm.Print_Area" localSheetId="3">Honor_Perpus!$A$1:$P$441</definedName>
    <definedName name="_xlnm.Print_Area" localSheetId="2">Honor_tendik!$A$1:$P$477</definedName>
  </definedNames>
  <calcPr calcId="191029"/>
</workbook>
</file>

<file path=xl/calcChain.xml><?xml version="1.0" encoding="utf-8"?>
<calcChain xmlns="http://schemas.openxmlformats.org/spreadsheetml/2006/main">
  <c r="J145" i="14" l="1"/>
  <c r="J113" i="14"/>
  <c r="J80" i="14"/>
  <c r="J49" i="14"/>
  <c r="J48" i="14"/>
  <c r="C135" i="1" l="1"/>
  <c r="C134" i="1"/>
  <c r="A452" i="10"/>
  <c r="J98" i="10"/>
  <c r="J57" i="10"/>
  <c r="J56" i="10"/>
  <c r="J20" i="10"/>
  <c r="J242" i="15" l="1"/>
  <c r="J208" i="15"/>
  <c r="O92" i="13"/>
  <c r="O91" i="13"/>
  <c r="J243" i="15"/>
  <c r="J246" i="14" s="1"/>
  <c r="A229" i="8"/>
  <c r="A228" i="15" s="1"/>
  <c r="A231" i="14" s="1"/>
  <c r="A272" i="10" s="1"/>
  <c r="J210" i="8"/>
  <c r="J209" i="15" s="1"/>
  <c r="J178" i="8"/>
  <c r="J177" i="15" s="1"/>
  <c r="J178" i="14" s="1"/>
  <c r="J176" i="15"/>
  <c r="J177" i="14" s="1"/>
  <c r="A163" i="8"/>
  <c r="A162" i="15" s="1"/>
  <c r="A163" i="14" s="1"/>
  <c r="A200" i="10" s="1"/>
  <c r="J146" i="8"/>
  <c r="J145" i="15" s="1"/>
  <c r="J144" i="15"/>
  <c r="A131" i="8"/>
  <c r="A130" i="15" s="1"/>
  <c r="A131" i="14" s="1"/>
  <c r="A158" i="10" s="1"/>
  <c r="C123" i="8"/>
  <c r="C122" i="8"/>
  <c r="J115" i="8"/>
  <c r="J113" i="15" s="1"/>
  <c r="J112" i="15"/>
  <c r="A100" i="8"/>
  <c r="A98" i="15" s="1"/>
  <c r="A99" i="14" s="1"/>
  <c r="A122" i="10" s="1"/>
  <c r="J81" i="8"/>
  <c r="J81" i="15" s="1"/>
  <c r="J80" i="15"/>
  <c r="J49" i="8"/>
  <c r="J49" i="15" s="1"/>
  <c r="J48" i="15"/>
  <c r="J17" i="8"/>
  <c r="J17" i="15" s="1"/>
  <c r="J16" i="8"/>
  <c r="J16" i="15" s="1"/>
  <c r="A66" i="8"/>
  <c r="A66" i="15" s="1"/>
  <c r="A66" i="14" s="1"/>
  <c r="A80" i="10" s="1"/>
  <c r="A34" i="8"/>
  <c r="A34" i="15" s="1"/>
  <c r="A34" i="14" s="1"/>
  <c r="A44" i="10" s="1"/>
  <c r="J25" i="8"/>
  <c r="J25" i="15" s="1"/>
  <c r="J25" i="14" s="1"/>
  <c r="J24" i="8"/>
  <c r="J24" i="15" s="1"/>
  <c r="J24" i="14" s="1"/>
  <c r="C25" i="8"/>
  <c r="C25" i="15" s="1"/>
  <c r="C25" i="14" s="1"/>
  <c r="C24" i="8"/>
  <c r="C24" i="15" s="1"/>
  <c r="C24" i="14" s="1"/>
  <c r="A2" i="8"/>
  <c r="A2" i="15" s="1"/>
  <c r="A2" i="14" s="1"/>
  <c r="A2" i="10" s="1"/>
  <c r="O272" i="13"/>
  <c r="O271" i="13"/>
  <c r="A254" i="13"/>
  <c r="A195" i="8" s="1"/>
  <c r="A194" i="15" s="1"/>
  <c r="A197" i="14" s="1"/>
  <c r="O236" i="13"/>
  <c r="O235" i="13"/>
  <c r="A218" i="13"/>
  <c r="O200" i="13"/>
  <c r="O199" i="13"/>
  <c r="A182" i="13"/>
  <c r="O164" i="13"/>
  <c r="O163" i="13"/>
  <c r="A146" i="13"/>
  <c r="C136" i="13"/>
  <c r="C135" i="13"/>
  <c r="O128" i="13"/>
  <c r="O127" i="13"/>
  <c r="A110" i="13"/>
  <c r="A74" i="13"/>
  <c r="O56" i="13"/>
  <c r="O55" i="13"/>
  <c r="A38" i="13"/>
  <c r="O28" i="13"/>
  <c r="O27" i="13"/>
  <c r="C28" i="13"/>
  <c r="C27" i="13"/>
  <c r="O20" i="13"/>
  <c r="O19" i="13"/>
  <c r="A2" i="13"/>
  <c r="A404" i="18"/>
  <c r="A367" i="18"/>
  <c r="A330" i="18"/>
  <c r="G305" i="18"/>
  <c r="G342" i="18" s="1"/>
  <c r="G379" i="18" s="1"/>
  <c r="G416" i="18" s="1"/>
  <c r="F305" i="18"/>
  <c r="F342" i="18" s="1"/>
  <c r="F379" i="18" s="1"/>
  <c r="F416" i="18" s="1"/>
  <c r="A293" i="18"/>
  <c r="O271" i="18"/>
  <c r="O270" i="18"/>
  <c r="L265" i="18"/>
  <c r="L306" i="18" s="1"/>
  <c r="L343" i="18" s="1"/>
  <c r="L380" i="18" s="1"/>
  <c r="L417" i="18" s="1"/>
  <c r="K265" i="18"/>
  <c r="K306" i="18" s="1"/>
  <c r="K343" i="18" s="1"/>
  <c r="K380" i="18" s="1"/>
  <c r="K417" i="18" s="1"/>
  <c r="J265" i="18"/>
  <c r="J306" i="18" s="1"/>
  <c r="J343" i="18" s="1"/>
  <c r="J380" i="18" s="1"/>
  <c r="J417" i="18" s="1"/>
  <c r="H265" i="18"/>
  <c r="H306" i="18" s="1"/>
  <c r="H343" i="18" s="1"/>
  <c r="H380" i="18" s="1"/>
  <c r="H417" i="18" s="1"/>
  <c r="G265" i="18"/>
  <c r="G306" i="18" s="1"/>
  <c r="G343" i="18" s="1"/>
  <c r="G380" i="18" s="1"/>
  <c r="G417" i="18" s="1"/>
  <c r="F265" i="18"/>
  <c r="F306" i="18" s="1"/>
  <c r="F343" i="18" s="1"/>
  <c r="F380" i="18" s="1"/>
  <c r="F417" i="18" s="1"/>
  <c r="E265" i="18"/>
  <c r="E306" i="18" s="1"/>
  <c r="E343" i="18" s="1"/>
  <c r="E380" i="18" s="1"/>
  <c r="E417" i="18" s="1"/>
  <c r="D265" i="18"/>
  <c r="D306" i="18" s="1"/>
  <c r="D343" i="18" s="1"/>
  <c r="D380" i="18" s="1"/>
  <c r="D417" i="18" s="1"/>
  <c r="B265" i="18"/>
  <c r="I265" i="18" s="1"/>
  <c r="M265" i="18" s="1"/>
  <c r="L305" i="18"/>
  <c r="L342" i="18" s="1"/>
  <c r="L379" i="18" s="1"/>
  <c r="L416" i="18" s="1"/>
  <c r="K305" i="18"/>
  <c r="K342" i="18" s="1"/>
  <c r="K379" i="18" s="1"/>
  <c r="K416" i="18" s="1"/>
  <c r="J305" i="18"/>
  <c r="J342" i="18" s="1"/>
  <c r="J379" i="18" s="1"/>
  <c r="J416" i="18" s="1"/>
  <c r="E264" i="18"/>
  <c r="E305" i="18" s="1"/>
  <c r="E342" i="18" s="1"/>
  <c r="E379" i="18" s="1"/>
  <c r="E416" i="18" s="1"/>
  <c r="D264" i="18"/>
  <c r="D305" i="18" s="1"/>
  <c r="D342" i="18" s="1"/>
  <c r="D379" i="18" s="1"/>
  <c r="D416" i="18" s="1"/>
  <c r="B264" i="18"/>
  <c r="B305" i="18" s="1"/>
  <c r="F263" i="18"/>
  <c r="F304" i="18" s="1"/>
  <c r="F341" i="18" s="1"/>
  <c r="F378" i="18" s="1"/>
  <c r="F415" i="18" s="1"/>
  <c r="F262" i="18"/>
  <c r="F303" i="18" s="1"/>
  <c r="F340" i="18" s="1"/>
  <c r="F377" i="18" s="1"/>
  <c r="F414" i="18" s="1"/>
  <c r="E262" i="18"/>
  <c r="E303" i="18" s="1"/>
  <c r="E340" i="18" s="1"/>
  <c r="E377" i="18" s="1"/>
  <c r="E414" i="18" s="1"/>
  <c r="A253" i="18"/>
  <c r="A252" i="18"/>
  <c r="O230" i="18"/>
  <c r="O229" i="18"/>
  <c r="I224" i="18"/>
  <c r="M224" i="18" s="1"/>
  <c r="N224" i="18" s="1"/>
  <c r="A212" i="18"/>
  <c r="A211" i="18"/>
  <c r="O195" i="18"/>
  <c r="O194" i="18"/>
  <c r="A177" i="18"/>
  <c r="A176" i="18"/>
  <c r="O160" i="18"/>
  <c r="O159" i="18"/>
  <c r="A142" i="18"/>
  <c r="A141" i="18"/>
  <c r="C133" i="18"/>
  <c r="C168" i="18" s="1"/>
  <c r="C203" i="18" s="1"/>
  <c r="C238" i="18" s="1"/>
  <c r="C279" i="18" s="1"/>
  <c r="C320" i="18" s="1"/>
  <c r="C357" i="18" s="1"/>
  <c r="C394" i="18" s="1"/>
  <c r="C431" i="18" s="1"/>
  <c r="C132" i="18"/>
  <c r="C167" i="18" s="1"/>
  <c r="C202" i="18" s="1"/>
  <c r="C237" i="18" s="1"/>
  <c r="C278" i="18" s="1"/>
  <c r="C319" i="18" s="1"/>
  <c r="C356" i="18" s="1"/>
  <c r="C393" i="18" s="1"/>
  <c r="C430" i="18" s="1"/>
  <c r="O125" i="18"/>
  <c r="O124" i="18"/>
  <c r="A107" i="18"/>
  <c r="A106" i="18"/>
  <c r="O90" i="18"/>
  <c r="O89" i="18"/>
  <c r="A72" i="18"/>
  <c r="A71" i="18"/>
  <c r="O55" i="18"/>
  <c r="O54" i="18"/>
  <c r="L51" i="18"/>
  <c r="L86" i="18" s="1"/>
  <c r="L121" i="18" s="1"/>
  <c r="L156" i="18" s="1"/>
  <c r="L191" i="18" s="1"/>
  <c r="L226" i="18" s="1"/>
  <c r="L267" i="18" s="1"/>
  <c r="L308" i="18" s="1"/>
  <c r="L345" i="18" s="1"/>
  <c r="L382" i="18" s="1"/>
  <c r="L419" i="18" s="1"/>
  <c r="K51" i="18"/>
  <c r="K86" i="18" s="1"/>
  <c r="K121" i="18" s="1"/>
  <c r="K156" i="18" s="1"/>
  <c r="K191" i="18" s="1"/>
  <c r="K226" i="18" s="1"/>
  <c r="K267" i="18" s="1"/>
  <c r="K308" i="18" s="1"/>
  <c r="K345" i="18" s="1"/>
  <c r="K382" i="18" s="1"/>
  <c r="K419" i="18" s="1"/>
  <c r="J51" i="18"/>
  <c r="J86" i="18" s="1"/>
  <c r="J121" i="18" s="1"/>
  <c r="J156" i="18" s="1"/>
  <c r="J191" i="18" s="1"/>
  <c r="J226" i="18" s="1"/>
  <c r="J267" i="18" s="1"/>
  <c r="J308" i="18" s="1"/>
  <c r="J345" i="18" s="1"/>
  <c r="J382" i="18" s="1"/>
  <c r="J419" i="18" s="1"/>
  <c r="H51" i="18"/>
  <c r="H86" i="18" s="1"/>
  <c r="H121" i="18" s="1"/>
  <c r="H156" i="18" s="1"/>
  <c r="H191" i="18" s="1"/>
  <c r="H226" i="18" s="1"/>
  <c r="H267" i="18" s="1"/>
  <c r="H308" i="18" s="1"/>
  <c r="H345" i="18" s="1"/>
  <c r="H382" i="18" s="1"/>
  <c r="H419" i="18" s="1"/>
  <c r="G51" i="18"/>
  <c r="G86" i="18" s="1"/>
  <c r="G121" i="18" s="1"/>
  <c r="G156" i="18" s="1"/>
  <c r="G191" i="18" s="1"/>
  <c r="G226" i="18" s="1"/>
  <c r="G267" i="18" s="1"/>
  <c r="G308" i="18" s="1"/>
  <c r="G345" i="18" s="1"/>
  <c r="G382" i="18" s="1"/>
  <c r="G419" i="18" s="1"/>
  <c r="F51" i="18"/>
  <c r="F86" i="18" s="1"/>
  <c r="F121" i="18" s="1"/>
  <c r="F156" i="18" s="1"/>
  <c r="F191" i="18" s="1"/>
  <c r="F226" i="18" s="1"/>
  <c r="F267" i="18" s="1"/>
  <c r="F308" i="18" s="1"/>
  <c r="F345" i="18" s="1"/>
  <c r="F382" i="18" s="1"/>
  <c r="F419" i="18" s="1"/>
  <c r="E51" i="18"/>
  <c r="E86" i="18" s="1"/>
  <c r="E121" i="18" s="1"/>
  <c r="E156" i="18" s="1"/>
  <c r="E191" i="18" s="1"/>
  <c r="E226" i="18" s="1"/>
  <c r="E267" i="18" s="1"/>
  <c r="E308" i="18" s="1"/>
  <c r="E345" i="18" s="1"/>
  <c r="E382" i="18" s="1"/>
  <c r="E419" i="18" s="1"/>
  <c r="D51" i="18"/>
  <c r="D86" i="18" s="1"/>
  <c r="D121" i="18" s="1"/>
  <c r="D156" i="18" s="1"/>
  <c r="D191" i="18" s="1"/>
  <c r="D226" i="18" s="1"/>
  <c r="D267" i="18" s="1"/>
  <c r="D308" i="18" s="1"/>
  <c r="D345" i="18" s="1"/>
  <c r="D382" i="18" s="1"/>
  <c r="D419" i="18" s="1"/>
  <c r="B51" i="18"/>
  <c r="B86" i="18" s="1"/>
  <c r="L50" i="18"/>
  <c r="L85" i="18" s="1"/>
  <c r="L120" i="18" s="1"/>
  <c r="L155" i="18" s="1"/>
  <c r="L190" i="18" s="1"/>
  <c r="L225" i="18" s="1"/>
  <c r="L266" i="18" s="1"/>
  <c r="L307" i="18" s="1"/>
  <c r="L344" i="18" s="1"/>
  <c r="L381" i="18" s="1"/>
  <c r="L418" i="18" s="1"/>
  <c r="K50" i="18"/>
  <c r="K85" i="18" s="1"/>
  <c r="K120" i="18" s="1"/>
  <c r="K155" i="18" s="1"/>
  <c r="K190" i="18" s="1"/>
  <c r="K225" i="18" s="1"/>
  <c r="K266" i="18" s="1"/>
  <c r="K307" i="18" s="1"/>
  <c r="K344" i="18" s="1"/>
  <c r="K381" i="18" s="1"/>
  <c r="K418" i="18" s="1"/>
  <c r="J50" i="18"/>
  <c r="J85" i="18" s="1"/>
  <c r="J120" i="18" s="1"/>
  <c r="J155" i="18" s="1"/>
  <c r="J190" i="18" s="1"/>
  <c r="J225" i="18" s="1"/>
  <c r="J266" i="18" s="1"/>
  <c r="J307" i="18" s="1"/>
  <c r="J344" i="18" s="1"/>
  <c r="J381" i="18" s="1"/>
  <c r="J418" i="18" s="1"/>
  <c r="H50" i="18"/>
  <c r="H85" i="18" s="1"/>
  <c r="H120" i="18" s="1"/>
  <c r="H155" i="18" s="1"/>
  <c r="H190" i="18" s="1"/>
  <c r="H225" i="18" s="1"/>
  <c r="H266" i="18" s="1"/>
  <c r="H307" i="18" s="1"/>
  <c r="H344" i="18" s="1"/>
  <c r="H381" i="18" s="1"/>
  <c r="H418" i="18" s="1"/>
  <c r="G50" i="18"/>
  <c r="G85" i="18" s="1"/>
  <c r="G120" i="18" s="1"/>
  <c r="G155" i="18" s="1"/>
  <c r="G190" i="18" s="1"/>
  <c r="G225" i="18" s="1"/>
  <c r="G266" i="18" s="1"/>
  <c r="G307" i="18" s="1"/>
  <c r="G344" i="18" s="1"/>
  <c r="G381" i="18" s="1"/>
  <c r="G418" i="18" s="1"/>
  <c r="F50" i="18"/>
  <c r="F85" i="18" s="1"/>
  <c r="F120" i="18" s="1"/>
  <c r="F155" i="18" s="1"/>
  <c r="F190" i="18" s="1"/>
  <c r="F225" i="18" s="1"/>
  <c r="F266" i="18" s="1"/>
  <c r="F307" i="18" s="1"/>
  <c r="F344" i="18" s="1"/>
  <c r="F381" i="18" s="1"/>
  <c r="F418" i="18" s="1"/>
  <c r="E50" i="18"/>
  <c r="E85" i="18" s="1"/>
  <c r="E120" i="18" s="1"/>
  <c r="E155" i="18" s="1"/>
  <c r="E190" i="18" s="1"/>
  <c r="E225" i="18" s="1"/>
  <c r="E266" i="18" s="1"/>
  <c r="E307" i="18" s="1"/>
  <c r="E344" i="18" s="1"/>
  <c r="E381" i="18" s="1"/>
  <c r="E418" i="18" s="1"/>
  <c r="D50" i="18"/>
  <c r="D85" i="18" s="1"/>
  <c r="D120" i="18" s="1"/>
  <c r="D155" i="18" s="1"/>
  <c r="D190" i="18" s="1"/>
  <c r="D225" i="18" s="1"/>
  <c r="D266" i="18" s="1"/>
  <c r="D307" i="18" s="1"/>
  <c r="D344" i="18" s="1"/>
  <c r="D381" i="18" s="1"/>
  <c r="D418" i="18" s="1"/>
  <c r="B50" i="18"/>
  <c r="B85" i="18" s="1"/>
  <c r="L49" i="18"/>
  <c r="L84" i="18" s="1"/>
  <c r="L119" i="18" s="1"/>
  <c r="L154" i="18" s="1"/>
  <c r="L189" i="18" s="1"/>
  <c r="K49" i="18"/>
  <c r="K84" i="18" s="1"/>
  <c r="K119" i="18" s="1"/>
  <c r="K154" i="18" s="1"/>
  <c r="K189" i="18" s="1"/>
  <c r="J49" i="18"/>
  <c r="J84" i="18" s="1"/>
  <c r="J119" i="18" s="1"/>
  <c r="J154" i="18" s="1"/>
  <c r="J189" i="18" s="1"/>
  <c r="H49" i="18"/>
  <c r="H84" i="18" s="1"/>
  <c r="H119" i="18" s="1"/>
  <c r="H154" i="18" s="1"/>
  <c r="H189" i="18" s="1"/>
  <c r="G49" i="18"/>
  <c r="G84" i="18" s="1"/>
  <c r="G119" i="18" s="1"/>
  <c r="G154" i="18" s="1"/>
  <c r="G189" i="18" s="1"/>
  <c r="F49" i="18"/>
  <c r="F84" i="18" s="1"/>
  <c r="F119" i="18" s="1"/>
  <c r="F154" i="18" s="1"/>
  <c r="F189" i="18" s="1"/>
  <c r="E49" i="18"/>
  <c r="E84" i="18" s="1"/>
  <c r="E119" i="18" s="1"/>
  <c r="E154" i="18" s="1"/>
  <c r="E189" i="18" s="1"/>
  <c r="D49" i="18"/>
  <c r="D84" i="18" s="1"/>
  <c r="D119" i="18" s="1"/>
  <c r="D154" i="18" s="1"/>
  <c r="D189" i="18" s="1"/>
  <c r="B49" i="18"/>
  <c r="B84" i="18" s="1"/>
  <c r="L48" i="18"/>
  <c r="L83" i="18" s="1"/>
  <c r="L118" i="18" s="1"/>
  <c r="L153" i="18" s="1"/>
  <c r="L188" i="18" s="1"/>
  <c r="K48" i="18"/>
  <c r="K83" i="18" s="1"/>
  <c r="K118" i="18" s="1"/>
  <c r="K153" i="18" s="1"/>
  <c r="K188" i="18" s="1"/>
  <c r="J48" i="18"/>
  <c r="J83" i="18" s="1"/>
  <c r="J118" i="18" s="1"/>
  <c r="J153" i="18" s="1"/>
  <c r="J188" i="18" s="1"/>
  <c r="H48" i="18"/>
  <c r="H83" i="18" s="1"/>
  <c r="H118" i="18" s="1"/>
  <c r="H153" i="18" s="1"/>
  <c r="H188" i="18" s="1"/>
  <c r="H264" i="18" s="1"/>
  <c r="G48" i="18"/>
  <c r="G83" i="18" s="1"/>
  <c r="G118" i="18" s="1"/>
  <c r="G153" i="18" s="1"/>
  <c r="G188" i="18" s="1"/>
  <c r="F48" i="18"/>
  <c r="F83" i="18" s="1"/>
  <c r="F118" i="18" s="1"/>
  <c r="F153" i="18" s="1"/>
  <c r="F188" i="18" s="1"/>
  <c r="E48" i="18"/>
  <c r="E83" i="18" s="1"/>
  <c r="E118" i="18" s="1"/>
  <c r="E153" i="18" s="1"/>
  <c r="E188" i="18" s="1"/>
  <c r="D48" i="18"/>
  <c r="D83" i="18" s="1"/>
  <c r="D118" i="18" s="1"/>
  <c r="D153" i="18" s="1"/>
  <c r="D188" i="18" s="1"/>
  <c r="B48" i="18"/>
  <c r="B83" i="18" s="1"/>
  <c r="L47" i="18"/>
  <c r="L82" i="18" s="1"/>
  <c r="L117" i="18" s="1"/>
  <c r="L152" i="18" s="1"/>
  <c r="L187" i="18" s="1"/>
  <c r="L222" i="18" s="1"/>
  <c r="L263" i="18" s="1"/>
  <c r="L304" i="18" s="1"/>
  <c r="L341" i="18" s="1"/>
  <c r="L378" i="18" s="1"/>
  <c r="L415" i="18" s="1"/>
  <c r="K47" i="18"/>
  <c r="K82" i="18" s="1"/>
  <c r="K117" i="18" s="1"/>
  <c r="K152" i="18" s="1"/>
  <c r="K187" i="18" s="1"/>
  <c r="K222" i="18" s="1"/>
  <c r="K263" i="18" s="1"/>
  <c r="K304" i="18" s="1"/>
  <c r="K341" i="18" s="1"/>
  <c r="K378" i="18" s="1"/>
  <c r="K415" i="18" s="1"/>
  <c r="J47" i="18"/>
  <c r="J82" i="18" s="1"/>
  <c r="J117" i="18" s="1"/>
  <c r="J152" i="18" s="1"/>
  <c r="J187" i="18" s="1"/>
  <c r="J222" i="18" s="1"/>
  <c r="J263" i="18" s="1"/>
  <c r="J304" i="18" s="1"/>
  <c r="J341" i="18" s="1"/>
  <c r="J378" i="18" s="1"/>
  <c r="J415" i="18" s="1"/>
  <c r="H47" i="18"/>
  <c r="H82" i="18" s="1"/>
  <c r="H117" i="18" s="1"/>
  <c r="H152" i="18" s="1"/>
  <c r="H187" i="18" s="1"/>
  <c r="H263" i="18" s="1"/>
  <c r="H304" i="18" s="1"/>
  <c r="H341" i="18" s="1"/>
  <c r="H378" i="18" s="1"/>
  <c r="H415" i="18" s="1"/>
  <c r="G47" i="18"/>
  <c r="G82" i="18" s="1"/>
  <c r="G117" i="18" s="1"/>
  <c r="G152" i="18" s="1"/>
  <c r="G187" i="18" s="1"/>
  <c r="G263" i="18" s="1"/>
  <c r="G304" i="18" s="1"/>
  <c r="G341" i="18" s="1"/>
  <c r="G378" i="18" s="1"/>
  <c r="G415" i="18" s="1"/>
  <c r="F47" i="18"/>
  <c r="F82" i="18" s="1"/>
  <c r="F117" i="18" s="1"/>
  <c r="F152" i="18" s="1"/>
  <c r="F187" i="18" s="1"/>
  <c r="E47" i="18"/>
  <c r="E82" i="18" s="1"/>
  <c r="E117" i="18" s="1"/>
  <c r="E152" i="18" s="1"/>
  <c r="E187" i="18" s="1"/>
  <c r="E263" i="18" s="1"/>
  <c r="E304" i="18" s="1"/>
  <c r="E341" i="18" s="1"/>
  <c r="E378" i="18" s="1"/>
  <c r="E415" i="18" s="1"/>
  <c r="D47" i="18"/>
  <c r="D82" i="18" s="1"/>
  <c r="D117" i="18" s="1"/>
  <c r="D152" i="18" s="1"/>
  <c r="D187" i="18" s="1"/>
  <c r="D263" i="18" s="1"/>
  <c r="D304" i="18" s="1"/>
  <c r="D341" i="18" s="1"/>
  <c r="D378" i="18" s="1"/>
  <c r="D415" i="18" s="1"/>
  <c r="B47" i="18"/>
  <c r="B82" i="18" s="1"/>
  <c r="L46" i="18"/>
  <c r="L81" i="18" s="1"/>
  <c r="L116" i="18" s="1"/>
  <c r="L151" i="18" s="1"/>
  <c r="L186" i="18" s="1"/>
  <c r="L221" i="18" s="1"/>
  <c r="L262" i="18" s="1"/>
  <c r="L303" i="18" s="1"/>
  <c r="L340" i="18" s="1"/>
  <c r="L377" i="18" s="1"/>
  <c r="L414" i="18" s="1"/>
  <c r="K46" i="18"/>
  <c r="K81" i="18" s="1"/>
  <c r="K116" i="18" s="1"/>
  <c r="K151" i="18" s="1"/>
  <c r="K186" i="18" s="1"/>
  <c r="K221" i="18" s="1"/>
  <c r="K262" i="18" s="1"/>
  <c r="K303" i="18" s="1"/>
  <c r="K340" i="18" s="1"/>
  <c r="K377" i="18" s="1"/>
  <c r="K414" i="18" s="1"/>
  <c r="J46" i="18"/>
  <c r="J81" i="18" s="1"/>
  <c r="J116" i="18" s="1"/>
  <c r="J151" i="18" s="1"/>
  <c r="J186" i="18" s="1"/>
  <c r="J221" i="18" s="1"/>
  <c r="J262" i="18" s="1"/>
  <c r="J303" i="18" s="1"/>
  <c r="J340" i="18" s="1"/>
  <c r="J377" i="18" s="1"/>
  <c r="J414" i="18" s="1"/>
  <c r="H46" i="18"/>
  <c r="H81" i="18" s="1"/>
  <c r="H116" i="18" s="1"/>
  <c r="H151" i="18" s="1"/>
  <c r="H186" i="18" s="1"/>
  <c r="H262" i="18" s="1"/>
  <c r="H303" i="18" s="1"/>
  <c r="H340" i="18" s="1"/>
  <c r="H377" i="18" s="1"/>
  <c r="H414" i="18" s="1"/>
  <c r="G46" i="18"/>
  <c r="G81" i="18" s="1"/>
  <c r="G116" i="18" s="1"/>
  <c r="G151" i="18" s="1"/>
  <c r="G186" i="18" s="1"/>
  <c r="G262" i="18" s="1"/>
  <c r="G303" i="18" s="1"/>
  <c r="G340" i="18" s="1"/>
  <c r="G377" i="18" s="1"/>
  <c r="G414" i="18" s="1"/>
  <c r="F46" i="18"/>
  <c r="F81" i="18" s="1"/>
  <c r="F116" i="18" s="1"/>
  <c r="F151" i="18" s="1"/>
  <c r="F186" i="18" s="1"/>
  <c r="E46" i="18"/>
  <c r="E81" i="18" s="1"/>
  <c r="E116" i="18" s="1"/>
  <c r="E151" i="18" s="1"/>
  <c r="E186" i="18" s="1"/>
  <c r="D46" i="18"/>
  <c r="D81" i="18" s="1"/>
  <c r="D116" i="18" s="1"/>
  <c r="D151" i="18" s="1"/>
  <c r="D186" i="18" s="1"/>
  <c r="D221" i="18" s="1"/>
  <c r="D262" i="18" s="1"/>
  <c r="D303" i="18" s="1"/>
  <c r="D340" i="18" s="1"/>
  <c r="D377" i="18" s="1"/>
  <c r="D414" i="18" s="1"/>
  <c r="B46" i="18"/>
  <c r="B81" i="18" s="1"/>
  <c r="H45" i="18"/>
  <c r="H80" i="18" s="1"/>
  <c r="H115" i="18" s="1"/>
  <c r="H150" i="18" s="1"/>
  <c r="H185" i="18" s="1"/>
  <c r="H220" i="18" s="1"/>
  <c r="H261" i="18" s="1"/>
  <c r="H302" i="18" s="1"/>
  <c r="H339" i="18" s="1"/>
  <c r="H376" i="18" s="1"/>
  <c r="H413" i="18" s="1"/>
  <c r="G45" i="18"/>
  <c r="G80" i="18" s="1"/>
  <c r="G115" i="18" s="1"/>
  <c r="G150" i="18" s="1"/>
  <c r="G185" i="18" s="1"/>
  <c r="G220" i="18" s="1"/>
  <c r="G261" i="18" s="1"/>
  <c r="G302" i="18" s="1"/>
  <c r="G339" i="18" s="1"/>
  <c r="G376" i="18" s="1"/>
  <c r="G413" i="18" s="1"/>
  <c r="F45" i="18"/>
  <c r="F80" i="18" s="1"/>
  <c r="F115" i="18" s="1"/>
  <c r="F150" i="18" s="1"/>
  <c r="F185" i="18" s="1"/>
  <c r="F220" i="18" s="1"/>
  <c r="F261" i="18" s="1"/>
  <c r="F302" i="18" s="1"/>
  <c r="F339" i="18" s="1"/>
  <c r="F376" i="18" s="1"/>
  <c r="F413" i="18" s="1"/>
  <c r="E45" i="18"/>
  <c r="E80" i="18" s="1"/>
  <c r="E115" i="18" s="1"/>
  <c r="E150" i="18" s="1"/>
  <c r="E185" i="18" s="1"/>
  <c r="E220" i="18" s="1"/>
  <c r="E261" i="18" s="1"/>
  <c r="E302" i="18" s="1"/>
  <c r="E339" i="18" s="1"/>
  <c r="E376" i="18" s="1"/>
  <c r="E413" i="18" s="1"/>
  <c r="N42" i="18"/>
  <c r="N77" i="18" s="1"/>
  <c r="N112" i="18" s="1"/>
  <c r="N147" i="18" s="1"/>
  <c r="N182" i="18" s="1"/>
  <c r="N217" i="18" s="1"/>
  <c r="N258" i="18" s="1"/>
  <c r="N299" i="18" s="1"/>
  <c r="N336" i="18" s="1"/>
  <c r="N373" i="18" s="1"/>
  <c r="N410" i="18" s="1"/>
  <c r="N41" i="18"/>
  <c r="N76" i="18" s="1"/>
  <c r="N111" i="18" s="1"/>
  <c r="N146" i="18" s="1"/>
  <c r="N181" i="18" s="1"/>
  <c r="N216" i="18" s="1"/>
  <c r="N257" i="18" s="1"/>
  <c r="N298" i="18" s="1"/>
  <c r="N335" i="18" s="1"/>
  <c r="N372" i="18" s="1"/>
  <c r="N409" i="18" s="1"/>
  <c r="N40" i="18"/>
  <c r="N75" i="18" s="1"/>
  <c r="N110" i="18" s="1"/>
  <c r="N145" i="18" s="1"/>
  <c r="N180" i="18" s="1"/>
  <c r="N215" i="18" s="1"/>
  <c r="N256" i="18" s="1"/>
  <c r="N297" i="18" s="1"/>
  <c r="N334" i="18" s="1"/>
  <c r="N371" i="18" s="1"/>
  <c r="N408" i="18" s="1"/>
  <c r="N39" i="18"/>
  <c r="N74" i="18" s="1"/>
  <c r="N109" i="18" s="1"/>
  <c r="N144" i="18" s="1"/>
  <c r="N179" i="18" s="1"/>
  <c r="N214" i="18" s="1"/>
  <c r="N255" i="18" s="1"/>
  <c r="N296" i="18" s="1"/>
  <c r="N333" i="18" s="1"/>
  <c r="N370" i="18" s="1"/>
  <c r="N407" i="18" s="1"/>
  <c r="A37" i="18"/>
  <c r="A36" i="18"/>
  <c r="O28" i="18"/>
  <c r="O63" i="18" s="1"/>
  <c r="O98" i="18" s="1"/>
  <c r="O133" i="18" s="1"/>
  <c r="O168" i="18" s="1"/>
  <c r="O203" i="18" s="1"/>
  <c r="C28" i="18"/>
  <c r="C63" i="18" s="1"/>
  <c r="C98" i="18" s="1"/>
  <c r="O27" i="18"/>
  <c r="O62" i="18" s="1"/>
  <c r="O97" i="18" s="1"/>
  <c r="O132" i="18" s="1"/>
  <c r="O167" i="18" s="1"/>
  <c r="O202" i="18" s="1"/>
  <c r="C27" i="18"/>
  <c r="C62" i="18" s="1"/>
  <c r="C97" i="18" s="1"/>
  <c r="O20" i="18"/>
  <c r="O19" i="18"/>
  <c r="I16" i="18"/>
  <c r="M16" i="18" s="1"/>
  <c r="I15" i="18"/>
  <c r="I14" i="18"/>
  <c r="M14" i="18" s="1"/>
  <c r="N14" i="18" s="1"/>
  <c r="I13" i="18"/>
  <c r="M13" i="18" s="1"/>
  <c r="N13" i="18" s="1"/>
  <c r="I12" i="18"/>
  <c r="I11" i="18"/>
  <c r="D7" i="18"/>
  <c r="D42" i="18" s="1"/>
  <c r="D77" i="18" s="1"/>
  <c r="D112" i="18" s="1"/>
  <c r="D147" i="18" s="1"/>
  <c r="D182" i="18" s="1"/>
  <c r="D217" i="18" s="1"/>
  <c r="D258" i="18" s="1"/>
  <c r="D299" i="18" s="1"/>
  <c r="D336" i="18" s="1"/>
  <c r="D373" i="18" s="1"/>
  <c r="D410" i="18" s="1"/>
  <c r="D6" i="18"/>
  <c r="D41" i="18" s="1"/>
  <c r="D76" i="18" s="1"/>
  <c r="D111" i="18" s="1"/>
  <c r="D146" i="18" s="1"/>
  <c r="D181" i="18" s="1"/>
  <c r="D216" i="18" s="1"/>
  <c r="D257" i="18" s="1"/>
  <c r="D298" i="18" s="1"/>
  <c r="D335" i="18" s="1"/>
  <c r="D372" i="18" s="1"/>
  <c r="D409" i="18" s="1"/>
  <c r="D5" i="18"/>
  <c r="D40" i="18" s="1"/>
  <c r="D75" i="18" s="1"/>
  <c r="D110" i="18" s="1"/>
  <c r="D145" i="18" s="1"/>
  <c r="D180" i="18" s="1"/>
  <c r="D215" i="18" s="1"/>
  <c r="D256" i="18" s="1"/>
  <c r="D297" i="18" s="1"/>
  <c r="D334" i="18" s="1"/>
  <c r="D371" i="18" s="1"/>
  <c r="D408" i="18" s="1"/>
  <c r="D4" i="18"/>
  <c r="A2" i="18"/>
  <c r="O307" i="12"/>
  <c r="O306" i="12"/>
  <c r="A289" i="12"/>
  <c r="O266" i="12"/>
  <c r="O265" i="12"/>
  <c r="A248" i="12"/>
  <c r="O225" i="12"/>
  <c r="O224" i="12"/>
  <c r="A207" i="12"/>
  <c r="O184" i="12"/>
  <c r="O183" i="12"/>
  <c r="A166" i="12"/>
  <c r="A125" i="12"/>
  <c r="O143" i="12"/>
  <c r="O142" i="12"/>
  <c r="C151" i="12"/>
  <c r="C150" i="12"/>
  <c r="O102" i="12"/>
  <c r="O101" i="12"/>
  <c r="A84" i="12"/>
  <c r="O28" i="12"/>
  <c r="O27" i="12"/>
  <c r="C28" i="12"/>
  <c r="C27" i="12"/>
  <c r="O61" i="12"/>
  <c r="O60" i="12"/>
  <c r="A43" i="12"/>
  <c r="O20" i="12"/>
  <c r="O19" i="12"/>
  <c r="A2" i="12"/>
  <c r="I12" i="12"/>
  <c r="N265" i="18" l="1"/>
  <c r="M12" i="18"/>
  <c r="N12" i="18" s="1"/>
  <c r="I17" i="18"/>
  <c r="M223" i="18"/>
  <c r="N223" i="18" s="1"/>
  <c r="B117" i="18"/>
  <c r="I82" i="18"/>
  <c r="B118" i="18"/>
  <c r="I83" i="18"/>
  <c r="B119" i="18"/>
  <c r="I84" i="18"/>
  <c r="B120" i="18"/>
  <c r="I85" i="18"/>
  <c r="I86" i="18"/>
  <c r="B121" i="18"/>
  <c r="H305" i="18"/>
  <c r="H342" i="18" s="1"/>
  <c r="H379" i="18" s="1"/>
  <c r="H416" i="18" s="1"/>
  <c r="I264" i="18"/>
  <c r="B116" i="18"/>
  <c r="I81" i="18"/>
  <c r="M11" i="18"/>
  <c r="N11" i="18" s="1"/>
  <c r="N16" i="18"/>
  <c r="I47" i="18"/>
  <c r="I49" i="18"/>
  <c r="I51" i="18"/>
  <c r="I305" i="18"/>
  <c r="B342" i="18"/>
  <c r="M15" i="18"/>
  <c r="N15" i="18" s="1"/>
  <c r="I46" i="18"/>
  <c r="I48" i="18"/>
  <c r="I50" i="18"/>
  <c r="B306" i="18"/>
  <c r="B151" i="18" l="1"/>
  <c r="I116" i="18"/>
  <c r="B155" i="18"/>
  <c r="I120" i="18"/>
  <c r="B343" i="18"/>
  <c r="I306" i="18"/>
  <c r="M49" i="18"/>
  <c r="N49" i="18" s="1"/>
  <c r="M84" i="18"/>
  <c r="N84" i="18" s="1"/>
  <c r="M305" i="18"/>
  <c r="N305" i="18" s="1"/>
  <c r="M47" i="18"/>
  <c r="N47" i="18" s="1"/>
  <c r="B154" i="18"/>
  <c r="I119" i="18"/>
  <c r="M48" i="18"/>
  <c r="N48" i="18" s="1"/>
  <c r="B153" i="18"/>
  <c r="I118" i="18"/>
  <c r="M51" i="18"/>
  <c r="N51" i="18" s="1"/>
  <c r="N17" i="18"/>
  <c r="M83" i="18"/>
  <c r="N83" i="18" s="1"/>
  <c r="M46" i="18"/>
  <c r="I52" i="18"/>
  <c r="M17" i="18"/>
  <c r="B156" i="18"/>
  <c r="I121" i="18"/>
  <c r="M82" i="18"/>
  <c r="N82" i="18" s="1"/>
  <c r="M85" i="18"/>
  <c r="N85" i="18" s="1"/>
  <c r="M50" i="18"/>
  <c r="N50" i="18" s="1"/>
  <c r="M264" i="18"/>
  <c r="N264" i="18" s="1"/>
  <c r="I342" i="18"/>
  <c r="B379" i="18"/>
  <c r="I87" i="18"/>
  <c r="M81" i="18"/>
  <c r="N81" i="18" s="1"/>
  <c r="M86" i="18"/>
  <c r="N86" i="18" s="1"/>
  <c r="B152" i="18"/>
  <c r="I117" i="18"/>
  <c r="D454" i="10"/>
  <c r="E280" i="10"/>
  <c r="E316" i="10" s="1"/>
  <c r="E352" i="10" s="1"/>
  <c r="E388" i="10" s="1"/>
  <c r="E424" i="10" s="1"/>
  <c r="D280" i="10"/>
  <c r="D316" i="10" s="1"/>
  <c r="D352" i="10" s="1"/>
  <c r="D388" i="10" s="1"/>
  <c r="D424" i="10" s="1"/>
  <c r="B280" i="10"/>
  <c r="B316" i="10" s="1"/>
  <c r="B352" i="10" s="1"/>
  <c r="B388" i="10" s="1"/>
  <c r="B424" i="10" s="1"/>
  <c r="D160" i="10"/>
  <c r="D202" i="10" s="1"/>
  <c r="D238" i="10" s="1"/>
  <c r="D274" i="10" s="1"/>
  <c r="D310" i="10" s="1"/>
  <c r="D346" i="10" s="1"/>
  <c r="D382" i="10" s="1"/>
  <c r="D418" i="10" s="1"/>
  <c r="I166" i="10"/>
  <c r="I167" i="10"/>
  <c r="I168" i="10"/>
  <c r="I169" i="10"/>
  <c r="I170" i="10"/>
  <c r="I171" i="10"/>
  <c r="I172" i="10"/>
  <c r="I173" i="10"/>
  <c r="J49" i="10"/>
  <c r="J85" i="10" s="1"/>
  <c r="J127" i="10" s="1"/>
  <c r="J163" i="10" s="1"/>
  <c r="J205" i="10" s="1"/>
  <c r="J241" i="10" s="1"/>
  <c r="J277" i="10" s="1"/>
  <c r="J313" i="10" s="1"/>
  <c r="J349" i="10" s="1"/>
  <c r="J385" i="10" s="1"/>
  <c r="J421" i="10" s="1"/>
  <c r="J457" i="10" s="1"/>
  <c r="J48" i="10"/>
  <c r="J84" i="10" s="1"/>
  <c r="J126" i="10" s="1"/>
  <c r="J162" i="10" s="1"/>
  <c r="J204" i="10" s="1"/>
  <c r="J240" i="10" s="1"/>
  <c r="J276" i="10" s="1"/>
  <c r="J312" i="10" s="1"/>
  <c r="J348" i="10" s="1"/>
  <c r="J384" i="10" s="1"/>
  <c r="J420" i="10" s="1"/>
  <c r="J456" i="10" s="1"/>
  <c r="E52" i="10"/>
  <c r="E88" i="10" s="1"/>
  <c r="E130" i="10" s="1"/>
  <c r="E166" i="10" s="1"/>
  <c r="E208" i="10" s="1"/>
  <c r="D52" i="10"/>
  <c r="D88" i="10" s="1"/>
  <c r="D130" i="10" s="1"/>
  <c r="D166" i="10" s="1"/>
  <c r="D208" i="10" s="1"/>
  <c r="B52" i="10"/>
  <c r="B88" i="10" s="1"/>
  <c r="B130" i="10" s="1"/>
  <c r="B166" i="10" s="1"/>
  <c r="B208" i="10" s="1"/>
  <c r="J47" i="10"/>
  <c r="J83" i="10" s="1"/>
  <c r="J125" i="10" s="1"/>
  <c r="J161" i="10" s="1"/>
  <c r="J203" i="10" s="1"/>
  <c r="J239" i="10" s="1"/>
  <c r="J275" i="10" s="1"/>
  <c r="J311" i="10" s="1"/>
  <c r="J347" i="10" s="1"/>
  <c r="J383" i="10" s="1"/>
  <c r="J419" i="10" s="1"/>
  <c r="J455" i="10" s="1"/>
  <c r="J46" i="10"/>
  <c r="J82" i="10" s="1"/>
  <c r="J124" i="10" s="1"/>
  <c r="J160" i="10" s="1"/>
  <c r="J202" i="10" s="1"/>
  <c r="J238" i="10" s="1"/>
  <c r="J274" i="10" s="1"/>
  <c r="J310" i="10" s="1"/>
  <c r="J346" i="10" s="1"/>
  <c r="J382" i="10" s="1"/>
  <c r="J454" i="10" s="1"/>
  <c r="A43" i="10"/>
  <c r="A79" i="10" s="1"/>
  <c r="A121" i="10" s="1"/>
  <c r="A157" i="10" s="1"/>
  <c r="A199" i="10" s="1"/>
  <c r="A235" i="10" s="1"/>
  <c r="A271" i="10" s="1"/>
  <c r="A307" i="10" s="1"/>
  <c r="A343" i="10" s="1"/>
  <c r="A379" i="10" s="1"/>
  <c r="D7" i="12"/>
  <c r="D7" i="13" s="1"/>
  <c r="D7" i="8" s="1"/>
  <c r="D7" i="15" s="1"/>
  <c r="D7" i="14" s="1"/>
  <c r="D7" i="16" s="1"/>
  <c r="D7" i="10" s="1"/>
  <c r="D49" i="10" s="1"/>
  <c r="D85" i="10" s="1"/>
  <c r="D127" i="10" s="1"/>
  <c r="D163" i="10" s="1"/>
  <c r="D205" i="10" s="1"/>
  <c r="D241" i="10" s="1"/>
  <c r="D277" i="10" s="1"/>
  <c r="D313" i="10" s="1"/>
  <c r="D349" i="10" s="1"/>
  <c r="D385" i="10" s="1"/>
  <c r="D421" i="10" s="1"/>
  <c r="D457" i="10" s="1"/>
  <c r="D6" i="12"/>
  <c r="D6" i="13" s="1"/>
  <c r="D6" i="8" s="1"/>
  <c r="D6" i="15" s="1"/>
  <c r="D6" i="14" s="1"/>
  <c r="D6" i="16" s="1"/>
  <c r="D6" i="10" s="1"/>
  <c r="D48" i="10" s="1"/>
  <c r="D84" i="10" s="1"/>
  <c r="D126" i="10" s="1"/>
  <c r="D162" i="10" s="1"/>
  <c r="D204" i="10" s="1"/>
  <c r="D240" i="10" s="1"/>
  <c r="D276" i="10" s="1"/>
  <c r="D312" i="10" s="1"/>
  <c r="D348" i="10" s="1"/>
  <c r="D384" i="10" s="1"/>
  <c r="D420" i="10" s="1"/>
  <c r="D456" i="10" s="1"/>
  <c r="D5" i="12"/>
  <c r="D5" i="13" s="1"/>
  <c r="D5" i="8" s="1"/>
  <c r="D5" i="15" s="1"/>
  <c r="D5" i="14" s="1"/>
  <c r="D5" i="16" s="1"/>
  <c r="D5" i="10" s="1"/>
  <c r="D47" i="10" s="1"/>
  <c r="D83" i="10" s="1"/>
  <c r="D4" i="12"/>
  <c r="D4" i="13" s="1"/>
  <c r="D4" i="8" s="1"/>
  <c r="D4" i="15" s="1"/>
  <c r="D4" i="14" s="1"/>
  <c r="D4" i="16" s="1"/>
  <c r="D4" i="10" s="1"/>
  <c r="D46" i="10" s="1"/>
  <c r="D82" i="10" s="1"/>
  <c r="M121" i="18" l="1"/>
  <c r="N121" i="18" s="1"/>
  <c r="B191" i="18"/>
  <c r="I156" i="18"/>
  <c r="M306" i="18"/>
  <c r="N306" i="18" s="1"/>
  <c r="M117" i="18"/>
  <c r="N117" i="18" s="1"/>
  <c r="M119" i="18"/>
  <c r="N119" i="18" s="1"/>
  <c r="B380" i="18"/>
  <c r="I343" i="18"/>
  <c r="N87" i="18"/>
  <c r="M118" i="18"/>
  <c r="N118" i="18" s="1"/>
  <c r="M120" i="18"/>
  <c r="N120" i="18" s="1"/>
  <c r="M87" i="18"/>
  <c r="M52" i="18"/>
  <c r="B188" i="18"/>
  <c r="I188" i="18" s="1"/>
  <c r="I153" i="18"/>
  <c r="B190" i="18"/>
  <c r="I155" i="18"/>
  <c r="M342" i="18"/>
  <c r="N342" i="18" s="1"/>
  <c r="B189" i="18"/>
  <c r="I189" i="18" s="1"/>
  <c r="I154" i="18"/>
  <c r="N46" i="18"/>
  <c r="N52" i="18" s="1"/>
  <c r="M116" i="18"/>
  <c r="N116" i="18" s="1"/>
  <c r="I122" i="18"/>
  <c r="I152" i="18"/>
  <c r="B187" i="18"/>
  <c r="B416" i="18"/>
  <c r="I416" i="18" s="1"/>
  <c r="I379" i="18"/>
  <c r="B186" i="18"/>
  <c r="I151" i="18"/>
  <c r="I174" i="10"/>
  <c r="M152" i="18" l="1"/>
  <c r="N152" i="18" s="1"/>
  <c r="M155" i="18"/>
  <c r="N155" i="18" s="1"/>
  <c r="N122" i="18"/>
  <c r="M153" i="18"/>
  <c r="N153" i="18" s="1"/>
  <c r="B221" i="18"/>
  <c r="I186" i="18"/>
  <c r="M188" i="18"/>
  <c r="N188" i="18" s="1"/>
  <c r="M343" i="18"/>
  <c r="N343" i="18" s="1"/>
  <c r="M156" i="18"/>
  <c r="N156" i="18" s="1"/>
  <c r="M122" i="18"/>
  <c r="M379" i="18"/>
  <c r="N379" i="18" s="1"/>
  <c r="M154" i="18"/>
  <c r="N154" i="18" s="1"/>
  <c r="B417" i="18"/>
  <c r="I417" i="18" s="1"/>
  <c r="I380" i="18"/>
  <c r="B226" i="18"/>
  <c r="I191" i="18"/>
  <c r="I190" i="18"/>
  <c r="B225" i="18"/>
  <c r="I157" i="18"/>
  <c r="M151" i="18"/>
  <c r="M189" i="18"/>
  <c r="N189" i="18" s="1"/>
  <c r="M416" i="18"/>
  <c r="N416" i="18" s="1"/>
  <c r="I187" i="18"/>
  <c r="J25" i="16"/>
  <c r="J24" i="16"/>
  <c r="I13" i="16"/>
  <c r="I12" i="16"/>
  <c r="I11" i="16"/>
  <c r="I10" i="16"/>
  <c r="J379" i="15"/>
  <c r="A363" i="15"/>
  <c r="J345" i="15"/>
  <c r="A329" i="15"/>
  <c r="J311" i="15"/>
  <c r="F304" i="15"/>
  <c r="A295" i="15"/>
  <c r="J277" i="15"/>
  <c r="F271" i="15"/>
  <c r="A261" i="15"/>
  <c r="A227" i="15"/>
  <c r="J217" i="15"/>
  <c r="J251" i="15" s="1"/>
  <c r="J285" i="15" s="1"/>
  <c r="J319" i="15" s="1"/>
  <c r="J353" i="15" s="1"/>
  <c r="J387" i="15" s="1"/>
  <c r="J216" i="15"/>
  <c r="J250" i="15" s="1"/>
  <c r="J284" i="15" s="1"/>
  <c r="J318" i="15" s="1"/>
  <c r="J352" i="15" s="1"/>
  <c r="J386" i="15" s="1"/>
  <c r="A193" i="15"/>
  <c r="A161" i="15"/>
  <c r="A129" i="15"/>
  <c r="A97" i="15"/>
  <c r="A65" i="15"/>
  <c r="J57" i="15"/>
  <c r="J89" i="15" s="1"/>
  <c r="J121" i="15" s="1"/>
  <c r="J153" i="15" s="1"/>
  <c r="J185" i="15" s="1"/>
  <c r="C57" i="15"/>
  <c r="C89" i="15" s="1"/>
  <c r="J56" i="15"/>
  <c r="J88" i="15" s="1"/>
  <c r="J120" i="15" s="1"/>
  <c r="J152" i="15" s="1"/>
  <c r="J184" i="15" s="1"/>
  <c r="C56" i="15"/>
  <c r="C88" i="15" s="1"/>
  <c r="H45" i="15"/>
  <c r="H77" i="15" s="1"/>
  <c r="H109" i="15" s="1"/>
  <c r="H141" i="15" s="1"/>
  <c r="H173" i="15" s="1"/>
  <c r="H205" i="15" s="1"/>
  <c r="H239" i="15" s="1"/>
  <c r="H273" i="15" s="1"/>
  <c r="H307" i="15" s="1"/>
  <c r="H341" i="15" s="1"/>
  <c r="H375" i="15" s="1"/>
  <c r="G45" i="15"/>
  <c r="G77" i="15" s="1"/>
  <c r="G109" i="15" s="1"/>
  <c r="G141" i="15" s="1"/>
  <c r="G173" i="15" s="1"/>
  <c r="G205" i="15" s="1"/>
  <c r="G239" i="15" s="1"/>
  <c r="G273" i="15" s="1"/>
  <c r="G307" i="15" s="1"/>
  <c r="G341" i="15" s="1"/>
  <c r="G375" i="15" s="1"/>
  <c r="F45" i="15"/>
  <c r="E45" i="15"/>
  <c r="E77" i="15" s="1"/>
  <c r="E109" i="15" s="1"/>
  <c r="E141" i="15" s="1"/>
  <c r="E173" i="15" s="1"/>
  <c r="E205" i="15" s="1"/>
  <c r="E239" i="15" s="1"/>
  <c r="E273" i="15" s="1"/>
  <c r="E307" i="15" s="1"/>
  <c r="E341" i="15" s="1"/>
  <c r="E375" i="15" s="1"/>
  <c r="D45" i="15"/>
  <c r="D77" i="15" s="1"/>
  <c r="D109" i="15" s="1"/>
  <c r="D141" i="15" s="1"/>
  <c r="D173" i="15" s="1"/>
  <c r="D205" i="15" s="1"/>
  <c r="D239" i="15" s="1"/>
  <c r="D273" i="15" s="1"/>
  <c r="D307" i="15" s="1"/>
  <c r="D341" i="15" s="1"/>
  <c r="D375" i="15" s="1"/>
  <c r="B45" i="15"/>
  <c r="B77" i="15" s="1"/>
  <c r="B109" i="15" s="1"/>
  <c r="B141" i="15" s="1"/>
  <c r="B173" i="15" s="1"/>
  <c r="B205" i="15" s="1"/>
  <c r="B239" i="15" s="1"/>
  <c r="B273" i="15" s="1"/>
  <c r="B307" i="15" s="1"/>
  <c r="B341" i="15" s="1"/>
  <c r="B375" i="15" s="1"/>
  <c r="H44" i="15"/>
  <c r="H76" i="15" s="1"/>
  <c r="H108" i="15" s="1"/>
  <c r="H140" i="15" s="1"/>
  <c r="H172" i="15" s="1"/>
  <c r="H204" i="15" s="1"/>
  <c r="H238" i="15" s="1"/>
  <c r="H272" i="15" s="1"/>
  <c r="H306" i="15" s="1"/>
  <c r="H340" i="15" s="1"/>
  <c r="H374" i="15" s="1"/>
  <c r="G44" i="15"/>
  <c r="G76" i="15" s="1"/>
  <c r="G108" i="15" s="1"/>
  <c r="G140" i="15" s="1"/>
  <c r="G172" i="15" s="1"/>
  <c r="G204" i="15" s="1"/>
  <c r="G238" i="15" s="1"/>
  <c r="G272" i="15" s="1"/>
  <c r="G306" i="15" s="1"/>
  <c r="G340" i="15" s="1"/>
  <c r="G374" i="15" s="1"/>
  <c r="F44" i="15"/>
  <c r="F76" i="15" s="1"/>
  <c r="E44" i="15"/>
  <c r="E76" i="15" s="1"/>
  <c r="E108" i="15" s="1"/>
  <c r="E140" i="15" s="1"/>
  <c r="E172" i="15" s="1"/>
  <c r="E204" i="15" s="1"/>
  <c r="E238" i="15" s="1"/>
  <c r="E272" i="15" s="1"/>
  <c r="E306" i="15" s="1"/>
  <c r="E340" i="15" s="1"/>
  <c r="E374" i="15" s="1"/>
  <c r="D44" i="15"/>
  <c r="D76" i="15" s="1"/>
  <c r="D108" i="15" s="1"/>
  <c r="D140" i="15" s="1"/>
  <c r="D172" i="15" s="1"/>
  <c r="D204" i="15" s="1"/>
  <c r="D238" i="15" s="1"/>
  <c r="D272" i="15" s="1"/>
  <c r="D306" i="15" s="1"/>
  <c r="D340" i="15" s="1"/>
  <c r="D374" i="15" s="1"/>
  <c r="B44" i="15"/>
  <c r="B76" i="15" s="1"/>
  <c r="B108" i="15" s="1"/>
  <c r="B140" i="15" s="1"/>
  <c r="B172" i="15" s="1"/>
  <c r="B204" i="15" s="1"/>
  <c r="B238" i="15" s="1"/>
  <c r="B272" i="15" s="1"/>
  <c r="B306" i="15" s="1"/>
  <c r="B340" i="15" s="1"/>
  <c r="B374" i="15" s="1"/>
  <c r="H43" i="15"/>
  <c r="H75" i="15" s="1"/>
  <c r="H107" i="15" s="1"/>
  <c r="H139" i="15" s="1"/>
  <c r="H171" i="15" s="1"/>
  <c r="H203" i="15" s="1"/>
  <c r="H237" i="15" s="1"/>
  <c r="G43" i="15"/>
  <c r="G75" i="15" s="1"/>
  <c r="G107" i="15" s="1"/>
  <c r="G139" i="15" s="1"/>
  <c r="G171" i="15" s="1"/>
  <c r="G203" i="15" s="1"/>
  <c r="G237" i="15" s="1"/>
  <c r="G271" i="15" s="1"/>
  <c r="G305" i="15" s="1"/>
  <c r="G339" i="15" s="1"/>
  <c r="G373" i="15" s="1"/>
  <c r="F43" i="15"/>
  <c r="E43" i="15"/>
  <c r="E75" i="15" s="1"/>
  <c r="E107" i="15" s="1"/>
  <c r="E139" i="15" s="1"/>
  <c r="E171" i="15" s="1"/>
  <c r="E203" i="15" s="1"/>
  <c r="E237" i="15" s="1"/>
  <c r="E271" i="15" s="1"/>
  <c r="E305" i="15" s="1"/>
  <c r="E339" i="15" s="1"/>
  <c r="E373" i="15" s="1"/>
  <c r="D43" i="15"/>
  <c r="D75" i="15" s="1"/>
  <c r="D107" i="15" s="1"/>
  <c r="D139" i="15" s="1"/>
  <c r="D171" i="15" s="1"/>
  <c r="D203" i="15" s="1"/>
  <c r="D237" i="15" s="1"/>
  <c r="D271" i="15" s="1"/>
  <c r="D305" i="15" s="1"/>
  <c r="D339" i="15" s="1"/>
  <c r="D373" i="15" s="1"/>
  <c r="B43" i="15"/>
  <c r="B75" i="15" s="1"/>
  <c r="B107" i="15" s="1"/>
  <c r="B139" i="15" s="1"/>
  <c r="B171" i="15" s="1"/>
  <c r="B203" i="15" s="1"/>
  <c r="B237" i="15" s="1"/>
  <c r="B271" i="15" s="1"/>
  <c r="B305" i="15" s="1"/>
  <c r="B339" i="15" s="1"/>
  <c r="B373" i="15" s="1"/>
  <c r="H42" i="15"/>
  <c r="G42" i="15"/>
  <c r="G74" i="15" s="1"/>
  <c r="G106" i="15" s="1"/>
  <c r="G138" i="15" s="1"/>
  <c r="G170" i="15" s="1"/>
  <c r="G202" i="15" s="1"/>
  <c r="G236" i="15" s="1"/>
  <c r="G270" i="15" s="1"/>
  <c r="G304" i="15" s="1"/>
  <c r="G338" i="15" s="1"/>
  <c r="G372" i="15" s="1"/>
  <c r="E42" i="15"/>
  <c r="E74" i="15" s="1"/>
  <c r="E106" i="15" s="1"/>
  <c r="E138" i="15" s="1"/>
  <c r="E170" i="15" s="1"/>
  <c r="D42" i="15"/>
  <c r="D74" i="15" s="1"/>
  <c r="D106" i="15" s="1"/>
  <c r="D138" i="15" s="1"/>
  <c r="D170" i="15" s="1"/>
  <c r="D202" i="15" s="1"/>
  <c r="D270" i="15" s="1"/>
  <c r="D304" i="15" s="1"/>
  <c r="D338" i="15" s="1"/>
  <c r="D372" i="15" s="1"/>
  <c r="B42" i="15"/>
  <c r="B74" i="15" s="1"/>
  <c r="B106" i="15" s="1"/>
  <c r="B138" i="15" s="1"/>
  <c r="B170" i="15" s="1"/>
  <c r="J39" i="15"/>
  <c r="J71" i="15" s="1"/>
  <c r="J103" i="15" s="1"/>
  <c r="J135" i="15" s="1"/>
  <c r="J167" i="15" s="1"/>
  <c r="J199" i="15" s="1"/>
  <c r="J233" i="15" s="1"/>
  <c r="J267" i="15" s="1"/>
  <c r="J301" i="15" s="1"/>
  <c r="J335" i="15" s="1"/>
  <c r="J369" i="15" s="1"/>
  <c r="D39" i="15"/>
  <c r="D71" i="15" s="1"/>
  <c r="D103" i="15" s="1"/>
  <c r="D135" i="15" s="1"/>
  <c r="D167" i="15" s="1"/>
  <c r="D199" i="15" s="1"/>
  <c r="D233" i="15" s="1"/>
  <c r="D267" i="15" s="1"/>
  <c r="D301" i="15" s="1"/>
  <c r="D335" i="15" s="1"/>
  <c r="D369" i="15" s="1"/>
  <c r="J38" i="15"/>
  <c r="J70" i="15" s="1"/>
  <c r="J102" i="15" s="1"/>
  <c r="J134" i="15" s="1"/>
  <c r="J166" i="15" s="1"/>
  <c r="J198" i="15" s="1"/>
  <c r="J232" i="15" s="1"/>
  <c r="J266" i="15" s="1"/>
  <c r="J300" i="15" s="1"/>
  <c r="J334" i="15" s="1"/>
  <c r="J368" i="15" s="1"/>
  <c r="D38" i="15"/>
  <c r="D70" i="15" s="1"/>
  <c r="D102" i="15" s="1"/>
  <c r="D134" i="15" s="1"/>
  <c r="D166" i="15" s="1"/>
  <c r="D198" i="15" s="1"/>
  <c r="D232" i="15" s="1"/>
  <c r="D266" i="15" s="1"/>
  <c r="D300" i="15" s="1"/>
  <c r="D334" i="15" s="1"/>
  <c r="D368" i="15" s="1"/>
  <c r="J37" i="15"/>
  <c r="J69" i="15" s="1"/>
  <c r="J101" i="15" s="1"/>
  <c r="J133" i="15" s="1"/>
  <c r="J165" i="15" s="1"/>
  <c r="J197" i="15" s="1"/>
  <c r="J231" i="15" s="1"/>
  <c r="J265" i="15" s="1"/>
  <c r="J299" i="15" s="1"/>
  <c r="J333" i="15" s="1"/>
  <c r="J367" i="15" s="1"/>
  <c r="D37" i="15"/>
  <c r="D69" i="15" s="1"/>
  <c r="D101" i="15" s="1"/>
  <c r="D133" i="15" s="1"/>
  <c r="D165" i="15" s="1"/>
  <c r="D197" i="15" s="1"/>
  <c r="D231" i="15" s="1"/>
  <c r="D265" i="15" s="1"/>
  <c r="D299" i="15" s="1"/>
  <c r="D333" i="15" s="1"/>
  <c r="D367" i="15" s="1"/>
  <c r="J36" i="15"/>
  <c r="J68" i="15" s="1"/>
  <c r="J100" i="15" s="1"/>
  <c r="J132" i="15" s="1"/>
  <c r="J164" i="15" s="1"/>
  <c r="J196" i="15" s="1"/>
  <c r="J230" i="15" s="1"/>
  <c r="J264" i="15" s="1"/>
  <c r="J298" i="15" s="1"/>
  <c r="J332" i="15" s="1"/>
  <c r="J366" i="15" s="1"/>
  <c r="A33" i="15"/>
  <c r="I13" i="15"/>
  <c r="I12" i="15"/>
  <c r="I11" i="15"/>
  <c r="I10" i="15"/>
  <c r="J382" i="14"/>
  <c r="A366" i="14"/>
  <c r="A332" i="14"/>
  <c r="A298" i="14"/>
  <c r="F274" i="14"/>
  <c r="A264" i="14"/>
  <c r="A230" i="14"/>
  <c r="J220" i="14"/>
  <c r="J254" i="14" s="1"/>
  <c r="J288" i="14" s="1"/>
  <c r="J322" i="14" s="1"/>
  <c r="J356" i="14" s="1"/>
  <c r="J390" i="14" s="1"/>
  <c r="J219" i="14"/>
  <c r="J253" i="14" s="1"/>
  <c r="J287" i="14" s="1"/>
  <c r="J321" i="14" s="1"/>
  <c r="J355" i="14" s="1"/>
  <c r="J389" i="14" s="1"/>
  <c r="J212" i="14"/>
  <c r="A196" i="14"/>
  <c r="A162" i="14"/>
  <c r="J146" i="14"/>
  <c r="A130" i="14"/>
  <c r="J114" i="14"/>
  <c r="A98" i="14"/>
  <c r="J81" i="14"/>
  <c r="J99" i="10" s="1"/>
  <c r="A65" i="14"/>
  <c r="J57" i="14"/>
  <c r="J89" i="14" s="1"/>
  <c r="J122" i="14" s="1"/>
  <c r="J154" i="14" s="1"/>
  <c r="J186" i="14" s="1"/>
  <c r="C57" i="14"/>
  <c r="C89" i="14" s="1"/>
  <c r="J56" i="14"/>
  <c r="J88" i="14" s="1"/>
  <c r="J121" i="14" s="1"/>
  <c r="J153" i="14" s="1"/>
  <c r="J185" i="14" s="1"/>
  <c r="C56" i="14"/>
  <c r="C88" i="14" s="1"/>
  <c r="H45" i="14"/>
  <c r="H77" i="14" s="1"/>
  <c r="H110" i="14" s="1"/>
  <c r="H142" i="14" s="1"/>
  <c r="H174" i="14" s="1"/>
  <c r="H208" i="14" s="1"/>
  <c r="H242" i="14" s="1"/>
  <c r="H276" i="14" s="1"/>
  <c r="H310" i="14" s="1"/>
  <c r="H344" i="14" s="1"/>
  <c r="H378" i="14" s="1"/>
  <c r="G45" i="14"/>
  <c r="G77" i="14" s="1"/>
  <c r="G110" i="14" s="1"/>
  <c r="G142" i="14" s="1"/>
  <c r="G174" i="14" s="1"/>
  <c r="G208" i="14" s="1"/>
  <c r="G242" i="14" s="1"/>
  <c r="G276" i="14" s="1"/>
  <c r="G310" i="14" s="1"/>
  <c r="G344" i="14" s="1"/>
  <c r="G378" i="14" s="1"/>
  <c r="F45" i="14"/>
  <c r="E45" i="14"/>
  <c r="E77" i="14" s="1"/>
  <c r="E110" i="14" s="1"/>
  <c r="E142" i="14" s="1"/>
  <c r="E174" i="14" s="1"/>
  <c r="E208" i="14" s="1"/>
  <c r="E242" i="14" s="1"/>
  <c r="E276" i="14" s="1"/>
  <c r="E310" i="14" s="1"/>
  <c r="E344" i="14" s="1"/>
  <c r="E378" i="14" s="1"/>
  <c r="D45" i="14"/>
  <c r="D77" i="14" s="1"/>
  <c r="D110" i="14" s="1"/>
  <c r="D142" i="14" s="1"/>
  <c r="D174" i="14" s="1"/>
  <c r="D208" i="14" s="1"/>
  <c r="D242" i="14" s="1"/>
  <c r="D276" i="14" s="1"/>
  <c r="D310" i="14" s="1"/>
  <c r="D344" i="14" s="1"/>
  <c r="D378" i="14" s="1"/>
  <c r="B45" i="14"/>
  <c r="B77" i="14" s="1"/>
  <c r="B110" i="14" s="1"/>
  <c r="B142" i="14" s="1"/>
  <c r="B174" i="14" s="1"/>
  <c r="B208" i="14" s="1"/>
  <c r="B242" i="14" s="1"/>
  <c r="B276" i="14" s="1"/>
  <c r="B310" i="14" s="1"/>
  <c r="B344" i="14" s="1"/>
  <c r="B378" i="14" s="1"/>
  <c r="H44" i="14"/>
  <c r="H76" i="14" s="1"/>
  <c r="H109" i="14" s="1"/>
  <c r="H141" i="14" s="1"/>
  <c r="H173" i="14" s="1"/>
  <c r="H207" i="14" s="1"/>
  <c r="H241" i="14" s="1"/>
  <c r="H275" i="14" s="1"/>
  <c r="H309" i="14" s="1"/>
  <c r="H343" i="14" s="1"/>
  <c r="H377" i="14" s="1"/>
  <c r="G44" i="14"/>
  <c r="G76" i="14" s="1"/>
  <c r="G109" i="14" s="1"/>
  <c r="G141" i="14" s="1"/>
  <c r="G173" i="14" s="1"/>
  <c r="G207" i="14" s="1"/>
  <c r="G241" i="14" s="1"/>
  <c r="G275" i="14" s="1"/>
  <c r="G309" i="14" s="1"/>
  <c r="G343" i="14" s="1"/>
  <c r="G377" i="14" s="1"/>
  <c r="F44" i="14"/>
  <c r="F76" i="14" s="1"/>
  <c r="E44" i="14"/>
  <c r="E76" i="14" s="1"/>
  <c r="E109" i="14" s="1"/>
  <c r="E141" i="14" s="1"/>
  <c r="E173" i="14" s="1"/>
  <c r="E207" i="14" s="1"/>
  <c r="E241" i="14" s="1"/>
  <c r="E275" i="14" s="1"/>
  <c r="E309" i="14" s="1"/>
  <c r="E343" i="14" s="1"/>
  <c r="E377" i="14" s="1"/>
  <c r="D44" i="14"/>
  <c r="D76" i="14" s="1"/>
  <c r="D109" i="14" s="1"/>
  <c r="D141" i="14" s="1"/>
  <c r="D173" i="14" s="1"/>
  <c r="D207" i="14" s="1"/>
  <c r="D241" i="14" s="1"/>
  <c r="D275" i="14" s="1"/>
  <c r="D309" i="14" s="1"/>
  <c r="D343" i="14" s="1"/>
  <c r="D377" i="14" s="1"/>
  <c r="B44" i="14"/>
  <c r="B76" i="14" s="1"/>
  <c r="B109" i="14" s="1"/>
  <c r="B141" i="14" s="1"/>
  <c r="B173" i="14" s="1"/>
  <c r="B207" i="14" s="1"/>
  <c r="B241" i="14" s="1"/>
  <c r="B275" i="14" s="1"/>
  <c r="B309" i="14" s="1"/>
  <c r="B343" i="14" s="1"/>
  <c r="B377" i="14" s="1"/>
  <c r="H43" i="14"/>
  <c r="H75" i="14" s="1"/>
  <c r="H108" i="14" s="1"/>
  <c r="H140" i="14" s="1"/>
  <c r="H172" i="14" s="1"/>
  <c r="H206" i="14" s="1"/>
  <c r="H240" i="14" s="1"/>
  <c r="G43" i="14"/>
  <c r="G75" i="14" s="1"/>
  <c r="G108" i="14" s="1"/>
  <c r="G140" i="14" s="1"/>
  <c r="G172" i="14" s="1"/>
  <c r="G206" i="14" s="1"/>
  <c r="G240" i="14" s="1"/>
  <c r="G274" i="14" s="1"/>
  <c r="G308" i="14" s="1"/>
  <c r="G342" i="14" s="1"/>
  <c r="G376" i="14" s="1"/>
  <c r="F43" i="14"/>
  <c r="E43" i="14"/>
  <c r="E75" i="14" s="1"/>
  <c r="E108" i="14" s="1"/>
  <c r="E140" i="14" s="1"/>
  <c r="E172" i="14" s="1"/>
  <c r="E206" i="14" s="1"/>
  <c r="E240" i="14" s="1"/>
  <c r="E274" i="14" s="1"/>
  <c r="E308" i="14" s="1"/>
  <c r="E342" i="14" s="1"/>
  <c r="E376" i="14" s="1"/>
  <c r="D43" i="14"/>
  <c r="D75" i="14" s="1"/>
  <c r="D108" i="14" s="1"/>
  <c r="D140" i="14" s="1"/>
  <c r="D172" i="14" s="1"/>
  <c r="D206" i="14" s="1"/>
  <c r="D240" i="14" s="1"/>
  <c r="D274" i="14" s="1"/>
  <c r="D308" i="14" s="1"/>
  <c r="D342" i="14" s="1"/>
  <c r="D376" i="14" s="1"/>
  <c r="B43" i="14"/>
  <c r="B75" i="14" s="1"/>
  <c r="B108" i="14" s="1"/>
  <c r="B140" i="14" s="1"/>
  <c r="B172" i="14" s="1"/>
  <c r="B206" i="14" s="1"/>
  <c r="B240" i="14" s="1"/>
  <c r="B274" i="14" s="1"/>
  <c r="B308" i="14" s="1"/>
  <c r="B342" i="14" s="1"/>
  <c r="B376" i="14" s="1"/>
  <c r="H74" i="14"/>
  <c r="H107" i="14" s="1"/>
  <c r="H139" i="14" s="1"/>
  <c r="H171" i="14" s="1"/>
  <c r="H205" i="14" s="1"/>
  <c r="H239" i="14" s="1"/>
  <c r="G42" i="14"/>
  <c r="G74" i="14" s="1"/>
  <c r="G107" i="14" s="1"/>
  <c r="G139" i="14" s="1"/>
  <c r="G171" i="14" s="1"/>
  <c r="G205" i="14" s="1"/>
  <c r="G239" i="14" s="1"/>
  <c r="G273" i="14" s="1"/>
  <c r="G307" i="14" s="1"/>
  <c r="G341" i="14" s="1"/>
  <c r="G375" i="14" s="1"/>
  <c r="E42" i="14"/>
  <c r="E74" i="14" s="1"/>
  <c r="E107" i="14" s="1"/>
  <c r="E139" i="14" s="1"/>
  <c r="E171" i="14" s="1"/>
  <c r="D42" i="14"/>
  <c r="D74" i="14" s="1"/>
  <c r="D107" i="14" s="1"/>
  <c r="D139" i="14" s="1"/>
  <c r="D171" i="14" s="1"/>
  <c r="D205" i="14" s="1"/>
  <c r="D239" i="14" s="1"/>
  <c r="D273" i="14" s="1"/>
  <c r="D307" i="14" s="1"/>
  <c r="D341" i="14" s="1"/>
  <c r="D375" i="14" s="1"/>
  <c r="B42" i="14"/>
  <c r="B74" i="14" s="1"/>
  <c r="B107" i="14" s="1"/>
  <c r="B139" i="14" s="1"/>
  <c r="B171" i="14" s="1"/>
  <c r="B205" i="14" s="1"/>
  <c r="B239" i="14" s="1"/>
  <c r="B273" i="14" s="1"/>
  <c r="J39" i="14"/>
  <c r="J71" i="14" s="1"/>
  <c r="J104" i="14" s="1"/>
  <c r="J136" i="14" s="1"/>
  <c r="J168" i="14" s="1"/>
  <c r="J202" i="14" s="1"/>
  <c r="J236" i="14" s="1"/>
  <c r="J270" i="14" s="1"/>
  <c r="J304" i="14" s="1"/>
  <c r="J338" i="14" s="1"/>
  <c r="J372" i="14" s="1"/>
  <c r="D39" i="14"/>
  <c r="D71" i="14" s="1"/>
  <c r="D104" i="14" s="1"/>
  <c r="D136" i="14" s="1"/>
  <c r="D168" i="14" s="1"/>
  <c r="D202" i="14" s="1"/>
  <c r="D236" i="14" s="1"/>
  <c r="D270" i="14" s="1"/>
  <c r="D304" i="14" s="1"/>
  <c r="D338" i="14" s="1"/>
  <c r="D372" i="14" s="1"/>
  <c r="J38" i="14"/>
  <c r="J70" i="14" s="1"/>
  <c r="J103" i="14" s="1"/>
  <c r="J135" i="14" s="1"/>
  <c r="J167" i="14" s="1"/>
  <c r="J201" i="14" s="1"/>
  <c r="J235" i="14" s="1"/>
  <c r="J269" i="14" s="1"/>
  <c r="J303" i="14" s="1"/>
  <c r="J337" i="14" s="1"/>
  <c r="J371" i="14" s="1"/>
  <c r="D38" i="14"/>
  <c r="D70" i="14" s="1"/>
  <c r="D103" i="14" s="1"/>
  <c r="D135" i="14" s="1"/>
  <c r="D167" i="14" s="1"/>
  <c r="D201" i="14" s="1"/>
  <c r="D235" i="14" s="1"/>
  <c r="D269" i="14" s="1"/>
  <c r="D303" i="14" s="1"/>
  <c r="D337" i="14" s="1"/>
  <c r="D371" i="14" s="1"/>
  <c r="J37" i="14"/>
  <c r="J69" i="14" s="1"/>
  <c r="J102" i="14" s="1"/>
  <c r="J134" i="14" s="1"/>
  <c r="J166" i="14" s="1"/>
  <c r="J200" i="14" s="1"/>
  <c r="J234" i="14" s="1"/>
  <c r="J268" i="14" s="1"/>
  <c r="J302" i="14" s="1"/>
  <c r="J336" i="14" s="1"/>
  <c r="J370" i="14" s="1"/>
  <c r="D37" i="14"/>
  <c r="D69" i="14" s="1"/>
  <c r="D102" i="14" s="1"/>
  <c r="D134" i="14" s="1"/>
  <c r="D166" i="14" s="1"/>
  <c r="D200" i="14" s="1"/>
  <c r="D234" i="14" s="1"/>
  <c r="D268" i="14" s="1"/>
  <c r="D302" i="14" s="1"/>
  <c r="D336" i="14" s="1"/>
  <c r="D370" i="14" s="1"/>
  <c r="J36" i="14"/>
  <c r="J68" i="14" s="1"/>
  <c r="J101" i="14" s="1"/>
  <c r="J133" i="14" s="1"/>
  <c r="J165" i="14" s="1"/>
  <c r="J199" i="14" s="1"/>
  <c r="J233" i="14" s="1"/>
  <c r="J267" i="14" s="1"/>
  <c r="J301" i="14" s="1"/>
  <c r="J335" i="14" s="1"/>
  <c r="J369" i="14" s="1"/>
  <c r="A33" i="14"/>
  <c r="J17" i="14"/>
  <c r="J21" i="10" s="1"/>
  <c r="I13" i="14"/>
  <c r="I12" i="14"/>
  <c r="I11" i="14"/>
  <c r="I10" i="14"/>
  <c r="J380" i="8"/>
  <c r="J346" i="8"/>
  <c r="J312" i="8"/>
  <c r="J278" i="8"/>
  <c r="A364" i="8"/>
  <c r="A330" i="8"/>
  <c r="A296" i="8"/>
  <c r="A262" i="8"/>
  <c r="A228" i="8"/>
  <c r="J218" i="8"/>
  <c r="J252" i="8" s="1"/>
  <c r="J286" i="8" s="1"/>
  <c r="J320" i="8" s="1"/>
  <c r="J354" i="8" s="1"/>
  <c r="J388" i="8" s="1"/>
  <c r="J217" i="8"/>
  <c r="J251" i="8" s="1"/>
  <c r="J285" i="8" s="1"/>
  <c r="J319" i="8" s="1"/>
  <c r="J353" i="8" s="1"/>
  <c r="J387" i="8" s="1"/>
  <c r="A194" i="8"/>
  <c r="A162" i="8"/>
  <c r="A130" i="8"/>
  <c r="A99" i="8"/>
  <c r="A65" i="8"/>
  <c r="H43" i="8"/>
  <c r="H75" i="8" s="1"/>
  <c r="H109" i="8" s="1"/>
  <c r="H140" i="8" s="1"/>
  <c r="H172" i="8" s="1"/>
  <c r="H204" i="8" s="1"/>
  <c r="H238" i="8" s="1"/>
  <c r="H272" i="8" s="1"/>
  <c r="H306" i="8" s="1"/>
  <c r="H340" i="8" s="1"/>
  <c r="H374" i="8" s="1"/>
  <c r="H44" i="8"/>
  <c r="H76" i="8" s="1"/>
  <c r="H110" i="8" s="1"/>
  <c r="H141" i="8" s="1"/>
  <c r="H173" i="8" s="1"/>
  <c r="H205" i="8" s="1"/>
  <c r="H239" i="8" s="1"/>
  <c r="H273" i="8" s="1"/>
  <c r="H307" i="8" s="1"/>
  <c r="H341" i="8" s="1"/>
  <c r="H375" i="8" s="1"/>
  <c r="H45" i="8"/>
  <c r="H77" i="8" s="1"/>
  <c r="H42" i="8"/>
  <c r="H74" i="8" s="1"/>
  <c r="G43" i="8"/>
  <c r="G75" i="8" s="1"/>
  <c r="G109" i="8" s="1"/>
  <c r="G140" i="8" s="1"/>
  <c r="G172" i="8" s="1"/>
  <c r="G204" i="8" s="1"/>
  <c r="G238" i="8" s="1"/>
  <c r="G272" i="8" s="1"/>
  <c r="G306" i="8" s="1"/>
  <c r="G340" i="8" s="1"/>
  <c r="G374" i="8" s="1"/>
  <c r="G44" i="8"/>
  <c r="G76" i="8" s="1"/>
  <c r="G110" i="8" s="1"/>
  <c r="G141" i="8" s="1"/>
  <c r="G173" i="8" s="1"/>
  <c r="G205" i="8" s="1"/>
  <c r="G239" i="8" s="1"/>
  <c r="G273" i="8" s="1"/>
  <c r="G307" i="8" s="1"/>
  <c r="G341" i="8" s="1"/>
  <c r="G375" i="8" s="1"/>
  <c r="G45" i="8"/>
  <c r="G77" i="8" s="1"/>
  <c r="G111" i="8" s="1"/>
  <c r="G142" i="8" s="1"/>
  <c r="G174" i="8" s="1"/>
  <c r="G206" i="8" s="1"/>
  <c r="G240" i="8" s="1"/>
  <c r="G274" i="8" s="1"/>
  <c r="G308" i="8" s="1"/>
  <c r="G342" i="8" s="1"/>
  <c r="G376" i="8" s="1"/>
  <c r="G42" i="8"/>
  <c r="G74" i="8" s="1"/>
  <c r="G108" i="8" s="1"/>
  <c r="G139" i="8" s="1"/>
  <c r="G171" i="8" s="1"/>
  <c r="G203" i="8" s="1"/>
  <c r="G237" i="8" s="1"/>
  <c r="G271" i="8" s="1"/>
  <c r="G305" i="8" s="1"/>
  <c r="G339" i="8" s="1"/>
  <c r="G373" i="8" s="1"/>
  <c r="F43" i="8"/>
  <c r="F75" i="8" s="1"/>
  <c r="F109" i="8" s="1"/>
  <c r="F140" i="8" s="1"/>
  <c r="F44" i="8"/>
  <c r="I44" i="8" s="1"/>
  <c r="F45" i="8"/>
  <c r="F77" i="8" s="1"/>
  <c r="F111" i="8" s="1"/>
  <c r="F142" i="8" s="1"/>
  <c r="F174" i="8" s="1"/>
  <c r="F206" i="8" s="1"/>
  <c r="F240" i="8" s="1"/>
  <c r="F274" i="8" s="1"/>
  <c r="F308" i="8" s="1"/>
  <c r="F342" i="8" s="1"/>
  <c r="F376" i="8" s="1"/>
  <c r="F42" i="8"/>
  <c r="I42" i="8" s="1"/>
  <c r="E43" i="8"/>
  <c r="E75" i="8" s="1"/>
  <c r="E109" i="8" s="1"/>
  <c r="E140" i="8" s="1"/>
  <c r="E172" i="8" s="1"/>
  <c r="E204" i="8" s="1"/>
  <c r="E238" i="8" s="1"/>
  <c r="E272" i="8" s="1"/>
  <c r="E306" i="8" s="1"/>
  <c r="E340" i="8" s="1"/>
  <c r="E374" i="8" s="1"/>
  <c r="E44" i="8"/>
  <c r="E76" i="8" s="1"/>
  <c r="E110" i="8" s="1"/>
  <c r="E141" i="8" s="1"/>
  <c r="E173" i="8" s="1"/>
  <c r="E205" i="8" s="1"/>
  <c r="E239" i="8" s="1"/>
  <c r="E273" i="8" s="1"/>
  <c r="E307" i="8" s="1"/>
  <c r="E341" i="8" s="1"/>
  <c r="E375" i="8" s="1"/>
  <c r="E45" i="8"/>
  <c r="E77" i="8" s="1"/>
  <c r="E111" i="8" s="1"/>
  <c r="E142" i="8" s="1"/>
  <c r="E174" i="8" s="1"/>
  <c r="E206" i="8" s="1"/>
  <c r="E240" i="8" s="1"/>
  <c r="E274" i="8" s="1"/>
  <c r="E308" i="8" s="1"/>
  <c r="E342" i="8" s="1"/>
  <c r="E376" i="8" s="1"/>
  <c r="E42" i="8"/>
  <c r="E74" i="8" s="1"/>
  <c r="E108" i="8" s="1"/>
  <c r="E139" i="8" s="1"/>
  <c r="E171" i="8" s="1"/>
  <c r="D43" i="8"/>
  <c r="D75" i="8" s="1"/>
  <c r="D109" i="8" s="1"/>
  <c r="D140" i="8" s="1"/>
  <c r="D172" i="8" s="1"/>
  <c r="D204" i="8" s="1"/>
  <c r="D238" i="8" s="1"/>
  <c r="D272" i="8" s="1"/>
  <c r="D306" i="8" s="1"/>
  <c r="D340" i="8" s="1"/>
  <c r="D374" i="8" s="1"/>
  <c r="D44" i="8"/>
  <c r="D76" i="8" s="1"/>
  <c r="D110" i="8" s="1"/>
  <c r="D141" i="8" s="1"/>
  <c r="D173" i="8" s="1"/>
  <c r="D205" i="8" s="1"/>
  <c r="D239" i="8" s="1"/>
  <c r="D273" i="8" s="1"/>
  <c r="D307" i="8" s="1"/>
  <c r="D341" i="8" s="1"/>
  <c r="D375" i="8" s="1"/>
  <c r="D45" i="8"/>
  <c r="D77" i="8" s="1"/>
  <c r="D111" i="8" s="1"/>
  <c r="D142" i="8" s="1"/>
  <c r="D174" i="8" s="1"/>
  <c r="D206" i="8" s="1"/>
  <c r="D240" i="8" s="1"/>
  <c r="D274" i="8" s="1"/>
  <c r="D308" i="8" s="1"/>
  <c r="D342" i="8" s="1"/>
  <c r="D376" i="8" s="1"/>
  <c r="D42" i="8"/>
  <c r="D74" i="8" s="1"/>
  <c r="D108" i="8" s="1"/>
  <c r="D139" i="8" s="1"/>
  <c r="D171" i="8" s="1"/>
  <c r="D203" i="8" s="1"/>
  <c r="D237" i="8" s="1"/>
  <c r="D271" i="8" s="1"/>
  <c r="D305" i="8" s="1"/>
  <c r="D339" i="8" s="1"/>
  <c r="D373" i="8" s="1"/>
  <c r="B43" i="8"/>
  <c r="B75" i="8" s="1"/>
  <c r="B109" i="8" s="1"/>
  <c r="B140" i="8" s="1"/>
  <c r="B172" i="8" s="1"/>
  <c r="B204" i="8" s="1"/>
  <c r="B238" i="8" s="1"/>
  <c r="B272" i="8" s="1"/>
  <c r="B306" i="8" s="1"/>
  <c r="B340" i="8" s="1"/>
  <c r="B374" i="8" s="1"/>
  <c r="B44" i="8"/>
  <c r="B76" i="8" s="1"/>
  <c r="B110" i="8" s="1"/>
  <c r="B141" i="8" s="1"/>
  <c r="B173" i="8" s="1"/>
  <c r="B205" i="8" s="1"/>
  <c r="B239" i="8" s="1"/>
  <c r="B273" i="8" s="1"/>
  <c r="B307" i="8" s="1"/>
  <c r="B341" i="8" s="1"/>
  <c r="B375" i="8" s="1"/>
  <c r="B45" i="8"/>
  <c r="B77" i="8" s="1"/>
  <c r="B111" i="8" s="1"/>
  <c r="B142" i="8" s="1"/>
  <c r="B174" i="8" s="1"/>
  <c r="B206" i="8" s="1"/>
  <c r="B240" i="8" s="1"/>
  <c r="B274" i="8" s="1"/>
  <c r="B308" i="8" s="1"/>
  <c r="B342" i="8" s="1"/>
  <c r="B376" i="8" s="1"/>
  <c r="B42" i="8"/>
  <c r="B74" i="8" s="1"/>
  <c r="B108" i="8" s="1"/>
  <c r="B139" i="8" s="1"/>
  <c r="B171" i="8" s="1"/>
  <c r="J57" i="8"/>
  <c r="J89" i="8" s="1"/>
  <c r="J123" i="8" s="1"/>
  <c r="J154" i="8" s="1"/>
  <c r="J186" i="8" s="1"/>
  <c r="J56" i="8"/>
  <c r="J88" i="8" s="1"/>
  <c r="J122" i="8" s="1"/>
  <c r="J153" i="8" s="1"/>
  <c r="J185" i="8" s="1"/>
  <c r="C57" i="8"/>
  <c r="C89" i="8" s="1"/>
  <c r="C154" i="8" s="1"/>
  <c r="C186" i="8" s="1"/>
  <c r="C218" i="8" s="1"/>
  <c r="C252" i="8" s="1"/>
  <c r="C56" i="8"/>
  <c r="C88" i="8" s="1"/>
  <c r="C153" i="8" s="1"/>
  <c r="C185" i="8" s="1"/>
  <c r="C217" i="8" s="1"/>
  <c r="C251" i="8" s="1"/>
  <c r="J39" i="8"/>
  <c r="J71" i="8" s="1"/>
  <c r="J105" i="8" s="1"/>
  <c r="J136" i="8" s="1"/>
  <c r="J168" i="8" s="1"/>
  <c r="J200" i="8" s="1"/>
  <c r="J234" i="8" s="1"/>
  <c r="J268" i="8" s="1"/>
  <c r="J302" i="8" s="1"/>
  <c r="J336" i="8" s="1"/>
  <c r="J370" i="8" s="1"/>
  <c r="J38" i="8"/>
  <c r="J70" i="8" s="1"/>
  <c r="J104" i="8" s="1"/>
  <c r="J135" i="8" s="1"/>
  <c r="J167" i="8" s="1"/>
  <c r="J199" i="8" s="1"/>
  <c r="J233" i="8" s="1"/>
  <c r="J267" i="8" s="1"/>
  <c r="J301" i="8" s="1"/>
  <c r="J335" i="8" s="1"/>
  <c r="J369" i="8" s="1"/>
  <c r="J37" i="8"/>
  <c r="J69" i="8" s="1"/>
  <c r="J103" i="8" s="1"/>
  <c r="J134" i="8" s="1"/>
  <c r="J166" i="8" s="1"/>
  <c r="J198" i="8" s="1"/>
  <c r="J232" i="8" s="1"/>
  <c r="J266" i="8" s="1"/>
  <c r="J300" i="8" s="1"/>
  <c r="J334" i="8" s="1"/>
  <c r="J368" i="8" s="1"/>
  <c r="J36" i="8"/>
  <c r="J68" i="8" s="1"/>
  <c r="J102" i="8" s="1"/>
  <c r="J133" i="8" s="1"/>
  <c r="J165" i="8" s="1"/>
  <c r="J197" i="8" s="1"/>
  <c r="J231" i="8" s="1"/>
  <c r="J265" i="8" s="1"/>
  <c r="J299" i="8" s="1"/>
  <c r="J333" i="8" s="1"/>
  <c r="J367" i="8" s="1"/>
  <c r="D39" i="8"/>
  <c r="D71" i="8" s="1"/>
  <c r="D105" i="8" s="1"/>
  <c r="D136" i="8" s="1"/>
  <c r="D168" i="8" s="1"/>
  <c r="D200" i="8" s="1"/>
  <c r="D234" i="8" s="1"/>
  <c r="D268" i="8" s="1"/>
  <c r="D302" i="8" s="1"/>
  <c r="D336" i="8" s="1"/>
  <c r="D370" i="8" s="1"/>
  <c r="D38" i="8"/>
  <c r="D70" i="8" s="1"/>
  <c r="D104" i="8" s="1"/>
  <c r="D135" i="8" s="1"/>
  <c r="D167" i="8" s="1"/>
  <c r="D199" i="8" s="1"/>
  <c r="D233" i="8" s="1"/>
  <c r="D267" i="8" s="1"/>
  <c r="D301" i="8" s="1"/>
  <c r="D335" i="8" s="1"/>
  <c r="D369" i="8" s="1"/>
  <c r="D37" i="8"/>
  <c r="D69" i="8" s="1"/>
  <c r="D103" i="8" s="1"/>
  <c r="D134" i="8" s="1"/>
  <c r="D166" i="8" s="1"/>
  <c r="D198" i="8" s="1"/>
  <c r="D232" i="8" s="1"/>
  <c r="D266" i="8" s="1"/>
  <c r="D300" i="8" s="1"/>
  <c r="D334" i="8" s="1"/>
  <c r="D368" i="8" s="1"/>
  <c r="A33" i="8"/>
  <c r="D47" i="1"/>
  <c r="D83" i="1" s="1"/>
  <c r="D119" i="1" s="1"/>
  <c r="D155" i="1" s="1"/>
  <c r="D191" i="1" s="1"/>
  <c r="D267" i="1" s="1"/>
  <c r="D307" i="1" s="1"/>
  <c r="D347" i="1" s="1"/>
  <c r="D387" i="1" s="1"/>
  <c r="D427" i="1" s="1"/>
  <c r="D48" i="1"/>
  <c r="D84" i="1" s="1"/>
  <c r="D120" i="1" s="1"/>
  <c r="D156" i="1" s="1"/>
  <c r="D192" i="1" s="1"/>
  <c r="D268" i="1" s="1"/>
  <c r="D308" i="1" s="1"/>
  <c r="D348" i="1" s="1"/>
  <c r="D388" i="1" s="1"/>
  <c r="D428" i="1" s="1"/>
  <c r="D49" i="1"/>
  <c r="D85" i="1" s="1"/>
  <c r="D121" i="1" s="1"/>
  <c r="D157" i="1" s="1"/>
  <c r="D193" i="1" s="1"/>
  <c r="D269" i="1" s="1"/>
  <c r="D309" i="1" s="1"/>
  <c r="D349" i="1" s="1"/>
  <c r="D389" i="1" s="1"/>
  <c r="D429" i="1" s="1"/>
  <c r="D50" i="1"/>
  <c r="D86" i="1" s="1"/>
  <c r="D122" i="1" s="1"/>
  <c r="D158" i="1" s="1"/>
  <c r="D194" i="1" s="1"/>
  <c r="D230" i="1" s="1"/>
  <c r="D270" i="1" s="1"/>
  <c r="D310" i="1" s="1"/>
  <c r="D350" i="1" s="1"/>
  <c r="D390" i="1" s="1"/>
  <c r="D430" i="1" s="1"/>
  <c r="D51" i="1"/>
  <c r="D87" i="1" s="1"/>
  <c r="D123" i="1" s="1"/>
  <c r="D159" i="1" s="1"/>
  <c r="D195" i="1" s="1"/>
  <c r="D231" i="1" s="1"/>
  <c r="D271" i="1" s="1"/>
  <c r="D311" i="1" s="1"/>
  <c r="D351" i="1" s="1"/>
  <c r="D391" i="1" s="1"/>
  <c r="D431" i="1" s="1"/>
  <c r="D46" i="1"/>
  <c r="D82" i="1" s="1"/>
  <c r="D118" i="1" s="1"/>
  <c r="D154" i="1" s="1"/>
  <c r="D190" i="1" s="1"/>
  <c r="D266" i="1" s="1"/>
  <c r="D306" i="1" s="1"/>
  <c r="D346" i="1" s="1"/>
  <c r="D386" i="1" s="1"/>
  <c r="D426" i="1" s="1"/>
  <c r="A397" i="13"/>
  <c r="A361" i="13"/>
  <c r="A325" i="13"/>
  <c r="A289" i="13"/>
  <c r="A253" i="13"/>
  <c r="A217" i="13"/>
  <c r="A181" i="13"/>
  <c r="A145" i="13"/>
  <c r="A109" i="13"/>
  <c r="A73" i="13"/>
  <c r="A37" i="13"/>
  <c r="A440" i="12"/>
  <c r="A403" i="12"/>
  <c r="A366" i="12"/>
  <c r="A329" i="12"/>
  <c r="A288" i="12"/>
  <c r="A247" i="12"/>
  <c r="A206" i="12"/>
  <c r="A165" i="12"/>
  <c r="A124" i="12"/>
  <c r="A83" i="12"/>
  <c r="A42" i="12"/>
  <c r="G301" i="13"/>
  <c r="G337" i="13" s="1"/>
  <c r="G373" i="13" s="1"/>
  <c r="G409" i="13" s="1"/>
  <c r="F301" i="13"/>
  <c r="F337" i="13" s="1"/>
  <c r="F373" i="13" s="1"/>
  <c r="F409" i="13" s="1"/>
  <c r="L266" i="13"/>
  <c r="L302" i="13" s="1"/>
  <c r="L338" i="13" s="1"/>
  <c r="L374" i="13" s="1"/>
  <c r="L410" i="13" s="1"/>
  <c r="K266" i="13"/>
  <c r="K302" i="13" s="1"/>
  <c r="K338" i="13" s="1"/>
  <c r="K374" i="13" s="1"/>
  <c r="K410" i="13" s="1"/>
  <c r="J266" i="13"/>
  <c r="J302" i="13" s="1"/>
  <c r="J338" i="13" s="1"/>
  <c r="J374" i="13" s="1"/>
  <c r="J410" i="13" s="1"/>
  <c r="H266" i="13"/>
  <c r="H302" i="13" s="1"/>
  <c r="H338" i="13" s="1"/>
  <c r="H374" i="13" s="1"/>
  <c r="H410" i="13" s="1"/>
  <c r="G266" i="13"/>
  <c r="G302" i="13" s="1"/>
  <c r="G338" i="13" s="1"/>
  <c r="G374" i="13" s="1"/>
  <c r="G410" i="13" s="1"/>
  <c r="F266" i="13"/>
  <c r="F302" i="13" s="1"/>
  <c r="F338" i="13" s="1"/>
  <c r="F374" i="13" s="1"/>
  <c r="F410" i="13" s="1"/>
  <c r="E266" i="13"/>
  <c r="E302" i="13" s="1"/>
  <c r="E338" i="13" s="1"/>
  <c r="E374" i="13" s="1"/>
  <c r="E410" i="13" s="1"/>
  <c r="D266" i="13"/>
  <c r="D302" i="13" s="1"/>
  <c r="D338" i="13" s="1"/>
  <c r="D374" i="13" s="1"/>
  <c r="D410" i="13" s="1"/>
  <c r="B266" i="13"/>
  <c r="B302" i="13" s="1"/>
  <c r="E265" i="13"/>
  <c r="E301" i="13" s="1"/>
  <c r="E337" i="13" s="1"/>
  <c r="E373" i="13" s="1"/>
  <c r="E409" i="13" s="1"/>
  <c r="F264" i="13"/>
  <c r="F300" i="13" s="1"/>
  <c r="F336" i="13" s="1"/>
  <c r="F372" i="13" s="1"/>
  <c r="F408" i="13" s="1"/>
  <c r="F263" i="13"/>
  <c r="F299" i="13" s="1"/>
  <c r="F335" i="13" s="1"/>
  <c r="F371" i="13" s="1"/>
  <c r="F407" i="13" s="1"/>
  <c r="E263" i="13"/>
  <c r="E299" i="13" s="1"/>
  <c r="E335" i="13" s="1"/>
  <c r="E371" i="13" s="1"/>
  <c r="E407" i="13" s="1"/>
  <c r="I230" i="13"/>
  <c r="M230" i="13" s="1"/>
  <c r="N230" i="13" s="1"/>
  <c r="O64" i="13"/>
  <c r="O100" i="13" s="1"/>
  <c r="O136" i="13" s="1"/>
  <c r="O172" i="13" s="1"/>
  <c r="O208" i="13" s="1"/>
  <c r="C64" i="13"/>
  <c r="C100" i="13" s="1"/>
  <c r="C172" i="13" s="1"/>
  <c r="C208" i="13" s="1"/>
  <c r="C244" i="13" s="1"/>
  <c r="C280" i="13" s="1"/>
  <c r="C316" i="13" s="1"/>
  <c r="C352" i="13" s="1"/>
  <c r="C388" i="13" s="1"/>
  <c r="C424" i="13" s="1"/>
  <c r="O63" i="13"/>
  <c r="O99" i="13" s="1"/>
  <c r="O135" i="13" s="1"/>
  <c r="O171" i="13" s="1"/>
  <c r="O207" i="13" s="1"/>
  <c r="C63" i="13"/>
  <c r="C99" i="13" s="1"/>
  <c r="C171" i="13" s="1"/>
  <c r="C207" i="13" s="1"/>
  <c r="C243" i="13" s="1"/>
  <c r="C279" i="13" s="1"/>
  <c r="C315" i="13" s="1"/>
  <c r="C351" i="13" s="1"/>
  <c r="C387" i="13" s="1"/>
  <c r="C423" i="13" s="1"/>
  <c r="L52" i="13"/>
  <c r="L88" i="13" s="1"/>
  <c r="L124" i="13" s="1"/>
  <c r="L160" i="13" s="1"/>
  <c r="L196" i="13" s="1"/>
  <c r="L232" i="13" s="1"/>
  <c r="L268" i="13" s="1"/>
  <c r="L304" i="13" s="1"/>
  <c r="L340" i="13" s="1"/>
  <c r="L376" i="13" s="1"/>
  <c r="L412" i="13" s="1"/>
  <c r="K52" i="13"/>
  <c r="K88" i="13" s="1"/>
  <c r="K124" i="13" s="1"/>
  <c r="K160" i="13" s="1"/>
  <c r="K196" i="13" s="1"/>
  <c r="K232" i="13" s="1"/>
  <c r="K268" i="13" s="1"/>
  <c r="K304" i="13" s="1"/>
  <c r="K340" i="13" s="1"/>
  <c r="K376" i="13" s="1"/>
  <c r="K412" i="13" s="1"/>
  <c r="J52" i="13"/>
  <c r="J88" i="13" s="1"/>
  <c r="J124" i="13" s="1"/>
  <c r="J160" i="13" s="1"/>
  <c r="J196" i="13" s="1"/>
  <c r="J232" i="13" s="1"/>
  <c r="J268" i="13" s="1"/>
  <c r="J304" i="13" s="1"/>
  <c r="J340" i="13" s="1"/>
  <c r="J376" i="13" s="1"/>
  <c r="J412" i="13" s="1"/>
  <c r="H52" i="13"/>
  <c r="H88" i="13" s="1"/>
  <c r="H124" i="13" s="1"/>
  <c r="H160" i="13" s="1"/>
  <c r="H196" i="13" s="1"/>
  <c r="H232" i="13" s="1"/>
  <c r="H268" i="13" s="1"/>
  <c r="H304" i="13" s="1"/>
  <c r="H340" i="13" s="1"/>
  <c r="H376" i="13" s="1"/>
  <c r="H412" i="13" s="1"/>
  <c r="G52" i="13"/>
  <c r="G88" i="13" s="1"/>
  <c r="G124" i="13" s="1"/>
  <c r="G160" i="13" s="1"/>
  <c r="G196" i="13" s="1"/>
  <c r="G232" i="13" s="1"/>
  <c r="G268" i="13" s="1"/>
  <c r="G304" i="13" s="1"/>
  <c r="G340" i="13" s="1"/>
  <c r="G376" i="13" s="1"/>
  <c r="G412" i="13" s="1"/>
  <c r="F52" i="13"/>
  <c r="F88" i="13" s="1"/>
  <c r="F124" i="13" s="1"/>
  <c r="F160" i="13" s="1"/>
  <c r="F196" i="13" s="1"/>
  <c r="F232" i="13" s="1"/>
  <c r="F268" i="13" s="1"/>
  <c r="F304" i="13" s="1"/>
  <c r="F340" i="13" s="1"/>
  <c r="F376" i="13" s="1"/>
  <c r="F412" i="13" s="1"/>
  <c r="E52" i="13"/>
  <c r="E88" i="13" s="1"/>
  <c r="E124" i="13" s="1"/>
  <c r="E160" i="13" s="1"/>
  <c r="E196" i="13" s="1"/>
  <c r="E232" i="13" s="1"/>
  <c r="E268" i="13" s="1"/>
  <c r="E304" i="13" s="1"/>
  <c r="E340" i="13" s="1"/>
  <c r="E376" i="13" s="1"/>
  <c r="E412" i="13" s="1"/>
  <c r="D52" i="13"/>
  <c r="D88" i="13" s="1"/>
  <c r="D124" i="13" s="1"/>
  <c r="D160" i="13" s="1"/>
  <c r="D196" i="13" s="1"/>
  <c r="D232" i="13" s="1"/>
  <c r="D268" i="13" s="1"/>
  <c r="D304" i="13" s="1"/>
  <c r="D340" i="13" s="1"/>
  <c r="D376" i="13" s="1"/>
  <c r="D412" i="13" s="1"/>
  <c r="B52" i="13"/>
  <c r="B88" i="13" s="1"/>
  <c r="I88" i="13" s="1"/>
  <c r="L51" i="13"/>
  <c r="L87" i="13" s="1"/>
  <c r="L123" i="13" s="1"/>
  <c r="L159" i="13" s="1"/>
  <c r="L195" i="13" s="1"/>
  <c r="L231" i="13" s="1"/>
  <c r="L267" i="13" s="1"/>
  <c r="L303" i="13" s="1"/>
  <c r="L339" i="13" s="1"/>
  <c r="L375" i="13" s="1"/>
  <c r="L411" i="13" s="1"/>
  <c r="K51" i="13"/>
  <c r="K87" i="13" s="1"/>
  <c r="K123" i="13" s="1"/>
  <c r="K159" i="13" s="1"/>
  <c r="K195" i="13" s="1"/>
  <c r="K231" i="13" s="1"/>
  <c r="K267" i="13" s="1"/>
  <c r="K303" i="13" s="1"/>
  <c r="K339" i="13" s="1"/>
  <c r="K375" i="13" s="1"/>
  <c r="K411" i="13" s="1"/>
  <c r="J51" i="13"/>
  <c r="J87" i="13" s="1"/>
  <c r="J123" i="13" s="1"/>
  <c r="J159" i="13" s="1"/>
  <c r="J195" i="13" s="1"/>
  <c r="J231" i="13" s="1"/>
  <c r="J267" i="13" s="1"/>
  <c r="J303" i="13" s="1"/>
  <c r="J339" i="13" s="1"/>
  <c r="J375" i="13" s="1"/>
  <c r="J411" i="13" s="1"/>
  <c r="H51" i="13"/>
  <c r="H87" i="13" s="1"/>
  <c r="H123" i="13" s="1"/>
  <c r="H159" i="13" s="1"/>
  <c r="H195" i="13" s="1"/>
  <c r="H231" i="13" s="1"/>
  <c r="H267" i="13" s="1"/>
  <c r="H303" i="13" s="1"/>
  <c r="H339" i="13" s="1"/>
  <c r="H375" i="13" s="1"/>
  <c r="H411" i="13" s="1"/>
  <c r="G51" i="13"/>
  <c r="G87" i="13" s="1"/>
  <c r="G123" i="13" s="1"/>
  <c r="G159" i="13" s="1"/>
  <c r="G195" i="13" s="1"/>
  <c r="G231" i="13" s="1"/>
  <c r="G267" i="13" s="1"/>
  <c r="G303" i="13" s="1"/>
  <c r="G339" i="13" s="1"/>
  <c r="G375" i="13" s="1"/>
  <c r="G411" i="13" s="1"/>
  <c r="F51" i="13"/>
  <c r="F87" i="13" s="1"/>
  <c r="F123" i="13" s="1"/>
  <c r="F159" i="13" s="1"/>
  <c r="F195" i="13" s="1"/>
  <c r="F231" i="13" s="1"/>
  <c r="F267" i="13" s="1"/>
  <c r="F303" i="13" s="1"/>
  <c r="F339" i="13" s="1"/>
  <c r="F375" i="13" s="1"/>
  <c r="F411" i="13" s="1"/>
  <c r="E51" i="13"/>
  <c r="E87" i="13" s="1"/>
  <c r="E123" i="13" s="1"/>
  <c r="E159" i="13" s="1"/>
  <c r="E195" i="13" s="1"/>
  <c r="E231" i="13" s="1"/>
  <c r="E267" i="13" s="1"/>
  <c r="E303" i="13" s="1"/>
  <c r="E339" i="13" s="1"/>
  <c r="E375" i="13" s="1"/>
  <c r="E411" i="13" s="1"/>
  <c r="D51" i="13"/>
  <c r="D87" i="13" s="1"/>
  <c r="D123" i="13" s="1"/>
  <c r="D159" i="13" s="1"/>
  <c r="D195" i="13" s="1"/>
  <c r="D231" i="13" s="1"/>
  <c r="D267" i="13" s="1"/>
  <c r="D303" i="13" s="1"/>
  <c r="D339" i="13" s="1"/>
  <c r="D375" i="13" s="1"/>
  <c r="D411" i="13" s="1"/>
  <c r="B51" i="13"/>
  <c r="L50" i="13"/>
  <c r="L86" i="13" s="1"/>
  <c r="L122" i="13" s="1"/>
  <c r="L158" i="13" s="1"/>
  <c r="L194" i="13" s="1"/>
  <c r="K50" i="13"/>
  <c r="K86" i="13" s="1"/>
  <c r="K122" i="13" s="1"/>
  <c r="K158" i="13" s="1"/>
  <c r="K194" i="13" s="1"/>
  <c r="J50" i="13"/>
  <c r="J86" i="13" s="1"/>
  <c r="J122" i="13" s="1"/>
  <c r="J158" i="13" s="1"/>
  <c r="J194" i="13" s="1"/>
  <c r="H50" i="13"/>
  <c r="H86" i="13" s="1"/>
  <c r="H122" i="13" s="1"/>
  <c r="H158" i="13" s="1"/>
  <c r="H194" i="13" s="1"/>
  <c r="G50" i="13"/>
  <c r="G86" i="13" s="1"/>
  <c r="G122" i="13" s="1"/>
  <c r="G158" i="13" s="1"/>
  <c r="G194" i="13" s="1"/>
  <c r="F50" i="13"/>
  <c r="F86" i="13" s="1"/>
  <c r="F122" i="13" s="1"/>
  <c r="F158" i="13" s="1"/>
  <c r="F194" i="13" s="1"/>
  <c r="E50" i="13"/>
  <c r="E86" i="13" s="1"/>
  <c r="E122" i="13" s="1"/>
  <c r="E158" i="13" s="1"/>
  <c r="E194" i="13" s="1"/>
  <c r="D50" i="13"/>
  <c r="D86" i="13" s="1"/>
  <c r="D122" i="13" s="1"/>
  <c r="D158" i="13" s="1"/>
  <c r="D194" i="13" s="1"/>
  <c r="B50" i="13"/>
  <c r="B86" i="13" s="1"/>
  <c r="B122" i="13" s="1"/>
  <c r="L49" i="13"/>
  <c r="L85" i="13" s="1"/>
  <c r="L121" i="13" s="1"/>
  <c r="L157" i="13" s="1"/>
  <c r="L193" i="13" s="1"/>
  <c r="L229" i="13" s="1"/>
  <c r="L265" i="13" s="1"/>
  <c r="L301" i="13" s="1"/>
  <c r="L337" i="13" s="1"/>
  <c r="L373" i="13" s="1"/>
  <c r="L409" i="13" s="1"/>
  <c r="K49" i="13"/>
  <c r="K85" i="13" s="1"/>
  <c r="K121" i="13" s="1"/>
  <c r="K157" i="13" s="1"/>
  <c r="K193" i="13" s="1"/>
  <c r="K229" i="13" s="1"/>
  <c r="K265" i="13" s="1"/>
  <c r="K301" i="13" s="1"/>
  <c r="K337" i="13" s="1"/>
  <c r="K373" i="13" s="1"/>
  <c r="K409" i="13" s="1"/>
  <c r="J49" i="13"/>
  <c r="J85" i="13" s="1"/>
  <c r="J121" i="13" s="1"/>
  <c r="J157" i="13" s="1"/>
  <c r="J193" i="13" s="1"/>
  <c r="J229" i="13" s="1"/>
  <c r="J265" i="13" s="1"/>
  <c r="J301" i="13" s="1"/>
  <c r="J337" i="13" s="1"/>
  <c r="J373" i="13" s="1"/>
  <c r="J409" i="13" s="1"/>
  <c r="H49" i="13"/>
  <c r="H85" i="13" s="1"/>
  <c r="H121" i="13" s="1"/>
  <c r="H157" i="13" s="1"/>
  <c r="H193" i="13" s="1"/>
  <c r="H229" i="13" s="1"/>
  <c r="H265" i="13" s="1"/>
  <c r="H301" i="13" s="1"/>
  <c r="H337" i="13" s="1"/>
  <c r="H373" i="13" s="1"/>
  <c r="H409" i="13" s="1"/>
  <c r="G49" i="13"/>
  <c r="G85" i="13" s="1"/>
  <c r="G121" i="13" s="1"/>
  <c r="G157" i="13" s="1"/>
  <c r="G193" i="13" s="1"/>
  <c r="G229" i="13" s="1"/>
  <c r="F49" i="13"/>
  <c r="F85" i="13" s="1"/>
  <c r="F121" i="13" s="1"/>
  <c r="F157" i="13" s="1"/>
  <c r="F193" i="13" s="1"/>
  <c r="F229" i="13" s="1"/>
  <c r="E49" i="13"/>
  <c r="E85" i="13" s="1"/>
  <c r="E121" i="13" s="1"/>
  <c r="E157" i="13" s="1"/>
  <c r="E193" i="13" s="1"/>
  <c r="D49" i="13"/>
  <c r="D85" i="13" s="1"/>
  <c r="D121" i="13" s="1"/>
  <c r="D157" i="13" s="1"/>
  <c r="D193" i="13" s="1"/>
  <c r="D229" i="13" s="1"/>
  <c r="D265" i="13" s="1"/>
  <c r="D301" i="13" s="1"/>
  <c r="D337" i="13" s="1"/>
  <c r="D373" i="13" s="1"/>
  <c r="D409" i="13" s="1"/>
  <c r="B49" i="13"/>
  <c r="L48" i="13"/>
  <c r="L84" i="13" s="1"/>
  <c r="L120" i="13" s="1"/>
  <c r="L156" i="13" s="1"/>
  <c r="L192" i="13" s="1"/>
  <c r="L228" i="13" s="1"/>
  <c r="L264" i="13" s="1"/>
  <c r="L300" i="13" s="1"/>
  <c r="L336" i="13" s="1"/>
  <c r="L372" i="13" s="1"/>
  <c r="L408" i="13" s="1"/>
  <c r="K48" i="13"/>
  <c r="K84" i="13" s="1"/>
  <c r="K120" i="13" s="1"/>
  <c r="K156" i="13" s="1"/>
  <c r="K192" i="13" s="1"/>
  <c r="K228" i="13" s="1"/>
  <c r="K264" i="13" s="1"/>
  <c r="K300" i="13" s="1"/>
  <c r="K336" i="13" s="1"/>
  <c r="K372" i="13" s="1"/>
  <c r="K408" i="13" s="1"/>
  <c r="J48" i="13"/>
  <c r="J84" i="13" s="1"/>
  <c r="J120" i="13" s="1"/>
  <c r="J156" i="13" s="1"/>
  <c r="J192" i="13" s="1"/>
  <c r="J228" i="13" s="1"/>
  <c r="J264" i="13" s="1"/>
  <c r="J300" i="13" s="1"/>
  <c r="J336" i="13" s="1"/>
  <c r="J372" i="13" s="1"/>
  <c r="J408" i="13" s="1"/>
  <c r="H48" i="13"/>
  <c r="H84" i="13" s="1"/>
  <c r="H120" i="13" s="1"/>
  <c r="H156" i="13" s="1"/>
  <c r="H192" i="13" s="1"/>
  <c r="H228" i="13" s="1"/>
  <c r="H264" i="13" s="1"/>
  <c r="H300" i="13" s="1"/>
  <c r="H336" i="13" s="1"/>
  <c r="H372" i="13" s="1"/>
  <c r="H408" i="13" s="1"/>
  <c r="G48" i="13"/>
  <c r="G84" i="13" s="1"/>
  <c r="G120" i="13" s="1"/>
  <c r="G156" i="13" s="1"/>
  <c r="G192" i="13" s="1"/>
  <c r="G228" i="13" s="1"/>
  <c r="G264" i="13" s="1"/>
  <c r="G300" i="13" s="1"/>
  <c r="G336" i="13" s="1"/>
  <c r="G372" i="13" s="1"/>
  <c r="G408" i="13" s="1"/>
  <c r="F48" i="13"/>
  <c r="F84" i="13" s="1"/>
  <c r="F120" i="13" s="1"/>
  <c r="F156" i="13" s="1"/>
  <c r="F192" i="13" s="1"/>
  <c r="E48" i="13"/>
  <c r="E84" i="13" s="1"/>
  <c r="E120" i="13" s="1"/>
  <c r="E156" i="13" s="1"/>
  <c r="E192" i="13" s="1"/>
  <c r="E264" i="13" s="1"/>
  <c r="E300" i="13" s="1"/>
  <c r="E336" i="13" s="1"/>
  <c r="E372" i="13" s="1"/>
  <c r="E408" i="13" s="1"/>
  <c r="D48" i="13"/>
  <c r="D84" i="13" s="1"/>
  <c r="D120" i="13" s="1"/>
  <c r="D156" i="13" s="1"/>
  <c r="D192" i="13" s="1"/>
  <c r="D228" i="13" s="1"/>
  <c r="B48" i="13"/>
  <c r="B84" i="13" s="1"/>
  <c r="I84" i="13" s="1"/>
  <c r="M84" i="13" s="1"/>
  <c r="L47" i="13"/>
  <c r="L83" i="13" s="1"/>
  <c r="L119" i="13" s="1"/>
  <c r="L155" i="13" s="1"/>
  <c r="L191" i="13" s="1"/>
  <c r="L227" i="13" s="1"/>
  <c r="L263" i="13" s="1"/>
  <c r="L299" i="13" s="1"/>
  <c r="L335" i="13" s="1"/>
  <c r="L371" i="13" s="1"/>
  <c r="L407" i="13" s="1"/>
  <c r="K47" i="13"/>
  <c r="K83" i="13" s="1"/>
  <c r="K119" i="13" s="1"/>
  <c r="K155" i="13" s="1"/>
  <c r="K191" i="13" s="1"/>
  <c r="K227" i="13" s="1"/>
  <c r="K263" i="13" s="1"/>
  <c r="K299" i="13" s="1"/>
  <c r="K335" i="13" s="1"/>
  <c r="K371" i="13" s="1"/>
  <c r="K407" i="13" s="1"/>
  <c r="J47" i="13"/>
  <c r="J83" i="13" s="1"/>
  <c r="J119" i="13" s="1"/>
  <c r="J155" i="13" s="1"/>
  <c r="J191" i="13" s="1"/>
  <c r="J227" i="13" s="1"/>
  <c r="J263" i="13" s="1"/>
  <c r="J299" i="13" s="1"/>
  <c r="J335" i="13" s="1"/>
  <c r="J371" i="13" s="1"/>
  <c r="J407" i="13" s="1"/>
  <c r="H47" i="13"/>
  <c r="H83" i="13" s="1"/>
  <c r="H119" i="13" s="1"/>
  <c r="H155" i="13" s="1"/>
  <c r="H191" i="13" s="1"/>
  <c r="H227" i="13" s="1"/>
  <c r="H263" i="13" s="1"/>
  <c r="H299" i="13" s="1"/>
  <c r="H335" i="13" s="1"/>
  <c r="H371" i="13" s="1"/>
  <c r="H407" i="13" s="1"/>
  <c r="G47" i="13"/>
  <c r="G83" i="13" s="1"/>
  <c r="G119" i="13" s="1"/>
  <c r="G155" i="13" s="1"/>
  <c r="G191" i="13" s="1"/>
  <c r="G227" i="13" s="1"/>
  <c r="G263" i="13" s="1"/>
  <c r="G299" i="13" s="1"/>
  <c r="G335" i="13" s="1"/>
  <c r="G371" i="13" s="1"/>
  <c r="G407" i="13" s="1"/>
  <c r="F47" i="13"/>
  <c r="F83" i="13" s="1"/>
  <c r="F119" i="13" s="1"/>
  <c r="F155" i="13" s="1"/>
  <c r="F191" i="13" s="1"/>
  <c r="E47" i="13"/>
  <c r="E83" i="13" s="1"/>
  <c r="E119" i="13" s="1"/>
  <c r="E155" i="13" s="1"/>
  <c r="E191" i="13" s="1"/>
  <c r="D47" i="13"/>
  <c r="D83" i="13" s="1"/>
  <c r="D119" i="13" s="1"/>
  <c r="D155" i="13" s="1"/>
  <c r="D191" i="13" s="1"/>
  <c r="D227" i="13" s="1"/>
  <c r="D263" i="13" s="1"/>
  <c r="D299" i="13" s="1"/>
  <c r="D335" i="13" s="1"/>
  <c r="D371" i="13" s="1"/>
  <c r="D407" i="13" s="1"/>
  <c r="B47" i="13"/>
  <c r="H46" i="13"/>
  <c r="H82" i="13" s="1"/>
  <c r="H118" i="13" s="1"/>
  <c r="H154" i="13" s="1"/>
  <c r="H190" i="13" s="1"/>
  <c r="H226" i="13" s="1"/>
  <c r="H262" i="13" s="1"/>
  <c r="H298" i="13" s="1"/>
  <c r="H334" i="13" s="1"/>
  <c r="H370" i="13" s="1"/>
  <c r="H406" i="13" s="1"/>
  <c r="G46" i="13"/>
  <c r="G82" i="13" s="1"/>
  <c r="G118" i="13" s="1"/>
  <c r="G154" i="13" s="1"/>
  <c r="G190" i="13" s="1"/>
  <c r="G226" i="13" s="1"/>
  <c r="G262" i="13" s="1"/>
  <c r="G298" i="13" s="1"/>
  <c r="G334" i="13" s="1"/>
  <c r="G370" i="13" s="1"/>
  <c r="G406" i="13" s="1"/>
  <c r="F46" i="13"/>
  <c r="F82" i="13" s="1"/>
  <c r="F118" i="13" s="1"/>
  <c r="F154" i="13" s="1"/>
  <c r="F190" i="13" s="1"/>
  <c r="F226" i="13" s="1"/>
  <c r="F262" i="13" s="1"/>
  <c r="F298" i="13" s="1"/>
  <c r="F334" i="13" s="1"/>
  <c r="F370" i="13" s="1"/>
  <c r="F406" i="13" s="1"/>
  <c r="E46" i="13"/>
  <c r="E82" i="13" s="1"/>
  <c r="E118" i="13" s="1"/>
  <c r="E154" i="13" s="1"/>
  <c r="E190" i="13" s="1"/>
  <c r="E226" i="13" s="1"/>
  <c r="E262" i="13" s="1"/>
  <c r="E298" i="13" s="1"/>
  <c r="E334" i="13" s="1"/>
  <c r="E370" i="13" s="1"/>
  <c r="E406" i="13" s="1"/>
  <c r="N43" i="13"/>
  <c r="N79" i="13" s="1"/>
  <c r="N115" i="13" s="1"/>
  <c r="N151" i="13" s="1"/>
  <c r="N187" i="13" s="1"/>
  <c r="N223" i="13" s="1"/>
  <c r="N259" i="13" s="1"/>
  <c r="N295" i="13" s="1"/>
  <c r="N331" i="13" s="1"/>
  <c r="N367" i="13" s="1"/>
  <c r="N403" i="13" s="1"/>
  <c r="D43" i="13"/>
  <c r="D79" i="13" s="1"/>
  <c r="D115" i="13" s="1"/>
  <c r="D151" i="13" s="1"/>
  <c r="D187" i="13" s="1"/>
  <c r="D223" i="13" s="1"/>
  <c r="D259" i="13" s="1"/>
  <c r="D295" i="13" s="1"/>
  <c r="D331" i="13" s="1"/>
  <c r="D367" i="13" s="1"/>
  <c r="D403" i="13" s="1"/>
  <c r="N42" i="13"/>
  <c r="N78" i="13" s="1"/>
  <c r="N114" i="13" s="1"/>
  <c r="N150" i="13" s="1"/>
  <c r="N186" i="13" s="1"/>
  <c r="N222" i="13" s="1"/>
  <c r="N258" i="13" s="1"/>
  <c r="N294" i="13" s="1"/>
  <c r="N330" i="13" s="1"/>
  <c r="N366" i="13" s="1"/>
  <c r="N402" i="13" s="1"/>
  <c r="D42" i="13"/>
  <c r="D78" i="13" s="1"/>
  <c r="D114" i="13" s="1"/>
  <c r="D150" i="13" s="1"/>
  <c r="D186" i="13" s="1"/>
  <c r="D222" i="13" s="1"/>
  <c r="D258" i="13" s="1"/>
  <c r="D294" i="13" s="1"/>
  <c r="D330" i="13" s="1"/>
  <c r="D366" i="13" s="1"/>
  <c r="D402" i="13" s="1"/>
  <c r="N41" i="13"/>
  <c r="N77" i="13" s="1"/>
  <c r="N113" i="13" s="1"/>
  <c r="N149" i="13" s="1"/>
  <c r="N185" i="13" s="1"/>
  <c r="N221" i="13" s="1"/>
  <c r="N257" i="13" s="1"/>
  <c r="N293" i="13" s="1"/>
  <c r="N329" i="13" s="1"/>
  <c r="N365" i="13" s="1"/>
  <c r="N401" i="13" s="1"/>
  <c r="D41" i="13"/>
  <c r="D77" i="13" s="1"/>
  <c r="D113" i="13" s="1"/>
  <c r="D149" i="13" s="1"/>
  <c r="D185" i="13" s="1"/>
  <c r="D221" i="13" s="1"/>
  <c r="D257" i="13" s="1"/>
  <c r="D293" i="13" s="1"/>
  <c r="D329" i="13" s="1"/>
  <c r="D365" i="13" s="1"/>
  <c r="D401" i="13" s="1"/>
  <c r="N40" i="13"/>
  <c r="N76" i="13" s="1"/>
  <c r="N112" i="13" s="1"/>
  <c r="N148" i="13" s="1"/>
  <c r="N184" i="13" s="1"/>
  <c r="N220" i="13" s="1"/>
  <c r="N256" i="13" s="1"/>
  <c r="N292" i="13" s="1"/>
  <c r="N328" i="13" s="1"/>
  <c r="N364" i="13" s="1"/>
  <c r="N400" i="13" s="1"/>
  <c r="I16" i="13"/>
  <c r="M16" i="13" s="1"/>
  <c r="N16" i="13" s="1"/>
  <c r="I15" i="13"/>
  <c r="I14" i="13"/>
  <c r="I13" i="13"/>
  <c r="M13" i="13" s="1"/>
  <c r="I12" i="13"/>
  <c r="M12" i="13" s="1"/>
  <c r="I11" i="13"/>
  <c r="H301" i="12"/>
  <c r="H342" i="12" s="1"/>
  <c r="H379" i="12" s="1"/>
  <c r="H416" i="12" s="1"/>
  <c r="H453" i="12" s="1"/>
  <c r="H53" i="12"/>
  <c r="H94" i="12" s="1"/>
  <c r="H135" i="12" s="1"/>
  <c r="H176" i="12" s="1"/>
  <c r="H217" i="12" s="1"/>
  <c r="H299" i="12" s="1"/>
  <c r="H340" i="12" s="1"/>
  <c r="H377" i="12" s="1"/>
  <c r="H414" i="12" s="1"/>
  <c r="H451" i="12" s="1"/>
  <c r="H54" i="12"/>
  <c r="H95" i="12" s="1"/>
  <c r="H136" i="12" s="1"/>
  <c r="H177" i="12" s="1"/>
  <c r="H218" i="12" s="1"/>
  <c r="H300" i="12" s="1"/>
  <c r="H341" i="12" s="1"/>
  <c r="H378" i="12" s="1"/>
  <c r="H415" i="12" s="1"/>
  <c r="H452" i="12" s="1"/>
  <c r="H55" i="12"/>
  <c r="H96" i="12" s="1"/>
  <c r="H137" i="12" s="1"/>
  <c r="H178" i="12" s="1"/>
  <c r="H219" i="12" s="1"/>
  <c r="H56" i="12"/>
  <c r="H97" i="12" s="1"/>
  <c r="H138" i="12" s="1"/>
  <c r="H179" i="12" s="1"/>
  <c r="H220" i="12" s="1"/>
  <c r="H261" i="12" s="1"/>
  <c r="H302" i="12" s="1"/>
  <c r="H343" i="12" s="1"/>
  <c r="H380" i="12" s="1"/>
  <c r="H417" i="12" s="1"/>
  <c r="H454" i="12" s="1"/>
  <c r="H57" i="12"/>
  <c r="H98" i="12" s="1"/>
  <c r="H139" i="12" s="1"/>
  <c r="H180" i="12" s="1"/>
  <c r="H221" i="12" s="1"/>
  <c r="H262" i="12" s="1"/>
  <c r="H303" i="12" s="1"/>
  <c r="H344" i="12" s="1"/>
  <c r="H381" i="12" s="1"/>
  <c r="H418" i="12" s="1"/>
  <c r="H455" i="12" s="1"/>
  <c r="H52" i="12"/>
  <c r="H93" i="12" s="1"/>
  <c r="H134" i="12" s="1"/>
  <c r="H175" i="12" s="1"/>
  <c r="H216" i="12" s="1"/>
  <c r="H257" i="12" s="1"/>
  <c r="H298" i="12" s="1"/>
  <c r="H339" i="12" s="1"/>
  <c r="H376" i="12" s="1"/>
  <c r="H413" i="12" s="1"/>
  <c r="H450" i="12" s="1"/>
  <c r="H51" i="12"/>
  <c r="H92" i="12" s="1"/>
  <c r="H133" i="12" s="1"/>
  <c r="H174" i="12" s="1"/>
  <c r="H215" i="12" s="1"/>
  <c r="H256" i="12" s="1"/>
  <c r="H297" i="12" s="1"/>
  <c r="H338" i="12" s="1"/>
  <c r="H375" i="12" s="1"/>
  <c r="H412" i="12" s="1"/>
  <c r="H449" i="12" s="1"/>
  <c r="G51" i="12"/>
  <c r="G92" i="12" s="1"/>
  <c r="G133" i="12" s="1"/>
  <c r="G174" i="12" s="1"/>
  <c r="G215" i="12" s="1"/>
  <c r="G256" i="12" s="1"/>
  <c r="G297" i="12" s="1"/>
  <c r="G338" i="12" s="1"/>
  <c r="G375" i="12" s="1"/>
  <c r="G412" i="12" s="1"/>
  <c r="G449" i="12" s="1"/>
  <c r="F51" i="12"/>
  <c r="F92" i="12" s="1"/>
  <c r="F133" i="12" s="1"/>
  <c r="F174" i="12" s="1"/>
  <c r="F215" i="12" s="1"/>
  <c r="F256" i="12" s="1"/>
  <c r="F297" i="12" s="1"/>
  <c r="F338" i="12" s="1"/>
  <c r="F375" i="12" s="1"/>
  <c r="F412" i="12" s="1"/>
  <c r="F449" i="12" s="1"/>
  <c r="E51" i="12"/>
  <c r="E92" i="12" s="1"/>
  <c r="E133" i="12" s="1"/>
  <c r="E174" i="12" s="1"/>
  <c r="E215" i="12" s="1"/>
  <c r="E256" i="12" s="1"/>
  <c r="E297" i="12" s="1"/>
  <c r="E338" i="12" s="1"/>
  <c r="E375" i="12" s="1"/>
  <c r="E412" i="12" s="1"/>
  <c r="E449" i="12" s="1"/>
  <c r="G341" i="12"/>
  <c r="G378" i="12" s="1"/>
  <c r="G415" i="12" s="1"/>
  <c r="G452" i="12" s="1"/>
  <c r="F341" i="12"/>
  <c r="F378" i="12" s="1"/>
  <c r="F415" i="12" s="1"/>
  <c r="F452" i="12" s="1"/>
  <c r="L300" i="12"/>
  <c r="L341" i="12" s="1"/>
  <c r="L378" i="12" s="1"/>
  <c r="L415" i="12" s="1"/>
  <c r="L452" i="12" s="1"/>
  <c r="K300" i="12"/>
  <c r="K341" i="12" s="1"/>
  <c r="K378" i="12" s="1"/>
  <c r="K415" i="12" s="1"/>
  <c r="K452" i="12" s="1"/>
  <c r="J300" i="12"/>
  <c r="J341" i="12" s="1"/>
  <c r="J378" i="12" s="1"/>
  <c r="J415" i="12" s="1"/>
  <c r="J452" i="12" s="1"/>
  <c r="E300" i="12"/>
  <c r="E341" i="12" s="1"/>
  <c r="E378" i="12" s="1"/>
  <c r="E415" i="12" s="1"/>
  <c r="E452" i="12" s="1"/>
  <c r="D300" i="12"/>
  <c r="D341" i="12" s="1"/>
  <c r="D378" i="12" s="1"/>
  <c r="D415" i="12" s="1"/>
  <c r="D452" i="12" s="1"/>
  <c r="B300" i="12"/>
  <c r="B341" i="12" s="1"/>
  <c r="E298" i="12"/>
  <c r="E339" i="12" s="1"/>
  <c r="E376" i="12" s="1"/>
  <c r="E413" i="12" s="1"/>
  <c r="E450" i="12" s="1"/>
  <c r="O69" i="12"/>
  <c r="O110" i="12" s="1"/>
  <c r="O151" i="12" s="1"/>
  <c r="O192" i="12" s="1"/>
  <c r="O233" i="12" s="1"/>
  <c r="C69" i="12"/>
  <c r="C110" i="12" s="1"/>
  <c r="C192" i="12" s="1"/>
  <c r="C233" i="12" s="1"/>
  <c r="C274" i="12" s="1"/>
  <c r="C315" i="12" s="1"/>
  <c r="C356" i="12" s="1"/>
  <c r="C393" i="12" s="1"/>
  <c r="C430" i="12" s="1"/>
  <c r="C467" i="12" s="1"/>
  <c r="O68" i="12"/>
  <c r="O109" i="12" s="1"/>
  <c r="O150" i="12" s="1"/>
  <c r="O191" i="12" s="1"/>
  <c r="O232" i="12" s="1"/>
  <c r="C68" i="12"/>
  <c r="C109" i="12" s="1"/>
  <c r="C191" i="12" s="1"/>
  <c r="C232" i="12" s="1"/>
  <c r="C273" i="12" s="1"/>
  <c r="C314" i="12" s="1"/>
  <c r="C355" i="12" s="1"/>
  <c r="C392" i="12" s="1"/>
  <c r="C429" i="12" s="1"/>
  <c r="C466" i="12" s="1"/>
  <c r="L57" i="12"/>
  <c r="L98" i="12" s="1"/>
  <c r="L139" i="12" s="1"/>
  <c r="L180" i="12" s="1"/>
  <c r="L221" i="12" s="1"/>
  <c r="L262" i="12" s="1"/>
  <c r="L303" i="12" s="1"/>
  <c r="L344" i="12" s="1"/>
  <c r="L381" i="12" s="1"/>
  <c r="L418" i="12" s="1"/>
  <c r="L455" i="12" s="1"/>
  <c r="K57" i="12"/>
  <c r="K98" i="12" s="1"/>
  <c r="K139" i="12" s="1"/>
  <c r="K180" i="12" s="1"/>
  <c r="K221" i="12" s="1"/>
  <c r="K262" i="12" s="1"/>
  <c r="K303" i="12" s="1"/>
  <c r="K344" i="12" s="1"/>
  <c r="K381" i="12" s="1"/>
  <c r="K418" i="12" s="1"/>
  <c r="K455" i="12" s="1"/>
  <c r="J57" i="12"/>
  <c r="J98" i="12" s="1"/>
  <c r="J139" i="12" s="1"/>
  <c r="J180" i="12" s="1"/>
  <c r="J221" i="12" s="1"/>
  <c r="J262" i="12" s="1"/>
  <c r="J303" i="12" s="1"/>
  <c r="J344" i="12" s="1"/>
  <c r="J381" i="12" s="1"/>
  <c r="J418" i="12" s="1"/>
  <c r="J455" i="12" s="1"/>
  <c r="G57" i="12"/>
  <c r="G98" i="12" s="1"/>
  <c r="G139" i="12" s="1"/>
  <c r="G180" i="12" s="1"/>
  <c r="G221" i="12" s="1"/>
  <c r="G262" i="12" s="1"/>
  <c r="G303" i="12" s="1"/>
  <c r="G344" i="12" s="1"/>
  <c r="G381" i="12" s="1"/>
  <c r="G418" i="12" s="1"/>
  <c r="G455" i="12" s="1"/>
  <c r="F57" i="12"/>
  <c r="F98" i="12" s="1"/>
  <c r="F139" i="12" s="1"/>
  <c r="F180" i="12" s="1"/>
  <c r="F221" i="12" s="1"/>
  <c r="F262" i="12" s="1"/>
  <c r="F303" i="12" s="1"/>
  <c r="F344" i="12" s="1"/>
  <c r="F381" i="12" s="1"/>
  <c r="F418" i="12" s="1"/>
  <c r="F455" i="12" s="1"/>
  <c r="E57" i="12"/>
  <c r="E98" i="12" s="1"/>
  <c r="E139" i="12" s="1"/>
  <c r="E180" i="12" s="1"/>
  <c r="E221" i="12" s="1"/>
  <c r="E262" i="12" s="1"/>
  <c r="E303" i="12" s="1"/>
  <c r="E344" i="12" s="1"/>
  <c r="E381" i="12" s="1"/>
  <c r="E418" i="12" s="1"/>
  <c r="E455" i="12" s="1"/>
  <c r="D57" i="12"/>
  <c r="D98" i="12" s="1"/>
  <c r="D139" i="12" s="1"/>
  <c r="D180" i="12" s="1"/>
  <c r="D221" i="12" s="1"/>
  <c r="D262" i="12" s="1"/>
  <c r="D303" i="12" s="1"/>
  <c r="D344" i="12" s="1"/>
  <c r="D381" i="12" s="1"/>
  <c r="D418" i="12" s="1"/>
  <c r="D455" i="12" s="1"/>
  <c r="B57" i="12"/>
  <c r="B98" i="12" s="1"/>
  <c r="L56" i="12"/>
  <c r="L97" i="12" s="1"/>
  <c r="L138" i="12" s="1"/>
  <c r="L179" i="12" s="1"/>
  <c r="L220" i="12" s="1"/>
  <c r="L261" i="12" s="1"/>
  <c r="L302" i="12" s="1"/>
  <c r="L343" i="12" s="1"/>
  <c r="L380" i="12" s="1"/>
  <c r="L417" i="12" s="1"/>
  <c r="L454" i="12" s="1"/>
  <c r="K56" i="12"/>
  <c r="K97" i="12" s="1"/>
  <c r="K138" i="12" s="1"/>
  <c r="K179" i="12" s="1"/>
  <c r="K220" i="12" s="1"/>
  <c r="K261" i="12" s="1"/>
  <c r="K302" i="12" s="1"/>
  <c r="K343" i="12" s="1"/>
  <c r="K380" i="12" s="1"/>
  <c r="K417" i="12" s="1"/>
  <c r="K454" i="12" s="1"/>
  <c r="J56" i="12"/>
  <c r="J97" i="12" s="1"/>
  <c r="J138" i="12" s="1"/>
  <c r="J179" i="12" s="1"/>
  <c r="J220" i="12" s="1"/>
  <c r="J261" i="12" s="1"/>
  <c r="J302" i="12" s="1"/>
  <c r="J343" i="12" s="1"/>
  <c r="J380" i="12" s="1"/>
  <c r="J417" i="12" s="1"/>
  <c r="J454" i="12" s="1"/>
  <c r="G56" i="12"/>
  <c r="G97" i="12" s="1"/>
  <c r="G138" i="12" s="1"/>
  <c r="G179" i="12" s="1"/>
  <c r="G220" i="12" s="1"/>
  <c r="G261" i="12" s="1"/>
  <c r="G302" i="12" s="1"/>
  <c r="G343" i="12" s="1"/>
  <c r="G380" i="12" s="1"/>
  <c r="G417" i="12" s="1"/>
  <c r="G454" i="12" s="1"/>
  <c r="F56" i="12"/>
  <c r="F97" i="12" s="1"/>
  <c r="F138" i="12" s="1"/>
  <c r="F179" i="12" s="1"/>
  <c r="F220" i="12" s="1"/>
  <c r="F261" i="12" s="1"/>
  <c r="F302" i="12" s="1"/>
  <c r="F343" i="12" s="1"/>
  <c r="F380" i="12" s="1"/>
  <c r="F417" i="12" s="1"/>
  <c r="F454" i="12" s="1"/>
  <c r="E56" i="12"/>
  <c r="E97" i="12" s="1"/>
  <c r="E138" i="12" s="1"/>
  <c r="E179" i="12" s="1"/>
  <c r="E220" i="12" s="1"/>
  <c r="E261" i="12" s="1"/>
  <c r="E302" i="12" s="1"/>
  <c r="E343" i="12" s="1"/>
  <c r="E380" i="12" s="1"/>
  <c r="E417" i="12" s="1"/>
  <c r="E454" i="12" s="1"/>
  <c r="D56" i="12"/>
  <c r="D97" i="12" s="1"/>
  <c r="D138" i="12" s="1"/>
  <c r="D179" i="12" s="1"/>
  <c r="D220" i="12" s="1"/>
  <c r="D261" i="12" s="1"/>
  <c r="D302" i="12" s="1"/>
  <c r="D343" i="12" s="1"/>
  <c r="D380" i="12" s="1"/>
  <c r="D417" i="12" s="1"/>
  <c r="D454" i="12" s="1"/>
  <c r="B56" i="12"/>
  <c r="B97" i="12" s="1"/>
  <c r="L55" i="12"/>
  <c r="L96" i="12" s="1"/>
  <c r="L137" i="12" s="1"/>
  <c r="L178" i="12" s="1"/>
  <c r="L219" i="12" s="1"/>
  <c r="L301" i="12" s="1"/>
  <c r="L342" i="12" s="1"/>
  <c r="L379" i="12" s="1"/>
  <c r="L416" i="12" s="1"/>
  <c r="L453" i="12" s="1"/>
  <c r="K55" i="12"/>
  <c r="K96" i="12" s="1"/>
  <c r="K137" i="12" s="1"/>
  <c r="K178" i="12" s="1"/>
  <c r="K219" i="12" s="1"/>
  <c r="K301" i="12" s="1"/>
  <c r="K342" i="12" s="1"/>
  <c r="K379" i="12" s="1"/>
  <c r="K416" i="12" s="1"/>
  <c r="K453" i="12" s="1"/>
  <c r="J55" i="12"/>
  <c r="J96" i="12" s="1"/>
  <c r="J137" i="12" s="1"/>
  <c r="J178" i="12" s="1"/>
  <c r="J219" i="12" s="1"/>
  <c r="J301" i="12" s="1"/>
  <c r="J342" i="12" s="1"/>
  <c r="J379" i="12" s="1"/>
  <c r="J416" i="12" s="1"/>
  <c r="J453" i="12" s="1"/>
  <c r="G55" i="12"/>
  <c r="G96" i="12" s="1"/>
  <c r="G137" i="12" s="1"/>
  <c r="G178" i="12" s="1"/>
  <c r="G219" i="12" s="1"/>
  <c r="G301" i="12" s="1"/>
  <c r="G342" i="12" s="1"/>
  <c r="G379" i="12" s="1"/>
  <c r="G416" i="12" s="1"/>
  <c r="G453" i="12" s="1"/>
  <c r="F55" i="12"/>
  <c r="F96" i="12" s="1"/>
  <c r="F137" i="12" s="1"/>
  <c r="F178" i="12" s="1"/>
  <c r="F219" i="12" s="1"/>
  <c r="F301" i="12" s="1"/>
  <c r="F342" i="12" s="1"/>
  <c r="F379" i="12" s="1"/>
  <c r="F416" i="12" s="1"/>
  <c r="F453" i="12" s="1"/>
  <c r="E55" i="12"/>
  <c r="E96" i="12" s="1"/>
  <c r="E137" i="12" s="1"/>
  <c r="E178" i="12" s="1"/>
  <c r="E219" i="12" s="1"/>
  <c r="E301" i="12" s="1"/>
  <c r="E342" i="12" s="1"/>
  <c r="E379" i="12" s="1"/>
  <c r="E416" i="12" s="1"/>
  <c r="E453" i="12" s="1"/>
  <c r="D55" i="12"/>
  <c r="D96" i="12" s="1"/>
  <c r="D137" i="12" s="1"/>
  <c r="D178" i="12" s="1"/>
  <c r="D219" i="12" s="1"/>
  <c r="D301" i="12" s="1"/>
  <c r="D342" i="12" s="1"/>
  <c r="D379" i="12" s="1"/>
  <c r="D416" i="12" s="1"/>
  <c r="D453" i="12" s="1"/>
  <c r="B55" i="12"/>
  <c r="L54" i="12"/>
  <c r="L95" i="12" s="1"/>
  <c r="L136" i="12" s="1"/>
  <c r="L177" i="12" s="1"/>
  <c r="L218" i="12" s="1"/>
  <c r="K54" i="12"/>
  <c r="K95" i="12" s="1"/>
  <c r="K136" i="12" s="1"/>
  <c r="K177" i="12" s="1"/>
  <c r="K218" i="12" s="1"/>
  <c r="J54" i="12"/>
  <c r="J95" i="12" s="1"/>
  <c r="J136" i="12" s="1"/>
  <c r="J177" i="12" s="1"/>
  <c r="J218" i="12" s="1"/>
  <c r="G54" i="12"/>
  <c r="G95" i="12" s="1"/>
  <c r="G136" i="12" s="1"/>
  <c r="G177" i="12" s="1"/>
  <c r="G218" i="12" s="1"/>
  <c r="F54" i="12"/>
  <c r="F95" i="12" s="1"/>
  <c r="F136" i="12" s="1"/>
  <c r="F177" i="12" s="1"/>
  <c r="F218" i="12" s="1"/>
  <c r="E54" i="12"/>
  <c r="E95" i="12" s="1"/>
  <c r="E136" i="12" s="1"/>
  <c r="E177" i="12" s="1"/>
  <c r="E218" i="12" s="1"/>
  <c r="D54" i="12"/>
  <c r="D95" i="12" s="1"/>
  <c r="D136" i="12" s="1"/>
  <c r="D177" i="12" s="1"/>
  <c r="D218" i="12" s="1"/>
  <c r="B54" i="12"/>
  <c r="B95" i="12" s="1"/>
  <c r="B136" i="12" s="1"/>
  <c r="L53" i="12"/>
  <c r="L94" i="12" s="1"/>
  <c r="L135" i="12" s="1"/>
  <c r="L176" i="12" s="1"/>
  <c r="L217" i="12" s="1"/>
  <c r="L258" i="12" s="1"/>
  <c r="L299" i="12" s="1"/>
  <c r="L340" i="12" s="1"/>
  <c r="L377" i="12" s="1"/>
  <c r="L414" i="12" s="1"/>
  <c r="L451" i="12" s="1"/>
  <c r="K53" i="12"/>
  <c r="K94" i="12" s="1"/>
  <c r="K135" i="12" s="1"/>
  <c r="K176" i="12" s="1"/>
  <c r="K217" i="12" s="1"/>
  <c r="K258" i="12" s="1"/>
  <c r="K299" i="12" s="1"/>
  <c r="K340" i="12" s="1"/>
  <c r="K377" i="12" s="1"/>
  <c r="K414" i="12" s="1"/>
  <c r="K451" i="12" s="1"/>
  <c r="J53" i="12"/>
  <c r="J94" i="12" s="1"/>
  <c r="J135" i="12" s="1"/>
  <c r="J176" i="12" s="1"/>
  <c r="J217" i="12" s="1"/>
  <c r="J258" i="12" s="1"/>
  <c r="J299" i="12" s="1"/>
  <c r="J340" i="12" s="1"/>
  <c r="J377" i="12" s="1"/>
  <c r="J414" i="12" s="1"/>
  <c r="J451" i="12" s="1"/>
  <c r="G53" i="12"/>
  <c r="G94" i="12" s="1"/>
  <c r="G135" i="12" s="1"/>
  <c r="G176" i="12" s="1"/>
  <c r="G217" i="12" s="1"/>
  <c r="G299" i="12" s="1"/>
  <c r="G340" i="12" s="1"/>
  <c r="G377" i="12" s="1"/>
  <c r="G414" i="12" s="1"/>
  <c r="G451" i="12" s="1"/>
  <c r="F53" i="12"/>
  <c r="F94" i="12" s="1"/>
  <c r="F135" i="12" s="1"/>
  <c r="F176" i="12" s="1"/>
  <c r="F217" i="12" s="1"/>
  <c r="F299" i="12" s="1"/>
  <c r="F340" i="12" s="1"/>
  <c r="F377" i="12" s="1"/>
  <c r="F414" i="12" s="1"/>
  <c r="F451" i="12" s="1"/>
  <c r="E53" i="12"/>
  <c r="E94" i="12" s="1"/>
  <c r="E135" i="12" s="1"/>
  <c r="E176" i="12" s="1"/>
  <c r="E217" i="12" s="1"/>
  <c r="E299" i="12" s="1"/>
  <c r="E340" i="12" s="1"/>
  <c r="E377" i="12" s="1"/>
  <c r="E414" i="12" s="1"/>
  <c r="E451" i="12" s="1"/>
  <c r="D53" i="12"/>
  <c r="D94" i="12" s="1"/>
  <c r="D135" i="12" s="1"/>
  <c r="D176" i="12" s="1"/>
  <c r="D217" i="12" s="1"/>
  <c r="D299" i="12" s="1"/>
  <c r="D340" i="12" s="1"/>
  <c r="D377" i="12" s="1"/>
  <c r="D414" i="12" s="1"/>
  <c r="D451" i="12" s="1"/>
  <c r="B53" i="12"/>
  <c r="L52" i="12"/>
  <c r="L93" i="12" s="1"/>
  <c r="L134" i="12" s="1"/>
  <c r="L175" i="12" s="1"/>
  <c r="L216" i="12" s="1"/>
  <c r="L257" i="12" s="1"/>
  <c r="L298" i="12" s="1"/>
  <c r="L339" i="12" s="1"/>
  <c r="L376" i="12" s="1"/>
  <c r="L413" i="12" s="1"/>
  <c r="L450" i="12" s="1"/>
  <c r="K52" i="12"/>
  <c r="K93" i="12" s="1"/>
  <c r="K134" i="12" s="1"/>
  <c r="K175" i="12" s="1"/>
  <c r="K216" i="12" s="1"/>
  <c r="K257" i="12" s="1"/>
  <c r="K298" i="12" s="1"/>
  <c r="K339" i="12" s="1"/>
  <c r="K376" i="12" s="1"/>
  <c r="K413" i="12" s="1"/>
  <c r="K450" i="12" s="1"/>
  <c r="J52" i="12"/>
  <c r="J93" i="12" s="1"/>
  <c r="J134" i="12" s="1"/>
  <c r="J175" i="12" s="1"/>
  <c r="J216" i="12" s="1"/>
  <c r="J257" i="12" s="1"/>
  <c r="J298" i="12" s="1"/>
  <c r="J339" i="12" s="1"/>
  <c r="J376" i="12" s="1"/>
  <c r="J413" i="12" s="1"/>
  <c r="J450" i="12" s="1"/>
  <c r="G52" i="12"/>
  <c r="G93" i="12" s="1"/>
  <c r="G134" i="12" s="1"/>
  <c r="G175" i="12" s="1"/>
  <c r="G216" i="12" s="1"/>
  <c r="G257" i="12" s="1"/>
  <c r="G298" i="12" s="1"/>
  <c r="G339" i="12" s="1"/>
  <c r="G376" i="12" s="1"/>
  <c r="G413" i="12" s="1"/>
  <c r="G450" i="12" s="1"/>
  <c r="F52" i="12"/>
  <c r="E52" i="12"/>
  <c r="E93" i="12" s="1"/>
  <c r="E134" i="12" s="1"/>
  <c r="E175" i="12" s="1"/>
  <c r="E216" i="12" s="1"/>
  <c r="D52" i="12"/>
  <c r="D93" i="12" s="1"/>
  <c r="D134" i="12" s="1"/>
  <c r="D175" i="12" s="1"/>
  <c r="D216" i="12" s="1"/>
  <c r="D257" i="12" s="1"/>
  <c r="D298" i="12" s="1"/>
  <c r="D339" i="12" s="1"/>
  <c r="D376" i="12" s="1"/>
  <c r="D413" i="12" s="1"/>
  <c r="D450" i="12" s="1"/>
  <c r="B52" i="12"/>
  <c r="B93" i="12" s="1"/>
  <c r="N48" i="12"/>
  <c r="N89" i="12" s="1"/>
  <c r="N130" i="12" s="1"/>
  <c r="N171" i="12" s="1"/>
  <c r="N212" i="12" s="1"/>
  <c r="N253" i="12" s="1"/>
  <c r="N294" i="12" s="1"/>
  <c r="N335" i="12" s="1"/>
  <c r="N372" i="12" s="1"/>
  <c r="N409" i="12" s="1"/>
  <c r="N446" i="12" s="1"/>
  <c r="D48" i="12"/>
  <c r="D89" i="12" s="1"/>
  <c r="D130" i="12" s="1"/>
  <c r="D171" i="12" s="1"/>
  <c r="D212" i="12" s="1"/>
  <c r="D253" i="12" s="1"/>
  <c r="D294" i="12" s="1"/>
  <c r="D335" i="12" s="1"/>
  <c r="D372" i="12" s="1"/>
  <c r="D409" i="12" s="1"/>
  <c r="D446" i="12" s="1"/>
  <c r="N47" i="12"/>
  <c r="N88" i="12" s="1"/>
  <c r="N129" i="12" s="1"/>
  <c r="N170" i="12" s="1"/>
  <c r="N211" i="12" s="1"/>
  <c r="N252" i="12" s="1"/>
  <c r="N293" i="12" s="1"/>
  <c r="N334" i="12" s="1"/>
  <c r="N371" i="12" s="1"/>
  <c r="N408" i="12" s="1"/>
  <c r="N445" i="12" s="1"/>
  <c r="D47" i="12"/>
  <c r="D88" i="12" s="1"/>
  <c r="D129" i="12" s="1"/>
  <c r="D170" i="12" s="1"/>
  <c r="D211" i="12" s="1"/>
  <c r="D252" i="12" s="1"/>
  <c r="D293" i="12" s="1"/>
  <c r="D334" i="12" s="1"/>
  <c r="D371" i="12" s="1"/>
  <c r="D408" i="12" s="1"/>
  <c r="D445" i="12" s="1"/>
  <c r="N46" i="12"/>
  <c r="N87" i="12" s="1"/>
  <c r="N128" i="12" s="1"/>
  <c r="N169" i="12" s="1"/>
  <c r="N210" i="12" s="1"/>
  <c r="N251" i="12" s="1"/>
  <c r="N292" i="12" s="1"/>
  <c r="N333" i="12" s="1"/>
  <c r="N370" i="12" s="1"/>
  <c r="N407" i="12" s="1"/>
  <c r="N444" i="12" s="1"/>
  <c r="D46" i="12"/>
  <c r="D87" i="12" s="1"/>
  <c r="D128" i="12" s="1"/>
  <c r="D169" i="12" s="1"/>
  <c r="D210" i="12" s="1"/>
  <c r="D251" i="12" s="1"/>
  <c r="D292" i="12" s="1"/>
  <c r="D333" i="12" s="1"/>
  <c r="D370" i="12" s="1"/>
  <c r="D407" i="12" s="1"/>
  <c r="D444" i="12" s="1"/>
  <c r="N45" i="12"/>
  <c r="N86" i="12" s="1"/>
  <c r="N127" i="12" s="1"/>
  <c r="N168" i="12" s="1"/>
  <c r="N209" i="12" s="1"/>
  <c r="N250" i="12" s="1"/>
  <c r="N291" i="12" s="1"/>
  <c r="N332" i="12" s="1"/>
  <c r="N369" i="12" s="1"/>
  <c r="N406" i="12" s="1"/>
  <c r="N443" i="12" s="1"/>
  <c r="I16" i="12"/>
  <c r="I15" i="12"/>
  <c r="M15" i="12" s="1"/>
  <c r="I14" i="12"/>
  <c r="M14" i="12" s="1"/>
  <c r="I13" i="12"/>
  <c r="M13" i="12" s="1"/>
  <c r="N13" i="12" s="1"/>
  <c r="M12" i="12"/>
  <c r="I11" i="12"/>
  <c r="G308" i="1"/>
  <c r="H308" i="1"/>
  <c r="K268" i="1"/>
  <c r="K308" i="1" s="1"/>
  <c r="K348" i="1" s="1"/>
  <c r="K388" i="1" s="1"/>
  <c r="K428" i="1" s="1"/>
  <c r="L268" i="1"/>
  <c r="L308" i="1" s="1"/>
  <c r="L348" i="1" s="1"/>
  <c r="L388" i="1" s="1"/>
  <c r="L428" i="1" s="1"/>
  <c r="M268" i="1"/>
  <c r="M308" i="1" s="1"/>
  <c r="M348" i="1" s="1"/>
  <c r="M388" i="1" s="1"/>
  <c r="M428" i="1" s="1"/>
  <c r="K47" i="1"/>
  <c r="K83" i="1" s="1"/>
  <c r="K119" i="1" s="1"/>
  <c r="K155" i="1" s="1"/>
  <c r="K191" i="1" s="1"/>
  <c r="K227" i="1" s="1"/>
  <c r="K267" i="1" s="1"/>
  <c r="K307" i="1" s="1"/>
  <c r="K347" i="1" s="1"/>
  <c r="K387" i="1" s="1"/>
  <c r="K427" i="1" s="1"/>
  <c r="L47" i="1"/>
  <c r="L83" i="1" s="1"/>
  <c r="L119" i="1" s="1"/>
  <c r="L155" i="1" s="1"/>
  <c r="L191" i="1" s="1"/>
  <c r="L227" i="1" s="1"/>
  <c r="L267" i="1" s="1"/>
  <c r="L307" i="1" s="1"/>
  <c r="L347" i="1" s="1"/>
  <c r="L387" i="1" s="1"/>
  <c r="L427" i="1" s="1"/>
  <c r="M47" i="1"/>
  <c r="M83" i="1" s="1"/>
  <c r="M119" i="1" s="1"/>
  <c r="M155" i="1" s="1"/>
  <c r="M191" i="1" s="1"/>
  <c r="M227" i="1" s="1"/>
  <c r="M267" i="1" s="1"/>
  <c r="M307" i="1" s="1"/>
  <c r="M347" i="1" s="1"/>
  <c r="M387" i="1" s="1"/>
  <c r="M427" i="1" s="1"/>
  <c r="K48" i="1"/>
  <c r="K84" i="1" s="1"/>
  <c r="K120" i="1" s="1"/>
  <c r="K156" i="1" s="1"/>
  <c r="K192" i="1" s="1"/>
  <c r="L48" i="1"/>
  <c r="L84" i="1" s="1"/>
  <c r="L120" i="1" s="1"/>
  <c r="L156" i="1" s="1"/>
  <c r="L192" i="1" s="1"/>
  <c r="M48" i="1"/>
  <c r="M84" i="1" s="1"/>
  <c r="M120" i="1" s="1"/>
  <c r="M156" i="1" s="1"/>
  <c r="M192" i="1" s="1"/>
  <c r="K49" i="1"/>
  <c r="K85" i="1" s="1"/>
  <c r="K121" i="1" s="1"/>
  <c r="K157" i="1" s="1"/>
  <c r="K193" i="1" s="1"/>
  <c r="K269" i="1" s="1"/>
  <c r="K309" i="1" s="1"/>
  <c r="K349" i="1" s="1"/>
  <c r="K389" i="1" s="1"/>
  <c r="K429" i="1" s="1"/>
  <c r="L49" i="1"/>
  <c r="L85" i="1" s="1"/>
  <c r="L121" i="1" s="1"/>
  <c r="L157" i="1" s="1"/>
  <c r="L193" i="1" s="1"/>
  <c r="L269" i="1" s="1"/>
  <c r="L309" i="1" s="1"/>
  <c r="L349" i="1" s="1"/>
  <c r="L389" i="1" s="1"/>
  <c r="L429" i="1" s="1"/>
  <c r="M49" i="1"/>
  <c r="M85" i="1" s="1"/>
  <c r="M121" i="1" s="1"/>
  <c r="M157" i="1" s="1"/>
  <c r="M193" i="1" s="1"/>
  <c r="M269" i="1" s="1"/>
  <c r="M309" i="1" s="1"/>
  <c r="M349" i="1" s="1"/>
  <c r="M389" i="1" s="1"/>
  <c r="M429" i="1" s="1"/>
  <c r="K50" i="1"/>
  <c r="K86" i="1" s="1"/>
  <c r="K122" i="1" s="1"/>
  <c r="K158" i="1" s="1"/>
  <c r="K194" i="1" s="1"/>
  <c r="K230" i="1" s="1"/>
  <c r="K270" i="1" s="1"/>
  <c r="K310" i="1" s="1"/>
  <c r="K350" i="1" s="1"/>
  <c r="K390" i="1" s="1"/>
  <c r="K430" i="1" s="1"/>
  <c r="L50" i="1"/>
  <c r="M50" i="1"/>
  <c r="M86" i="1" s="1"/>
  <c r="M122" i="1" s="1"/>
  <c r="M158" i="1" s="1"/>
  <c r="M194" i="1" s="1"/>
  <c r="M230" i="1" s="1"/>
  <c r="M270" i="1" s="1"/>
  <c r="M310" i="1" s="1"/>
  <c r="M350" i="1" s="1"/>
  <c r="M390" i="1" s="1"/>
  <c r="M430" i="1" s="1"/>
  <c r="K51" i="1"/>
  <c r="K87" i="1" s="1"/>
  <c r="K123" i="1" s="1"/>
  <c r="K159" i="1" s="1"/>
  <c r="K195" i="1" s="1"/>
  <c r="K231" i="1" s="1"/>
  <c r="K271" i="1" s="1"/>
  <c r="K311" i="1" s="1"/>
  <c r="K351" i="1" s="1"/>
  <c r="K391" i="1" s="1"/>
  <c r="K431" i="1" s="1"/>
  <c r="L51" i="1"/>
  <c r="M51" i="1"/>
  <c r="M87" i="1" s="1"/>
  <c r="M123" i="1" s="1"/>
  <c r="M159" i="1" s="1"/>
  <c r="M195" i="1" s="1"/>
  <c r="M231" i="1" s="1"/>
  <c r="M271" i="1" s="1"/>
  <c r="M311" i="1" s="1"/>
  <c r="M351" i="1" s="1"/>
  <c r="M391" i="1" s="1"/>
  <c r="M431" i="1" s="1"/>
  <c r="M46" i="1"/>
  <c r="M82" i="1" s="1"/>
  <c r="M118" i="1" s="1"/>
  <c r="M154" i="1" s="1"/>
  <c r="M190" i="1" s="1"/>
  <c r="M226" i="1" s="1"/>
  <c r="M266" i="1" s="1"/>
  <c r="M306" i="1" s="1"/>
  <c r="M346" i="1" s="1"/>
  <c r="M386" i="1" s="1"/>
  <c r="M426" i="1" s="1"/>
  <c r="L46" i="1"/>
  <c r="L82" i="1" s="1"/>
  <c r="L118" i="1" s="1"/>
  <c r="L154" i="1" s="1"/>
  <c r="L190" i="1" s="1"/>
  <c r="L226" i="1" s="1"/>
  <c r="L266" i="1" s="1"/>
  <c r="L306" i="1" s="1"/>
  <c r="L346" i="1" s="1"/>
  <c r="L386" i="1" s="1"/>
  <c r="L426" i="1" s="1"/>
  <c r="K46" i="1"/>
  <c r="K82" i="1" s="1"/>
  <c r="K118" i="1" s="1"/>
  <c r="K154" i="1" s="1"/>
  <c r="K190" i="1" s="1"/>
  <c r="K226" i="1" s="1"/>
  <c r="K266" i="1" s="1"/>
  <c r="K306" i="1" s="1"/>
  <c r="K346" i="1" s="1"/>
  <c r="K386" i="1" s="1"/>
  <c r="K426" i="1" s="1"/>
  <c r="J12" i="1"/>
  <c r="N12" i="1" s="1"/>
  <c r="O12" i="1" s="1"/>
  <c r="J13" i="1"/>
  <c r="N13" i="1" s="1"/>
  <c r="O13" i="1" s="1"/>
  <c r="J14" i="1"/>
  <c r="N14" i="1" s="1"/>
  <c r="J15" i="1"/>
  <c r="N15" i="1" s="1"/>
  <c r="O15" i="1" s="1"/>
  <c r="J16" i="1"/>
  <c r="J11" i="1"/>
  <c r="P63" i="1"/>
  <c r="P99" i="1" s="1"/>
  <c r="P135" i="1" s="1"/>
  <c r="P171" i="1" s="1"/>
  <c r="P207" i="1" s="1"/>
  <c r="P62" i="1"/>
  <c r="P98" i="1" s="1"/>
  <c r="P134" i="1" s="1"/>
  <c r="P170" i="1" s="1"/>
  <c r="P206" i="1" s="1"/>
  <c r="C63" i="1"/>
  <c r="C99" i="1" s="1"/>
  <c r="C171" i="1" s="1"/>
  <c r="C207" i="1" s="1"/>
  <c r="C243" i="1" s="1"/>
  <c r="C283" i="1" s="1"/>
  <c r="C323" i="1" s="1"/>
  <c r="C363" i="1" s="1"/>
  <c r="C403" i="1" s="1"/>
  <c r="C443" i="1" s="1"/>
  <c r="C62" i="1"/>
  <c r="C98" i="1" s="1"/>
  <c r="C170" i="1" s="1"/>
  <c r="C206" i="1" s="1"/>
  <c r="C242" i="1" s="1"/>
  <c r="C282" i="1" s="1"/>
  <c r="C322" i="1" s="1"/>
  <c r="C362" i="1" s="1"/>
  <c r="C402" i="1" s="1"/>
  <c r="C442" i="1" s="1"/>
  <c r="F48" i="1"/>
  <c r="F84" i="1" s="1"/>
  <c r="F120" i="1" s="1"/>
  <c r="F156" i="1" s="1"/>
  <c r="F192" i="1" s="1"/>
  <c r="G48" i="1"/>
  <c r="G84" i="1" s="1"/>
  <c r="G120" i="1" s="1"/>
  <c r="G156" i="1" s="1"/>
  <c r="G192" i="1" s="1"/>
  <c r="H48" i="1"/>
  <c r="H84" i="1" s="1"/>
  <c r="H120" i="1" s="1"/>
  <c r="H156" i="1" s="1"/>
  <c r="H192" i="1" s="1"/>
  <c r="F49" i="1"/>
  <c r="G49" i="1"/>
  <c r="G85" i="1" s="1"/>
  <c r="G121" i="1" s="1"/>
  <c r="G157" i="1" s="1"/>
  <c r="G193" i="1" s="1"/>
  <c r="G269" i="1" s="1"/>
  <c r="G309" i="1" s="1"/>
  <c r="G349" i="1" s="1"/>
  <c r="G389" i="1" s="1"/>
  <c r="G429" i="1" s="1"/>
  <c r="H49" i="1"/>
  <c r="H85" i="1" s="1"/>
  <c r="H121" i="1" s="1"/>
  <c r="H157" i="1" s="1"/>
  <c r="H193" i="1" s="1"/>
  <c r="H269" i="1" s="1"/>
  <c r="H309" i="1" s="1"/>
  <c r="H349" i="1" s="1"/>
  <c r="H389" i="1" s="1"/>
  <c r="H429" i="1" s="1"/>
  <c r="F50" i="1"/>
  <c r="F86" i="1" s="1"/>
  <c r="F122" i="1" s="1"/>
  <c r="F158" i="1" s="1"/>
  <c r="F194" i="1" s="1"/>
  <c r="F230" i="1" s="1"/>
  <c r="F270" i="1" s="1"/>
  <c r="F310" i="1" s="1"/>
  <c r="F350" i="1" s="1"/>
  <c r="F390" i="1" s="1"/>
  <c r="F430" i="1" s="1"/>
  <c r="G50" i="1"/>
  <c r="G86" i="1" s="1"/>
  <c r="G122" i="1" s="1"/>
  <c r="G158" i="1" s="1"/>
  <c r="G194" i="1" s="1"/>
  <c r="G230" i="1" s="1"/>
  <c r="G270" i="1" s="1"/>
  <c r="G310" i="1" s="1"/>
  <c r="G350" i="1" s="1"/>
  <c r="G390" i="1" s="1"/>
  <c r="G430" i="1" s="1"/>
  <c r="H50" i="1"/>
  <c r="H86" i="1" s="1"/>
  <c r="H122" i="1" s="1"/>
  <c r="H158" i="1" s="1"/>
  <c r="H194" i="1" s="1"/>
  <c r="H230" i="1" s="1"/>
  <c r="H270" i="1" s="1"/>
  <c r="H310" i="1" s="1"/>
  <c r="H350" i="1" s="1"/>
  <c r="H390" i="1" s="1"/>
  <c r="H430" i="1" s="1"/>
  <c r="F51" i="1"/>
  <c r="F87" i="1" s="1"/>
  <c r="G51" i="1"/>
  <c r="G87" i="1" s="1"/>
  <c r="G123" i="1" s="1"/>
  <c r="G159" i="1" s="1"/>
  <c r="G195" i="1" s="1"/>
  <c r="G231" i="1" s="1"/>
  <c r="G271" i="1" s="1"/>
  <c r="G311" i="1" s="1"/>
  <c r="G351" i="1" s="1"/>
  <c r="G391" i="1" s="1"/>
  <c r="G431" i="1" s="1"/>
  <c r="H51" i="1"/>
  <c r="H87" i="1" s="1"/>
  <c r="H123" i="1" s="1"/>
  <c r="H159" i="1" s="1"/>
  <c r="H195" i="1" s="1"/>
  <c r="H231" i="1" s="1"/>
  <c r="H271" i="1" s="1"/>
  <c r="H311" i="1" s="1"/>
  <c r="H351" i="1" s="1"/>
  <c r="H391" i="1" s="1"/>
  <c r="H431" i="1" s="1"/>
  <c r="G46" i="1"/>
  <c r="G82" i="1" s="1"/>
  <c r="G118" i="1" s="1"/>
  <c r="G154" i="1" s="1"/>
  <c r="G190" i="1" s="1"/>
  <c r="G266" i="1" s="1"/>
  <c r="G306" i="1" s="1"/>
  <c r="G346" i="1" s="1"/>
  <c r="G386" i="1" s="1"/>
  <c r="G426" i="1" s="1"/>
  <c r="H46" i="1"/>
  <c r="H82" i="1" s="1"/>
  <c r="H118" i="1" s="1"/>
  <c r="H154" i="1" s="1"/>
  <c r="H190" i="1" s="1"/>
  <c r="H226" i="1" s="1"/>
  <c r="H266" i="1" s="1"/>
  <c r="H306" i="1" s="1"/>
  <c r="H346" i="1" s="1"/>
  <c r="H386" i="1" s="1"/>
  <c r="H426" i="1" s="1"/>
  <c r="G47" i="1"/>
  <c r="G83" i="1" s="1"/>
  <c r="G119" i="1" s="1"/>
  <c r="G155" i="1" s="1"/>
  <c r="G191" i="1" s="1"/>
  <c r="G227" i="1" s="1"/>
  <c r="G267" i="1" s="1"/>
  <c r="G307" i="1" s="1"/>
  <c r="G347" i="1" s="1"/>
  <c r="G387" i="1" s="1"/>
  <c r="G427" i="1" s="1"/>
  <c r="H47" i="1"/>
  <c r="H83" i="1" s="1"/>
  <c r="H119" i="1" s="1"/>
  <c r="H155" i="1" s="1"/>
  <c r="H191" i="1" s="1"/>
  <c r="H227" i="1" s="1"/>
  <c r="H267" i="1" s="1"/>
  <c r="H307" i="1" s="1"/>
  <c r="H347" i="1" s="1"/>
  <c r="H387" i="1" s="1"/>
  <c r="H427" i="1" s="1"/>
  <c r="F47" i="1"/>
  <c r="F83" i="1" s="1"/>
  <c r="F119" i="1" s="1"/>
  <c r="F46" i="1"/>
  <c r="F82" i="1" s="1"/>
  <c r="F118" i="1" s="1"/>
  <c r="F154" i="1" s="1"/>
  <c r="F190" i="1" s="1"/>
  <c r="E47" i="1"/>
  <c r="E83" i="1" s="1"/>
  <c r="E119" i="1" s="1"/>
  <c r="E155" i="1" s="1"/>
  <c r="E191" i="1" s="1"/>
  <c r="E267" i="1" s="1"/>
  <c r="E307" i="1" s="1"/>
  <c r="E347" i="1" s="1"/>
  <c r="E387" i="1" s="1"/>
  <c r="E427" i="1" s="1"/>
  <c r="E48" i="1"/>
  <c r="E84" i="1" s="1"/>
  <c r="E120" i="1" s="1"/>
  <c r="E156" i="1" s="1"/>
  <c r="E192" i="1" s="1"/>
  <c r="E268" i="1" s="1"/>
  <c r="E308" i="1" s="1"/>
  <c r="E348" i="1" s="1"/>
  <c r="E388" i="1" s="1"/>
  <c r="E428" i="1" s="1"/>
  <c r="E49" i="1"/>
  <c r="E85" i="1" s="1"/>
  <c r="E121" i="1" s="1"/>
  <c r="E157" i="1" s="1"/>
  <c r="E193" i="1" s="1"/>
  <c r="E269" i="1" s="1"/>
  <c r="E309" i="1" s="1"/>
  <c r="E349" i="1" s="1"/>
  <c r="E389" i="1" s="1"/>
  <c r="E429" i="1" s="1"/>
  <c r="E50" i="1"/>
  <c r="E86" i="1" s="1"/>
  <c r="E122" i="1" s="1"/>
  <c r="E158" i="1" s="1"/>
  <c r="E194" i="1" s="1"/>
  <c r="E230" i="1" s="1"/>
  <c r="E270" i="1" s="1"/>
  <c r="E310" i="1" s="1"/>
  <c r="E350" i="1" s="1"/>
  <c r="E390" i="1" s="1"/>
  <c r="E430" i="1" s="1"/>
  <c r="E51" i="1"/>
  <c r="E87" i="1" s="1"/>
  <c r="E123" i="1" s="1"/>
  <c r="E159" i="1" s="1"/>
  <c r="E195" i="1" s="1"/>
  <c r="E231" i="1" s="1"/>
  <c r="E271" i="1" s="1"/>
  <c r="E311" i="1" s="1"/>
  <c r="E351" i="1" s="1"/>
  <c r="E391" i="1" s="1"/>
  <c r="E431" i="1" s="1"/>
  <c r="E46" i="1"/>
  <c r="E82" i="1" s="1"/>
  <c r="E118" i="1" s="1"/>
  <c r="E154" i="1" s="1"/>
  <c r="E190" i="1" s="1"/>
  <c r="E266" i="1" s="1"/>
  <c r="E306" i="1" s="1"/>
  <c r="E346" i="1" s="1"/>
  <c r="E386" i="1" s="1"/>
  <c r="E426" i="1" s="1"/>
  <c r="B48" i="1"/>
  <c r="B84" i="1" s="1"/>
  <c r="B120" i="1" s="1"/>
  <c r="B156" i="1" s="1"/>
  <c r="B192" i="1" s="1"/>
  <c r="B268" i="1" s="1"/>
  <c r="B308" i="1" s="1"/>
  <c r="B348" i="1" s="1"/>
  <c r="B388" i="1" s="1"/>
  <c r="B428" i="1" s="1"/>
  <c r="B49" i="1"/>
  <c r="B85" i="1" s="1"/>
  <c r="B121" i="1" s="1"/>
  <c r="B157" i="1" s="1"/>
  <c r="B193" i="1" s="1"/>
  <c r="B269" i="1" s="1"/>
  <c r="B309" i="1" s="1"/>
  <c r="B349" i="1" s="1"/>
  <c r="B389" i="1" s="1"/>
  <c r="B429" i="1" s="1"/>
  <c r="B50" i="1"/>
  <c r="B86" i="1" s="1"/>
  <c r="B122" i="1" s="1"/>
  <c r="B158" i="1" s="1"/>
  <c r="B194" i="1" s="1"/>
  <c r="B230" i="1" s="1"/>
  <c r="B270" i="1" s="1"/>
  <c r="B310" i="1" s="1"/>
  <c r="B350" i="1" s="1"/>
  <c r="B390" i="1" s="1"/>
  <c r="B430" i="1" s="1"/>
  <c r="J430" i="1" s="1"/>
  <c r="N430" i="1" s="1"/>
  <c r="B51" i="1"/>
  <c r="B87" i="1" s="1"/>
  <c r="B123" i="1" s="1"/>
  <c r="B159" i="1" s="1"/>
  <c r="B195" i="1" s="1"/>
  <c r="B231" i="1" s="1"/>
  <c r="B271" i="1" s="1"/>
  <c r="B311" i="1" s="1"/>
  <c r="B351" i="1" s="1"/>
  <c r="B391" i="1" s="1"/>
  <c r="B431" i="1" s="1"/>
  <c r="J431" i="1" s="1"/>
  <c r="N431" i="1" s="1"/>
  <c r="B47" i="1"/>
  <c r="B83" i="1" s="1"/>
  <c r="B119" i="1" s="1"/>
  <c r="B155" i="1" s="1"/>
  <c r="B191" i="1" s="1"/>
  <c r="B227" i="1" s="1"/>
  <c r="B267" i="1" s="1"/>
  <c r="B307" i="1" s="1"/>
  <c r="B347" i="1" s="1"/>
  <c r="B387" i="1" s="1"/>
  <c r="B427" i="1" s="1"/>
  <c r="B46" i="1"/>
  <c r="B82" i="1" s="1"/>
  <c r="B118" i="1" s="1"/>
  <c r="B154" i="1" s="1"/>
  <c r="B190" i="1" s="1"/>
  <c r="B266" i="1" s="1"/>
  <c r="B306" i="1" s="1"/>
  <c r="B346" i="1" s="1"/>
  <c r="B386" i="1" s="1"/>
  <c r="B426" i="1" s="1"/>
  <c r="O42" i="1"/>
  <c r="O78" i="1" s="1"/>
  <c r="O114" i="1" s="1"/>
  <c r="O150" i="1" s="1"/>
  <c r="O186" i="1" s="1"/>
  <c r="O222" i="1" s="1"/>
  <c r="O262" i="1" s="1"/>
  <c r="O302" i="1" s="1"/>
  <c r="O342" i="1" s="1"/>
  <c r="O382" i="1" s="1"/>
  <c r="O422" i="1" s="1"/>
  <c r="O41" i="1"/>
  <c r="O77" i="1" s="1"/>
  <c r="O113" i="1" s="1"/>
  <c r="O149" i="1" s="1"/>
  <c r="O185" i="1" s="1"/>
  <c r="O221" i="1" s="1"/>
  <c r="O261" i="1" s="1"/>
  <c r="O301" i="1" s="1"/>
  <c r="O341" i="1" s="1"/>
  <c r="O381" i="1" s="1"/>
  <c r="O421" i="1" s="1"/>
  <c r="O40" i="1"/>
  <c r="O76" i="1" s="1"/>
  <c r="O112" i="1" s="1"/>
  <c r="O148" i="1" s="1"/>
  <c r="O184" i="1" s="1"/>
  <c r="O220" i="1" s="1"/>
  <c r="O260" i="1" s="1"/>
  <c r="O300" i="1" s="1"/>
  <c r="O340" i="1" s="1"/>
  <c r="O380" i="1" s="1"/>
  <c r="O420" i="1" s="1"/>
  <c r="O39" i="1"/>
  <c r="O75" i="1" s="1"/>
  <c r="O111" i="1" s="1"/>
  <c r="O147" i="1" s="1"/>
  <c r="O183" i="1" s="1"/>
  <c r="O219" i="1" s="1"/>
  <c r="O259" i="1" s="1"/>
  <c r="O299" i="1" s="1"/>
  <c r="O339" i="1" s="1"/>
  <c r="O379" i="1" s="1"/>
  <c r="O419" i="1" s="1"/>
  <c r="D42" i="1"/>
  <c r="D78" i="1" s="1"/>
  <c r="D114" i="1" s="1"/>
  <c r="D150" i="1" s="1"/>
  <c r="D186" i="1" s="1"/>
  <c r="D222" i="1" s="1"/>
  <c r="D262" i="1" s="1"/>
  <c r="D302" i="1" s="1"/>
  <c r="D342" i="1" s="1"/>
  <c r="D382" i="1" s="1"/>
  <c r="D422" i="1" s="1"/>
  <c r="D41" i="1"/>
  <c r="D77" i="1" s="1"/>
  <c r="D113" i="1" s="1"/>
  <c r="D149" i="1" s="1"/>
  <c r="D185" i="1" s="1"/>
  <c r="D221" i="1" s="1"/>
  <c r="D261" i="1" s="1"/>
  <c r="D301" i="1" s="1"/>
  <c r="D341" i="1" s="1"/>
  <c r="D381" i="1" s="1"/>
  <c r="D421" i="1" s="1"/>
  <c r="D40" i="1"/>
  <c r="D76" i="1" s="1"/>
  <c r="D112" i="1" s="1"/>
  <c r="D148" i="1" s="1"/>
  <c r="D184" i="1" s="1"/>
  <c r="D220" i="1" s="1"/>
  <c r="D260" i="1" s="1"/>
  <c r="D300" i="1" s="1"/>
  <c r="D340" i="1" s="1"/>
  <c r="D380" i="1" s="1"/>
  <c r="D420" i="1" s="1"/>
  <c r="I43" i="14" l="1"/>
  <c r="I45" i="14"/>
  <c r="F77" i="14"/>
  <c r="I14" i="14"/>
  <c r="I42" i="14"/>
  <c r="I44" i="14"/>
  <c r="I43" i="15"/>
  <c r="I42" i="15"/>
  <c r="I45" i="15"/>
  <c r="H74" i="15"/>
  <c r="H170" i="15" s="1"/>
  <c r="I44" i="15"/>
  <c r="I14" i="15"/>
  <c r="F77" i="15"/>
  <c r="I77" i="15" s="1"/>
  <c r="C285" i="8"/>
  <c r="C319" i="8" s="1"/>
  <c r="C353" i="8" s="1"/>
  <c r="C387" i="8" s="1"/>
  <c r="C120" i="15"/>
  <c r="C121" i="14" s="1"/>
  <c r="C141" i="10" s="1"/>
  <c r="C286" i="8"/>
  <c r="C320" i="8" s="1"/>
  <c r="C354" i="8" s="1"/>
  <c r="C388" i="8" s="1"/>
  <c r="C121" i="15"/>
  <c r="C122" i="14" s="1"/>
  <c r="C142" i="10" s="1"/>
  <c r="M157" i="18"/>
  <c r="M191" i="18"/>
  <c r="N191" i="18" s="1"/>
  <c r="B262" i="18"/>
  <c r="I221" i="18"/>
  <c r="I226" i="18"/>
  <c r="B267" i="18"/>
  <c r="M380" i="18"/>
  <c r="N380" i="18" s="1"/>
  <c r="M417" i="18"/>
  <c r="N417" i="18" s="1"/>
  <c r="N151" i="18"/>
  <c r="N157" i="18" s="1"/>
  <c r="M187" i="18"/>
  <c r="N187" i="18" s="1"/>
  <c r="B263" i="18"/>
  <c r="B266" i="18"/>
  <c r="I225" i="18"/>
  <c r="M190" i="18"/>
  <c r="N190" i="18" s="1"/>
  <c r="I192" i="18"/>
  <c r="M186" i="18"/>
  <c r="I14" i="16"/>
  <c r="I76" i="15"/>
  <c r="F108" i="15"/>
  <c r="I236" i="15"/>
  <c r="H270" i="15"/>
  <c r="I237" i="15"/>
  <c r="H271" i="15"/>
  <c r="H305" i="15" s="1"/>
  <c r="H339" i="15" s="1"/>
  <c r="H373" i="15" s="1"/>
  <c r="I74" i="15"/>
  <c r="F338" i="15"/>
  <c r="F305" i="15"/>
  <c r="F75" i="15"/>
  <c r="I77" i="14"/>
  <c r="I239" i="14"/>
  <c r="H273" i="14"/>
  <c r="I240" i="14"/>
  <c r="H274" i="14"/>
  <c r="H308" i="14" s="1"/>
  <c r="H342" i="14" s="1"/>
  <c r="H376" i="14" s="1"/>
  <c r="I76" i="14"/>
  <c r="F109" i="14"/>
  <c r="F308" i="14"/>
  <c r="F75" i="14"/>
  <c r="F110" i="14"/>
  <c r="I140" i="8"/>
  <c r="I45" i="8"/>
  <c r="F172" i="8"/>
  <c r="I43" i="8"/>
  <c r="F108" i="8"/>
  <c r="F139" i="8" s="1"/>
  <c r="F171" i="8" s="1"/>
  <c r="F203" i="8" s="1"/>
  <c r="F305" i="8" s="1"/>
  <c r="F339" i="8" s="1"/>
  <c r="F373" i="8" s="1"/>
  <c r="I109" i="8"/>
  <c r="I77" i="8"/>
  <c r="H111" i="8"/>
  <c r="H108" i="8"/>
  <c r="I75" i="8"/>
  <c r="F76" i="8"/>
  <c r="J158" i="1"/>
  <c r="N158" i="1" s="1"/>
  <c r="J228" i="1"/>
  <c r="N228" i="1" s="1"/>
  <c r="O228" i="1" s="1"/>
  <c r="J231" i="1"/>
  <c r="N231" i="1" s="1"/>
  <c r="J48" i="1"/>
  <c r="N48" i="1" s="1"/>
  <c r="J83" i="1"/>
  <c r="N83" i="1" s="1"/>
  <c r="O83" i="1" s="1"/>
  <c r="N16" i="1"/>
  <c r="O16" i="1" s="1"/>
  <c r="J119" i="1"/>
  <c r="N119" i="1" s="1"/>
  <c r="L86" i="1"/>
  <c r="O14" i="1"/>
  <c r="J47" i="1"/>
  <c r="J190" i="1"/>
  <c r="N190" i="1" s="1"/>
  <c r="O190" i="1" s="1"/>
  <c r="J192" i="1"/>
  <c r="N192" i="1" s="1"/>
  <c r="O192" i="1" s="1"/>
  <c r="J391" i="1"/>
  <c r="N391" i="1" s="1"/>
  <c r="J82" i="1"/>
  <c r="N82" i="1" s="1"/>
  <c r="O82" i="1" s="1"/>
  <c r="N11" i="1"/>
  <c r="O11" i="1" s="1"/>
  <c r="J154" i="1"/>
  <c r="J156" i="1"/>
  <c r="N156" i="1" s="1"/>
  <c r="O156" i="1" s="1"/>
  <c r="J390" i="1"/>
  <c r="N390" i="1" s="1"/>
  <c r="J46" i="1"/>
  <c r="N46" i="1" s="1"/>
  <c r="O46" i="1" s="1"/>
  <c r="J87" i="1"/>
  <c r="L87" i="1"/>
  <c r="L123" i="1" s="1"/>
  <c r="L159" i="1" s="1"/>
  <c r="L195" i="1" s="1"/>
  <c r="L231" i="1" s="1"/>
  <c r="L271" i="1" s="1"/>
  <c r="L311" i="1" s="1"/>
  <c r="L351" i="1" s="1"/>
  <c r="L391" i="1" s="1"/>
  <c r="L431" i="1" s="1"/>
  <c r="O431" i="1" s="1"/>
  <c r="J123" i="1"/>
  <c r="J230" i="1"/>
  <c r="N230" i="1" s="1"/>
  <c r="J351" i="1"/>
  <c r="N351" i="1" s="1"/>
  <c r="J51" i="1"/>
  <c r="N51" i="1" s="1"/>
  <c r="J86" i="1"/>
  <c r="N86" i="1" s="1"/>
  <c r="J122" i="1"/>
  <c r="J271" i="1"/>
  <c r="J350" i="1"/>
  <c r="N350" i="1" s="1"/>
  <c r="J50" i="1"/>
  <c r="N50" i="1" s="1"/>
  <c r="J195" i="1"/>
  <c r="N195" i="1" s="1"/>
  <c r="J270" i="1"/>
  <c r="J311" i="1"/>
  <c r="N311" i="1" s="1"/>
  <c r="J49" i="1"/>
  <c r="N49" i="1" s="1"/>
  <c r="O49" i="1" s="1"/>
  <c r="J84" i="1"/>
  <c r="J118" i="1"/>
  <c r="J120" i="1"/>
  <c r="J159" i="1"/>
  <c r="N159" i="1" s="1"/>
  <c r="J194" i="1"/>
  <c r="N194" i="1" s="1"/>
  <c r="J226" i="1"/>
  <c r="N226" i="1" s="1"/>
  <c r="J310" i="1"/>
  <c r="N310" i="1" s="1"/>
  <c r="D264" i="13"/>
  <c r="D300" i="13" s="1"/>
  <c r="D336" i="13" s="1"/>
  <c r="D372" i="13" s="1"/>
  <c r="D408" i="13" s="1"/>
  <c r="N13" i="13"/>
  <c r="N84" i="13"/>
  <c r="B158" i="13"/>
  <c r="I122" i="13"/>
  <c r="M14" i="13"/>
  <c r="N14" i="13" s="1"/>
  <c r="I47" i="13"/>
  <c r="B83" i="13"/>
  <c r="B124" i="13"/>
  <c r="I49" i="13"/>
  <c r="B85" i="13"/>
  <c r="I17" i="13"/>
  <c r="I86" i="13"/>
  <c r="M11" i="13"/>
  <c r="N11" i="13" s="1"/>
  <c r="I51" i="13"/>
  <c r="B87" i="13"/>
  <c r="M88" i="13"/>
  <c r="N88" i="13" s="1"/>
  <c r="B120" i="13"/>
  <c r="I48" i="13"/>
  <c r="I50" i="13"/>
  <c r="I52" i="13"/>
  <c r="N12" i="13"/>
  <c r="M15" i="13"/>
  <c r="N15" i="13" s="1"/>
  <c r="B338" i="13"/>
  <c r="I302" i="13"/>
  <c r="I266" i="13"/>
  <c r="I52" i="12"/>
  <c r="M52" i="12" s="1"/>
  <c r="I56" i="12"/>
  <c r="M56" i="12" s="1"/>
  <c r="N56" i="12" s="1"/>
  <c r="I300" i="12"/>
  <c r="M300" i="12" s="1"/>
  <c r="I55" i="12"/>
  <c r="M55" i="12" s="1"/>
  <c r="B96" i="12"/>
  <c r="B137" i="12" s="1"/>
  <c r="M259" i="12"/>
  <c r="I54" i="12"/>
  <c r="M54" i="12" s="1"/>
  <c r="N54" i="12" s="1"/>
  <c r="I53" i="12"/>
  <c r="M53" i="12" s="1"/>
  <c r="I17" i="12"/>
  <c r="M11" i="12"/>
  <c r="N11" i="12" s="1"/>
  <c r="N12" i="12"/>
  <c r="B138" i="12"/>
  <c r="I97" i="12"/>
  <c r="I95" i="12"/>
  <c r="N14" i="12"/>
  <c r="F93" i="12"/>
  <c r="F134" i="12" s="1"/>
  <c r="F175" i="12" s="1"/>
  <c r="F216" i="12" s="1"/>
  <c r="F298" i="12" s="1"/>
  <c r="F339" i="12" s="1"/>
  <c r="F376" i="12" s="1"/>
  <c r="F413" i="12" s="1"/>
  <c r="F450" i="12" s="1"/>
  <c r="B139" i="12"/>
  <c r="I98" i="12"/>
  <c r="N15" i="12"/>
  <c r="B94" i="12"/>
  <c r="B134" i="12"/>
  <c r="M16" i="12"/>
  <c r="N16" i="12" s="1"/>
  <c r="B177" i="12"/>
  <c r="I136" i="12"/>
  <c r="B378" i="12"/>
  <c r="I341" i="12"/>
  <c r="I57" i="12"/>
  <c r="G348" i="1"/>
  <c r="G388" i="1" s="1"/>
  <c r="G428" i="1" s="1"/>
  <c r="H348" i="1"/>
  <c r="H388" i="1" s="1"/>
  <c r="H428" i="1" s="1"/>
  <c r="F266" i="1"/>
  <c r="J266" i="1" s="1"/>
  <c r="N266" i="1" s="1"/>
  <c r="O266" i="1" s="1"/>
  <c r="F155" i="1"/>
  <c r="J155" i="1" s="1"/>
  <c r="N155" i="1" s="1"/>
  <c r="O155" i="1" s="1"/>
  <c r="F123" i="1"/>
  <c r="F85" i="1"/>
  <c r="F121" i="1" s="1"/>
  <c r="J121" i="1" s="1"/>
  <c r="I46" i="14" l="1"/>
  <c r="F109" i="15"/>
  <c r="I109" i="15" s="1"/>
  <c r="I46" i="15"/>
  <c r="I46" i="8"/>
  <c r="C153" i="14"/>
  <c r="C185" i="14" s="1"/>
  <c r="C219" i="14" s="1"/>
  <c r="C253" i="14" s="1"/>
  <c r="C287" i="14" s="1"/>
  <c r="C321" i="14" s="1"/>
  <c r="C355" i="14" s="1"/>
  <c r="C389" i="14" s="1"/>
  <c r="C154" i="14"/>
  <c r="C186" i="14" s="1"/>
  <c r="C220" i="14" s="1"/>
  <c r="C254" i="14" s="1"/>
  <c r="C153" i="15"/>
  <c r="C185" i="15" s="1"/>
  <c r="C217" i="15" s="1"/>
  <c r="C251" i="15" s="1"/>
  <c r="C285" i="15" s="1"/>
  <c r="C319" i="15" s="1"/>
  <c r="C353" i="15" s="1"/>
  <c r="C387" i="15" s="1"/>
  <c r="C152" i="15"/>
  <c r="C184" i="15" s="1"/>
  <c r="C216" i="15" s="1"/>
  <c r="C250" i="15" s="1"/>
  <c r="C284" i="15" s="1"/>
  <c r="C318" i="15" s="1"/>
  <c r="C352" i="15" s="1"/>
  <c r="C386" i="15" s="1"/>
  <c r="B304" i="18"/>
  <c r="I263" i="18"/>
  <c r="M192" i="18"/>
  <c r="M222" i="18"/>
  <c r="N222" i="18" s="1"/>
  <c r="I267" i="18"/>
  <c r="B308" i="18"/>
  <c r="N186" i="18"/>
  <c r="N192" i="18" s="1"/>
  <c r="M226" i="18"/>
  <c r="N226" i="18" s="1"/>
  <c r="M221" i="18"/>
  <c r="N221" i="18" s="1"/>
  <c r="I227" i="18"/>
  <c r="I262" i="18"/>
  <c r="B303" i="18"/>
  <c r="B307" i="18"/>
  <c r="I266" i="18"/>
  <c r="M225" i="18"/>
  <c r="N225" i="18" s="1"/>
  <c r="J85" i="1"/>
  <c r="N85" i="1" s="1"/>
  <c r="O85" i="1" s="1"/>
  <c r="O48" i="1"/>
  <c r="I305" i="15"/>
  <c r="F339" i="15"/>
  <c r="F107" i="15"/>
  <c r="I75" i="15"/>
  <c r="I78" i="15" s="1"/>
  <c r="F372" i="15"/>
  <c r="I106" i="15"/>
  <c r="I271" i="15"/>
  <c r="I270" i="15"/>
  <c r="F140" i="15"/>
  <c r="I108" i="15"/>
  <c r="F142" i="14"/>
  <c r="I110" i="14"/>
  <c r="F108" i="14"/>
  <c r="I75" i="14"/>
  <c r="I308" i="14"/>
  <c r="F342" i="14"/>
  <c r="I109" i="14"/>
  <c r="F141" i="14"/>
  <c r="I74" i="14"/>
  <c r="H307" i="14"/>
  <c r="I273" i="14"/>
  <c r="I274" i="14"/>
  <c r="I172" i="8"/>
  <c r="F204" i="8"/>
  <c r="I108" i="8"/>
  <c r="H139" i="8"/>
  <c r="I74" i="8"/>
  <c r="I111" i="8"/>
  <c r="H142" i="8"/>
  <c r="I76" i="8"/>
  <c r="F110" i="8"/>
  <c r="O311" i="1"/>
  <c r="O119" i="1"/>
  <c r="O391" i="1"/>
  <c r="N154" i="1"/>
  <c r="O154" i="1" s="1"/>
  <c r="O51" i="1"/>
  <c r="N47" i="1"/>
  <c r="N52" i="1" s="1"/>
  <c r="O231" i="1"/>
  <c r="N270" i="1"/>
  <c r="N271" i="1"/>
  <c r="O271" i="1" s="1"/>
  <c r="O351" i="1"/>
  <c r="O86" i="1"/>
  <c r="L122" i="1"/>
  <c r="L158" i="1" s="1"/>
  <c r="N84" i="1"/>
  <c r="O84" i="1" s="1"/>
  <c r="N87" i="1"/>
  <c r="O87" i="1" s="1"/>
  <c r="O159" i="1"/>
  <c r="O195" i="1"/>
  <c r="O50" i="1"/>
  <c r="O226" i="1"/>
  <c r="N120" i="1"/>
  <c r="O120" i="1" s="1"/>
  <c r="N121" i="1"/>
  <c r="O121" i="1" s="1"/>
  <c r="N122" i="1"/>
  <c r="N123" i="1"/>
  <c r="O123" i="1" s="1"/>
  <c r="N118" i="1"/>
  <c r="O118" i="1" s="1"/>
  <c r="B119" i="13"/>
  <c r="I83" i="13"/>
  <c r="M302" i="13"/>
  <c r="N302" i="13" s="1"/>
  <c r="M50" i="13"/>
  <c r="N50" i="13" s="1"/>
  <c r="M47" i="13"/>
  <c r="I53" i="13"/>
  <c r="M48" i="13"/>
  <c r="N48" i="13" s="1"/>
  <c r="B374" i="13"/>
  <c r="I338" i="13"/>
  <c r="B156" i="13"/>
  <c r="I120" i="13"/>
  <c r="B121" i="13"/>
  <c r="I85" i="13"/>
  <c r="M86" i="13"/>
  <c r="N86" i="13" s="1"/>
  <c r="N17" i="13"/>
  <c r="I158" i="13"/>
  <c r="B194" i="13"/>
  <c r="I194" i="13" s="1"/>
  <c r="M52" i="13"/>
  <c r="N52" i="13" s="1"/>
  <c r="M49" i="13"/>
  <c r="N49" i="13" s="1"/>
  <c r="M51" i="13"/>
  <c r="N51" i="13" s="1"/>
  <c r="M122" i="13"/>
  <c r="N122" i="13" s="1"/>
  <c r="B123" i="13"/>
  <c r="I87" i="13"/>
  <c r="M266" i="13"/>
  <c r="N266" i="13" s="1"/>
  <c r="M17" i="13"/>
  <c r="B160" i="13"/>
  <c r="I124" i="13"/>
  <c r="I96" i="12"/>
  <c r="M96" i="12" s="1"/>
  <c r="N96" i="12" s="1"/>
  <c r="N55" i="12"/>
  <c r="N300" i="12"/>
  <c r="N52" i="12"/>
  <c r="N259" i="12"/>
  <c r="I93" i="12"/>
  <c r="M93" i="12" s="1"/>
  <c r="N93" i="12" s="1"/>
  <c r="M17" i="12"/>
  <c r="N17" i="12"/>
  <c r="M57" i="12"/>
  <c r="N57" i="12" s="1"/>
  <c r="N53" i="12"/>
  <c r="I94" i="12"/>
  <c r="B135" i="12"/>
  <c r="I137" i="12"/>
  <c r="B178" i="12"/>
  <c r="M341" i="12"/>
  <c r="N341" i="12" s="1"/>
  <c r="I378" i="12"/>
  <c r="B415" i="12"/>
  <c r="M95" i="12"/>
  <c r="N95" i="12" s="1"/>
  <c r="M97" i="12"/>
  <c r="N97" i="12" s="1"/>
  <c r="M98" i="12"/>
  <c r="N98" i="12" s="1"/>
  <c r="B179" i="12"/>
  <c r="I138" i="12"/>
  <c r="M136" i="12"/>
  <c r="N136" i="12" s="1"/>
  <c r="B180" i="12"/>
  <c r="I139" i="12"/>
  <c r="B218" i="12"/>
  <c r="I218" i="12" s="1"/>
  <c r="I177" i="12"/>
  <c r="B175" i="12"/>
  <c r="I134" i="12"/>
  <c r="I58" i="12"/>
  <c r="F306" i="1"/>
  <c r="J306" i="1" s="1"/>
  <c r="N306" i="1" s="1"/>
  <c r="O306" i="1" s="1"/>
  <c r="F268" i="1"/>
  <c r="J268" i="1" s="1"/>
  <c r="F191" i="1"/>
  <c r="J191" i="1" s="1"/>
  <c r="N191" i="1" s="1"/>
  <c r="O191" i="1" s="1"/>
  <c r="F157" i="1"/>
  <c r="J157" i="1" s="1"/>
  <c r="N157" i="1" s="1"/>
  <c r="O157" i="1" s="1"/>
  <c r="F159" i="1"/>
  <c r="J52" i="1"/>
  <c r="F141" i="15" l="1"/>
  <c r="C24" i="16"/>
  <c r="C288" i="14"/>
  <c r="C322" i="14" s="1"/>
  <c r="C356" i="14" s="1"/>
  <c r="C390" i="14" s="1"/>
  <c r="C25" i="16"/>
  <c r="B345" i="18"/>
  <c r="I308" i="18"/>
  <c r="M267" i="18"/>
  <c r="N267" i="18" s="1"/>
  <c r="I307" i="18"/>
  <c r="B344" i="18"/>
  <c r="N227" i="18"/>
  <c r="M227" i="18"/>
  <c r="I303" i="18"/>
  <c r="B340" i="18"/>
  <c r="M263" i="18"/>
  <c r="N263" i="18" s="1"/>
  <c r="I268" i="18"/>
  <c r="M262" i="18"/>
  <c r="N262" i="18" s="1"/>
  <c r="M266" i="18"/>
  <c r="N266" i="18" s="1"/>
  <c r="B341" i="18"/>
  <c r="I304" i="18"/>
  <c r="J88" i="1"/>
  <c r="I339" i="15"/>
  <c r="F373" i="15"/>
  <c r="I373" i="15" s="1"/>
  <c r="I138" i="15"/>
  <c r="H338" i="15"/>
  <c r="I304" i="15"/>
  <c r="I140" i="15"/>
  <c r="F172" i="15"/>
  <c r="I141" i="15"/>
  <c r="F173" i="15"/>
  <c r="I107" i="15"/>
  <c r="I110" i="15" s="1"/>
  <c r="F139" i="15"/>
  <c r="H341" i="14"/>
  <c r="I307" i="14"/>
  <c r="I342" i="14"/>
  <c r="F376" i="14"/>
  <c r="I376" i="14" s="1"/>
  <c r="I107" i="14"/>
  <c r="I78" i="14"/>
  <c r="I108" i="14"/>
  <c r="F140" i="14"/>
  <c r="I141" i="14"/>
  <c r="F173" i="14"/>
  <c r="I142" i="14"/>
  <c r="F174" i="14"/>
  <c r="I204" i="8"/>
  <c r="I78" i="8"/>
  <c r="I142" i="8"/>
  <c r="H174" i="8"/>
  <c r="I139" i="8"/>
  <c r="H171" i="8"/>
  <c r="I110" i="8"/>
  <c r="I112" i="8" s="1"/>
  <c r="F141" i="8"/>
  <c r="O47" i="1"/>
  <c r="O52" i="1" s="1"/>
  <c r="O122" i="1"/>
  <c r="O124" i="1" s="1"/>
  <c r="L194" i="1"/>
  <c r="O158" i="1"/>
  <c r="N268" i="1"/>
  <c r="O268" i="1" s="1"/>
  <c r="M87" i="13"/>
  <c r="N87" i="13" s="1"/>
  <c r="M124" i="13"/>
  <c r="N124" i="13" s="1"/>
  <c r="M158" i="13"/>
  <c r="N158" i="13" s="1"/>
  <c r="M338" i="13"/>
  <c r="N338" i="13" s="1"/>
  <c r="B159" i="13"/>
  <c r="I123" i="13"/>
  <c r="I160" i="13"/>
  <c r="B196" i="13"/>
  <c r="B410" i="13"/>
  <c r="I410" i="13" s="1"/>
  <c r="I374" i="13"/>
  <c r="M194" i="13"/>
  <c r="N194" i="13" s="1"/>
  <c r="I156" i="13"/>
  <c r="B192" i="13"/>
  <c r="B228" i="13" s="1"/>
  <c r="M85" i="13"/>
  <c r="N85" i="13" s="1"/>
  <c r="B157" i="13"/>
  <c r="I121" i="13"/>
  <c r="M53" i="13"/>
  <c r="M83" i="13"/>
  <c r="N83" i="13" s="1"/>
  <c r="I89" i="13"/>
  <c r="M120" i="13"/>
  <c r="N120" i="13" s="1"/>
  <c r="N47" i="13"/>
  <c r="N53" i="13" s="1"/>
  <c r="B155" i="13"/>
  <c r="I119" i="13"/>
  <c r="M58" i="12"/>
  <c r="N58" i="12"/>
  <c r="M218" i="12"/>
  <c r="N218" i="12" s="1"/>
  <c r="M137" i="12"/>
  <c r="N137" i="12" s="1"/>
  <c r="M138" i="12"/>
  <c r="N138" i="12" s="1"/>
  <c r="B220" i="12"/>
  <c r="I179" i="12"/>
  <c r="M94" i="12"/>
  <c r="M99" i="12" s="1"/>
  <c r="M177" i="12"/>
  <c r="N177" i="12" s="1"/>
  <c r="I178" i="12"/>
  <c r="B219" i="12"/>
  <c r="I415" i="12"/>
  <c r="B452" i="12"/>
  <c r="I452" i="12" s="1"/>
  <c r="M378" i="12"/>
  <c r="N378" i="12" s="1"/>
  <c r="B221" i="12"/>
  <c r="I180" i="12"/>
  <c r="I135" i="12"/>
  <c r="I140" i="12" s="1"/>
  <c r="B176" i="12"/>
  <c r="M139" i="12"/>
  <c r="N139" i="12" s="1"/>
  <c r="M134" i="12"/>
  <c r="B216" i="12"/>
  <c r="I175" i="12"/>
  <c r="I99" i="12"/>
  <c r="F346" i="1"/>
  <c r="J346" i="1" s="1"/>
  <c r="N346" i="1" s="1"/>
  <c r="O346" i="1" s="1"/>
  <c r="F308" i="1"/>
  <c r="J308" i="1" s="1"/>
  <c r="N308" i="1" s="1"/>
  <c r="O308" i="1" s="1"/>
  <c r="J124" i="1"/>
  <c r="J227" i="1"/>
  <c r="N227" i="1" s="1"/>
  <c r="O227" i="1" s="1"/>
  <c r="F195" i="1"/>
  <c r="F193" i="1"/>
  <c r="J193" i="1" s="1"/>
  <c r="N193" i="1" s="1"/>
  <c r="O193" i="1" s="1"/>
  <c r="N124" i="1"/>
  <c r="I111" i="14" l="1"/>
  <c r="N268" i="18"/>
  <c r="I344" i="18"/>
  <c r="B381" i="18"/>
  <c r="M307" i="18"/>
  <c r="N307" i="18" s="1"/>
  <c r="M268" i="18"/>
  <c r="M304" i="18"/>
  <c r="N304" i="18" s="1"/>
  <c r="B378" i="18"/>
  <c r="I341" i="18"/>
  <c r="I340" i="18"/>
  <c r="B377" i="18"/>
  <c r="M308" i="18"/>
  <c r="N308" i="18" s="1"/>
  <c r="M303" i="18"/>
  <c r="I309" i="18"/>
  <c r="B382" i="18"/>
  <c r="I345" i="18"/>
  <c r="I372" i="15"/>
  <c r="I338" i="15"/>
  <c r="I170" i="15"/>
  <c r="I202" i="15"/>
  <c r="F171" i="15"/>
  <c r="I139" i="15"/>
  <c r="I142" i="15" s="1"/>
  <c r="I173" i="15"/>
  <c r="F205" i="15"/>
  <c r="I172" i="15"/>
  <c r="F204" i="15"/>
  <c r="I139" i="14"/>
  <c r="I174" i="14"/>
  <c r="F208" i="14"/>
  <c r="F172" i="14"/>
  <c r="I140" i="14"/>
  <c r="H375" i="14"/>
  <c r="I375" i="14" s="1"/>
  <c r="I341" i="14"/>
  <c r="I173" i="14"/>
  <c r="F207" i="14"/>
  <c r="I238" i="8"/>
  <c r="F272" i="8"/>
  <c r="I171" i="8"/>
  <c r="H203" i="8"/>
  <c r="I174" i="8"/>
  <c r="H206" i="8"/>
  <c r="I141" i="8"/>
  <c r="I143" i="8" s="1"/>
  <c r="F173" i="8"/>
  <c r="L230" i="1"/>
  <c r="O194" i="1"/>
  <c r="N89" i="13"/>
  <c r="M123" i="13"/>
  <c r="N123" i="13" s="1"/>
  <c r="M156" i="13"/>
  <c r="N156" i="13" s="1"/>
  <c r="M119" i="13"/>
  <c r="I125" i="13"/>
  <c r="B191" i="13"/>
  <c r="I155" i="13"/>
  <c r="M121" i="13"/>
  <c r="N121" i="13" s="1"/>
  <c r="M374" i="13"/>
  <c r="N374" i="13" s="1"/>
  <c r="I192" i="13"/>
  <c r="B193" i="13"/>
  <c r="I157" i="13"/>
  <c r="M89" i="13"/>
  <c r="B195" i="13"/>
  <c r="I159" i="13"/>
  <c r="M410" i="13"/>
  <c r="N410" i="13" s="1"/>
  <c r="I196" i="13"/>
  <c r="B232" i="13"/>
  <c r="M160" i="13"/>
  <c r="N160" i="13" s="1"/>
  <c r="N94" i="12"/>
  <c r="N99" i="12" s="1"/>
  <c r="B261" i="12"/>
  <c r="I220" i="12"/>
  <c r="M175" i="12"/>
  <c r="N175" i="12" s="1"/>
  <c r="I176" i="12"/>
  <c r="I181" i="12" s="1"/>
  <c r="B217" i="12"/>
  <c r="I219" i="12"/>
  <c r="M180" i="12"/>
  <c r="N180" i="12" s="1"/>
  <c r="N134" i="12"/>
  <c r="B262" i="12"/>
  <c r="I221" i="12"/>
  <c r="B257" i="12"/>
  <c r="I216" i="12"/>
  <c r="M415" i="12"/>
  <c r="N415" i="12" s="1"/>
  <c r="M135" i="12"/>
  <c r="M140" i="12" s="1"/>
  <c r="M178" i="12"/>
  <c r="N178" i="12" s="1"/>
  <c r="M452" i="12"/>
  <c r="N452" i="12" s="1"/>
  <c r="M179" i="12"/>
  <c r="N179" i="12" s="1"/>
  <c r="O88" i="1"/>
  <c r="F386" i="1"/>
  <c r="J386" i="1" s="1"/>
  <c r="N386" i="1" s="1"/>
  <c r="O386" i="1" s="1"/>
  <c r="F348" i="1"/>
  <c r="J348" i="1" s="1"/>
  <c r="F267" i="1"/>
  <c r="J267" i="1" s="1"/>
  <c r="N88" i="1"/>
  <c r="J160" i="1"/>
  <c r="J229" i="1"/>
  <c r="N229" i="1" s="1"/>
  <c r="O229" i="1" s="1"/>
  <c r="F231" i="1"/>
  <c r="O160" i="1"/>
  <c r="N160" i="1"/>
  <c r="I143" i="14" l="1"/>
  <c r="B414" i="18"/>
  <c r="I414" i="18" s="1"/>
  <c r="I377" i="18"/>
  <c r="M309" i="18"/>
  <c r="M345" i="18"/>
  <c r="N345" i="18" s="1"/>
  <c r="B418" i="18"/>
  <c r="I418" i="18" s="1"/>
  <c r="I381" i="18"/>
  <c r="B419" i="18"/>
  <c r="I419" i="18" s="1"/>
  <c r="I382" i="18"/>
  <c r="M341" i="18"/>
  <c r="N341" i="18" s="1"/>
  <c r="M344" i="18"/>
  <c r="N344" i="18" s="1"/>
  <c r="M340" i="18"/>
  <c r="I346" i="18"/>
  <c r="N303" i="18"/>
  <c r="N309" i="18" s="1"/>
  <c r="B415" i="18"/>
  <c r="I415" i="18" s="1"/>
  <c r="I378" i="18"/>
  <c r="I171" i="15"/>
  <c r="I174" i="15" s="1"/>
  <c r="F203" i="15"/>
  <c r="I203" i="15" s="1"/>
  <c r="F239" i="15"/>
  <c r="I205" i="15"/>
  <c r="I204" i="15"/>
  <c r="F238" i="15"/>
  <c r="F206" i="14"/>
  <c r="I206" i="14" s="1"/>
  <c r="I172" i="14"/>
  <c r="F242" i="14"/>
  <c r="I208" i="14"/>
  <c r="I207" i="14"/>
  <c r="F241" i="14"/>
  <c r="I171" i="14"/>
  <c r="I205" i="14"/>
  <c r="I272" i="8"/>
  <c r="F306" i="8"/>
  <c r="I203" i="8"/>
  <c r="H237" i="8"/>
  <c r="I206" i="8"/>
  <c r="H240" i="8"/>
  <c r="I173" i="8"/>
  <c r="I175" i="8" s="1"/>
  <c r="F205" i="8"/>
  <c r="N267" i="1"/>
  <c r="O267" i="1" s="1"/>
  <c r="N348" i="1"/>
  <c r="O348" i="1" s="1"/>
  <c r="L270" i="1"/>
  <c r="O230" i="1"/>
  <c r="I193" i="13"/>
  <c r="M193" i="13" s="1"/>
  <c r="N193" i="13" s="1"/>
  <c r="B229" i="13"/>
  <c r="M125" i="13"/>
  <c r="N119" i="13"/>
  <c r="N125" i="13" s="1"/>
  <c r="M159" i="13"/>
  <c r="N159" i="13" s="1"/>
  <c r="I228" i="13"/>
  <c r="B264" i="13"/>
  <c r="M192" i="13"/>
  <c r="N192" i="13" s="1"/>
  <c r="B231" i="13"/>
  <c r="I195" i="13"/>
  <c r="M196" i="13"/>
  <c r="N196" i="13" s="1"/>
  <c r="M157" i="13"/>
  <c r="N157" i="13" s="1"/>
  <c r="M155" i="13"/>
  <c r="I161" i="13"/>
  <c r="B268" i="13"/>
  <c r="I232" i="13"/>
  <c r="B227" i="13"/>
  <c r="I227" i="13" s="1"/>
  <c r="I191" i="13"/>
  <c r="N135" i="12"/>
  <c r="N140" i="12" s="1"/>
  <c r="I217" i="12"/>
  <c r="B298" i="12"/>
  <c r="I257" i="12"/>
  <c r="M221" i="12"/>
  <c r="N221" i="12" s="1"/>
  <c r="M176" i="12"/>
  <c r="M181" i="12" s="1"/>
  <c r="M220" i="12"/>
  <c r="N220" i="12" s="1"/>
  <c r="I260" i="12"/>
  <c r="B301" i="12"/>
  <c r="B303" i="12"/>
  <c r="I262" i="12"/>
  <c r="M216" i="12"/>
  <c r="N216" i="12" s="1"/>
  <c r="M219" i="12"/>
  <c r="N219" i="12" s="1"/>
  <c r="I261" i="12"/>
  <c r="B302" i="12"/>
  <c r="F426" i="1"/>
  <c r="J426" i="1" s="1"/>
  <c r="N426" i="1" s="1"/>
  <c r="O426" i="1" s="1"/>
  <c r="F388" i="1"/>
  <c r="J388" i="1" s="1"/>
  <c r="N196" i="1"/>
  <c r="F307" i="1"/>
  <c r="J307" i="1" s="1"/>
  <c r="F269" i="1"/>
  <c r="J269" i="1" s="1"/>
  <c r="N269" i="1" s="1"/>
  <c r="O269" i="1" s="1"/>
  <c r="O196" i="1"/>
  <c r="J196" i="1"/>
  <c r="F271" i="1"/>
  <c r="I206" i="15" l="1"/>
  <c r="M419" i="18"/>
  <c r="N419" i="18" s="1"/>
  <c r="M418" i="18"/>
  <c r="N418" i="18" s="1"/>
  <c r="M346" i="18"/>
  <c r="M378" i="18"/>
  <c r="N378" i="18" s="1"/>
  <c r="M381" i="18"/>
  <c r="N381" i="18" s="1"/>
  <c r="M415" i="18"/>
  <c r="N415" i="18" s="1"/>
  <c r="M377" i="18"/>
  <c r="I383" i="18"/>
  <c r="N340" i="18"/>
  <c r="N346" i="18" s="1"/>
  <c r="M382" i="18"/>
  <c r="N382" i="18" s="1"/>
  <c r="M414" i="18"/>
  <c r="N414" i="18" s="1"/>
  <c r="I420" i="18"/>
  <c r="F273" i="15"/>
  <c r="I239" i="15"/>
  <c r="F272" i="15"/>
  <c r="I238" i="15"/>
  <c r="F275" i="14"/>
  <c r="I241" i="14"/>
  <c r="F276" i="14"/>
  <c r="I242" i="14"/>
  <c r="I209" i="14"/>
  <c r="I175" i="14"/>
  <c r="I306" i="8"/>
  <c r="F340" i="8"/>
  <c r="I240" i="8"/>
  <c r="H274" i="8"/>
  <c r="I237" i="8"/>
  <c r="H271" i="8"/>
  <c r="I205" i="8"/>
  <c r="I207" i="8" s="1"/>
  <c r="F239" i="8"/>
  <c r="N388" i="1"/>
  <c r="O388" i="1" s="1"/>
  <c r="L310" i="1"/>
  <c r="O270" i="1"/>
  <c r="N307" i="1"/>
  <c r="O307" i="1" s="1"/>
  <c r="B265" i="13"/>
  <c r="I229" i="13"/>
  <c r="M229" i="13" s="1"/>
  <c r="N229" i="13" s="1"/>
  <c r="M161" i="13"/>
  <c r="M191" i="13"/>
  <c r="N191" i="13" s="1"/>
  <c r="I197" i="13"/>
  <c r="N155" i="13"/>
  <c r="N161" i="13" s="1"/>
  <c r="B267" i="13"/>
  <c r="I231" i="13"/>
  <c r="B263" i="13"/>
  <c r="B300" i="13"/>
  <c r="I264" i="13"/>
  <c r="M228" i="13"/>
  <c r="N228" i="13" s="1"/>
  <c r="M232" i="13"/>
  <c r="N232" i="13" s="1"/>
  <c r="B304" i="13"/>
  <c r="I268" i="13"/>
  <c r="M195" i="13"/>
  <c r="N195" i="13" s="1"/>
  <c r="N176" i="12"/>
  <c r="N181" i="12" s="1"/>
  <c r="B344" i="12"/>
  <c r="I303" i="12"/>
  <c r="M260" i="12"/>
  <c r="N260" i="12" s="1"/>
  <c r="M257" i="12"/>
  <c r="N257" i="12" s="1"/>
  <c r="B343" i="12"/>
  <c r="I302" i="12"/>
  <c r="B342" i="12"/>
  <c r="I301" i="12"/>
  <c r="I298" i="12"/>
  <c r="B339" i="12"/>
  <c r="M217" i="12"/>
  <c r="M222" i="12" s="1"/>
  <c r="B299" i="12"/>
  <c r="I263" i="12"/>
  <c r="M261" i="12"/>
  <c r="N261" i="12" s="1"/>
  <c r="I222" i="12"/>
  <c r="M262" i="12"/>
  <c r="N262" i="12" s="1"/>
  <c r="F428" i="1"/>
  <c r="J428" i="1" s="1"/>
  <c r="F347" i="1"/>
  <c r="J347" i="1" s="1"/>
  <c r="N347" i="1" s="1"/>
  <c r="O347" i="1" s="1"/>
  <c r="F309" i="1"/>
  <c r="J309" i="1" s="1"/>
  <c r="N309" i="1" s="1"/>
  <c r="O309" i="1" s="1"/>
  <c r="F311" i="1"/>
  <c r="J232" i="1"/>
  <c r="N232" i="1"/>
  <c r="I243" i="14" l="1"/>
  <c r="I240" i="15"/>
  <c r="M383" i="18"/>
  <c r="N377" i="18"/>
  <c r="N383" i="18" s="1"/>
  <c r="M420" i="18"/>
  <c r="N420" i="18"/>
  <c r="F306" i="15"/>
  <c r="I272" i="15"/>
  <c r="F307" i="15"/>
  <c r="I273" i="15"/>
  <c r="F309" i="14"/>
  <c r="I275" i="14"/>
  <c r="F310" i="14"/>
  <c r="I276" i="14"/>
  <c r="I340" i="8"/>
  <c r="F374" i="8"/>
  <c r="I374" i="8" s="1"/>
  <c r="I271" i="8"/>
  <c r="H305" i="8"/>
  <c r="I274" i="8"/>
  <c r="H308" i="8"/>
  <c r="I239" i="8"/>
  <c r="I241" i="8" s="1"/>
  <c r="F273" i="8"/>
  <c r="N428" i="1"/>
  <c r="O428" i="1" s="1"/>
  <c r="L350" i="1"/>
  <c r="O310" i="1"/>
  <c r="B301" i="13"/>
  <c r="I265" i="13"/>
  <c r="M265" i="13" s="1"/>
  <c r="N265" i="13" s="1"/>
  <c r="N197" i="13"/>
  <c r="B340" i="13"/>
  <c r="I304" i="13"/>
  <c r="M268" i="13"/>
  <c r="N268" i="13" s="1"/>
  <c r="M231" i="13"/>
  <c r="N231" i="13" s="1"/>
  <c r="M227" i="13"/>
  <c r="I233" i="13"/>
  <c r="I263" i="13"/>
  <c r="B299" i="13"/>
  <c r="I267" i="13"/>
  <c r="B303" i="13"/>
  <c r="M264" i="13"/>
  <c r="N264" i="13" s="1"/>
  <c r="B336" i="13"/>
  <c r="I300" i="13"/>
  <c r="M197" i="13"/>
  <c r="N217" i="12"/>
  <c r="N222" i="12" s="1"/>
  <c r="M301" i="12"/>
  <c r="N301" i="12" s="1"/>
  <c r="I339" i="12"/>
  <c r="B376" i="12"/>
  <c r="M298" i="12"/>
  <c r="N298" i="12" s="1"/>
  <c r="B379" i="12"/>
  <c r="I342" i="12"/>
  <c r="M303" i="12"/>
  <c r="N303" i="12" s="1"/>
  <c r="M258" i="12"/>
  <c r="M263" i="12" s="1"/>
  <c r="M302" i="12"/>
  <c r="N302" i="12" s="1"/>
  <c r="B381" i="12"/>
  <c r="I344" i="12"/>
  <c r="I299" i="12"/>
  <c r="I304" i="12" s="1"/>
  <c r="B340" i="12"/>
  <c r="I343" i="12"/>
  <c r="B380" i="12"/>
  <c r="O232" i="1"/>
  <c r="F387" i="1"/>
  <c r="J387" i="1" s="1"/>
  <c r="N387" i="1" s="1"/>
  <c r="O387" i="1" s="1"/>
  <c r="N272" i="1"/>
  <c r="F349" i="1"/>
  <c r="J349" i="1" s="1"/>
  <c r="N349" i="1" s="1"/>
  <c r="O349" i="1" s="1"/>
  <c r="J272" i="1"/>
  <c r="F351" i="1"/>
  <c r="O272" i="1"/>
  <c r="F341" i="15" l="1"/>
  <c r="I307" i="15"/>
  <c r="I274" i="15"/>
  <c r="F340" i="15"/>
  <c r="I306" i="15"/>
  <c r="F344" i="14"/>
  <c r="I310" i="14"/>
  <c r="I277" i="14"/>
  <c r="F343" i="14"/>
  <c r="I309" i="14"/>
  <c r="I305" i="8"/>
  <c r="H339" i="8"/>
  <c r="I308" i="8"/>
  <c r="H342" i="8"/>
  <c r="I273" i="8"/>
  <c r="I275" i="8" s="1"/>
  <c r="F307" i="8"/>
  <c r="L390" i="1"/>
  <c r="O350" i="1"/>
  <c r="B337" i="13"/>
  <c r="I301" i="13"/>
  <c r="M301" i="13" s="1"/>
  <c r="N301" i="13" s="1"/>
  <c r="M233" i="13"/>
  <c r="M267" i="13"/>
  <c r="N267" i="13" s="1"/>
  <c r="M304" i="13"/>
  <c r="N304" i="13" s="1"/>
  <c r="I303" i="13"/>
  <c r="B339" i="13"/>
  <c r="I299" i="13"/>
  <c r="B335" i="13"/>
  <c r="M300" i="13"/>
  <c r="N300" i="13" s="1"/>
  <c r="N227" i="13"/>
  <c r="N233" i="13" s="1"/>
  <c r="B376" i="13"/>
  <c r="I340" i="13"/>
  <c r="M263" i="13"/>
  <c r="I269" i="13"/>
  <c r="B372" i="13"/>
  <c r="I336" i="13"/>
  <c r="B416" i="12"/>
  <c r="I379" i="12"/>
  <c r="B377" i="12"/>
  <c r="I340" i="12"/>
  <c r="I345" i="12" s="1"/>
  <c r="I380" i="12"/>
  <c r="B417" i="12"/>
  <c r="N258" i="12"/>
  <c r="N263" i="12" s="1"/>
  <c r="B413" i="12"/>
  <c r="I376" i="12"/>
  <c r="M343" i="12"/>
  <c r="N343" i="12" s="1"/>
  <c r="M339" i="12"/>
  <c r="N339" i="12" s="1"/>
  <c r="M344" i="12"/>
  <c r="N344" i="12" s="1"/>
  <c r="M299" i="12"/>
  <c r="N299" i="12" s="1"/>
  <c r="N304" i="12" s="1"/>
  <c r="B418" i="12"/>
  <c r="I381" i="12"/>
  <c r="M342" i="12"/>
  <c r="N342" i="12" s="1"/>
  <c r="F427" i="1"/>
  <c r="J427" i="1" s="1"/>
  <c r="N427" i="1" s="1"/>
  <c r="O427" i="1" s="1"/>
  <c r="F389" i="1"/>
  <c r="J389" i="1" s="1"/>
  <c r="N389" i="1" s="1"/>
  <c r="O389" i="1" s="1"/>
  <c r="F391" i="1"/>
  <c r="N312" i="1"/>
  <c r="J312" i="1"/>
  <c r="I311" i="14" l="1"/>
  <c r="I308" i="15"/>
  <c r="M269" i="13"/>
  <c r="F375" i="15"/>
  <c r="I375" i="15" s="1"/>
  <c r="I341" i="15"/>
  <c r="F374" i="15"/>
  <c r="I374" i="15" s="1"/>
  <c r="I376" i="15" s="1"/>
  <c r="I340" i="15"/>
  <c r="F377" i="14"/>
  <c r="I377" i="14" s="1"/>
  <c r="I379" i="14" s="1"/>
  <c r="I343" i="14"/>
  <c r="F378" i="14"/>
  <c r="I378" i="14" s="1"/>
  <c r="I344" i="14"/>
  <c r="I339" i="8"/>
  <c r="H373" i="8"/>
  <c r="I373" i="8" s="1"/>
  <c r="I342" i="8"/>
  <c r="H376" i="8"/>
  <c r="I376" i="8" s="1"/>
  <c r="I307" i="8"/>
  <c r="I309" i="8" s="1"/>
  <c r="F341" i="8"/>
  <c r="L430" i="1"/>
  <c r="O430" i="1" s="1"/>
  <c r="O390" i="1"/>
  <c r="B373" i="13"/>
  <c r="I337" i="13"/>
  <c r="M337" i="13" s="1"/>
  <c r="N337" i="13" s="1"/>
  <c r="N263" i="13"/>
  <c r="N269" i="13" s="1"/>
  <c r="M299" i="13"/>
  <c r="N299" i="13" s="1"/>
  <c r="I305" i="13"/>
  <c r="I339" i="13"/>
  <c r="B375" i="13"/>
  <c r="I335" i="13"/>
  <c r="B371" i="13"/>
  <c r="M340" i="13"/>
  <c r="N340" i="13" s="1"/>
  <c r="B412" i="13"/>
  <c r="I412" i="13" s="1"/>
  <c r="I376" i="13"/>
  <c r="M303" i="13"/>
  <c r="N303" i="13" s="1"/>
  <c r="M336" i="13"/>
  <c r="N336" i="13" s="1"/>
  <c r="B408" i="13"/>
  <c r="I408" i="13" s="1"/>
  <c r="I372" i="13"/>
  <c r="M304" i="12"/>
  <c r="I413" i="12"/>
  <c r="B450" i="12"/>
  <c r="I450" i="12" s="1"/>
  <c r="B453" i="12"/>
  <c r="I453" i="12" s="1"/>
  <c r="I416" i="12"/>
  <c r="M381" i="12"/>
  <c r="N381" i="12" s="1"/>
  <c r="I417" i="12"/>
  <c r="B454" i="12"/>
  <c r="I454" i="12" s="1"/>
  <c r="M376" i="12"/>
  <c r="M380" i="12"/>
  <c r="N380" i="12" s="1"/>
  <c r="B455" i="12"/>
  <c r="I455" i="12" s="1"/>
  <c r="I418" i="12"/>
  <c r="M340" i="12"/>
  <c r="N340" i="12" s="1"/>
  <c r="N345" i="12" s="1"/>
  <c r="B414" i="12"/>
  <c r="I377" i="12"/>
  <c r="I382" i="12" s="1"/>
  <c r="M379" i="12"/>
  <c r="N379" i="12" s="1"/>
  <c r="O312" i="1"/>
  <c r="N352" i="1"/>
  <c r="F429" i="1"/>
  <c r="J429" i="1" s="1"/>
  <c r="N429" i="1" s="1"/>
  <c r="O429" i="1" s="1"/>
  <c r="J392" i="1"/>
  <c r="F431" i="1"/>
  <c r="J352" i="1"/>
  <c r="O352" i="1"/>
  <c r="I342" i="15" l="1"/>
  <c r="I345" i="14"/>
  <c r="I341" i="8"/>
  <c r="I343" i="8" s="1"/>
  <c r="F375" i="8"/>
  <c r="I375" i="8" s="1"/>
  <c r="I377" i="8" s="1"/>
  <c r="B409" i="13"/>
  <c r="I409" i="13" s="1"/>
  <c r="M409" i="13" s="1"/>
  <c r="N409" i="13" s="1"/>
  <c r="I373" i="13"/>
  <c r="M373" i="13" s="1"/>
  <c r="N373" i="13" s="1"/>
  <c r="M408" i="13"/>
  <c r="N408" i="13" s="1"/>
  <c r="I371" i="13"/>
  <c r="B407" i="13"/>
  <c r="I407" i="13" s="1"/>
  <c r="M335" i="13"/>
  <c r="I341" i="13"/>
  <c r="I375" i="13"/>
  <c r="B411" i="13"/>
  <c r="I411" i="13" s="1"/>
  <c r="M339" i="13"/>
  <c r="N339" i="13" s="1"/>
  <c r="M412" i="13"/>
  <c r="N412" i="13" s="1"/>
  <c r="M376" i="13"/>
  <c r="N376" i="13" s="1"/>
  <c r="M372" i="13"/>
  <c r="N372" i="13" s="1"/>
  <c r="M305" i="13"/>
  <c r="N305" i="13"/>
  <c r="M345" i="12"/>
  <c r="M418" i="12"/>
  <c r="N418" i="12" s="1"/>
  <c r="M454" i="12"/>
  <c r="N454" i="12" s="1"/>
  <c r="M455" i="12"/>
  <c r="N455" i="12" s="1"/>
  <c r="M417" i="12"/>
  <c r="N417" i="12" s="1"/>
  <c r="M377" i="12"/>
  <c r="M382" i="12" s="1"/>
  <c r="M413" i="12"/>
  <c r="N413" i="12" s="1"/>
  <c r="B451" i="12"/>
  <c r="I451" i="12" s="1"/>
  <c r="I414" i="12"/>
  <c r="I419" i="12" s="1"/>
  <c r="M416" i="12"/>
  <c r="N416" i="12" s="1"/>
  <c r="M453" i="12"/>
  <c r="N453" i="12" s="1"/>
  <c r="N376" i="12"/>
  <c r="M450" i="12"/>
  <c r="N450" i="12" s="1"/>
  <c r="N432" i="1"/>
  <c r="N392" i="1"/>
  <c r="J432" i="1"/>
  <c r="M341" i="13" l="1"/>
  <c r="N335" i="13"/>
  <c r="N341" i="13" s="1"/>
  <c r="M407" i="13"/>
  <c r="I413" i="13"/>
  <c r="M371" i="13"/>
  <c r="I377" i="13"/>
  <c r="M375" i="13"/>
  <c r="N375" i="13" s="1"/>
  <c r="M411" i="13"/>
  <c r="N411" i="13" s="1"/>
  <c r="N377" i="12"/>
  <c r="N382" i="12" s="1"/>
  <c r="M414" i="12"/>
  <c r="N414" i="12" s="1"/>
  <c r="N419" i="12" s="1"/>
  <c r="M451" i="12"/>
  <c r="N451" i="12" s="1"/>
  <c r="N456" i="12" s="1"/>
  <c r="I456" i="12"/>
  <c r="O432" i="1"/>
  <c r="O392" i="1"/>
  <c r="M377" i="13" l="1"/>
  <c r="N371" i="13"/>
  <c r="N377" i="13" s="1"/>
  <c r="M413" i="13"/>
  <c r="N407" i="13"/>
  <c r="N413" i="13" s="1"/>
  <c r="M456" i="12"/>
  <c r="M419" i="12"/>
  <c r="J17" i="1" l="1"/>
  <c r="N17" i="1" l="1"/>
  <c r="I467" i="10" l="1"/>
  <c r="I466" i="10"/>
  <c r="I465" i="10"/>
  <c r="I464" i="10"/>
  <c r="I463" i="10"/>
  <c r="I462" i="10"/>
  <c r="I461" i="10"/>
  <c r="I460" i="10"/>
  <c r="I425" i="10"/>
  <c r="I424" i="10"/>
  <c r="I389" i="10"/>
  <c r="I388" i="10"/>
  <c r="I353" i="10"/>
  <c r="I352" i="10"/>
  <c r="I468" i="10" l="1"/>
  <c r="I390" i="10"/>
  <c r="I426" i="10"/>
  <c r="I354" i="10"/>
  <c r="I317" i="10" l="1"/>
  <c r="I316" i="10"/>
  <c r="I318" i="10" l="1"/>
  <c r="I281" i="10" l="1"/>
  <c r="I280" i="10"/>
  <c r="I245" i="10"/>
  <c r="I244" i="10"/>
  <c r="I209" i="10"/>
  <c r="I208" i="10"/>
  <c r="I282" i="10" l="1"/>
  <c r="I246" i="10"/>
  <c r="I210" i="10"/>
  <c r="I131" i="10" l="1"/>
  <c r="I130" i="10"/>
  <c r="I95" i="10"/>
  <c r="I94" i="10"/>
  <c r="I93" i="10"/>
  <c r="I92" i="10"/>
  <c r="I91" i="10"/>
  <c r="I90" i="10"/>
  <c r="I89" i="10"/>
  <c r="I88" i="10"/>
  <c r="I132" i="10" l="1"/>
  <c r="I96" i="10"/>
  <c r="I53" i="10" l="1"/>
  <c r="I52" i="10"/>
  <c r="I15" i="10"/>
  <c r="I14" i="10"/>
  <c r="I54" i="10" l="1"/>
  <c r="J28" i="10" l="1"/>
  <c r="J64" i="10" s="1"/>
  <c r="J106" i="10" s="1"/>
  <c r="J142" i="10" s="1"/>
  <c r="C28" i="10"/>
  <c r="C64" i="10" s="1"/>
  <c r="C106" i="10" s="1"/>
  <c r="J27" i="10"/>
  <c r="J63" i="10" s="1"/>
  <c r="J105" i="10" s="1"/>
  <c r="J141" i="10" s="1"/>
  <c r="C27" i="10"/>
  <c r="C63" i="10" s="1"/>
  <c r="C105" i="10" s="1"/>
  <c r="I17" i="10"/>
  <c r="I16" i="10"/>
  <c r="I13" i="10"/>
  <c r="I12" i="10"/>
  <c r="I11" i="10"/>
  <c r="I10" i="10"/>
  <c r="C183" i="10" l="1"/>
  <c r="C219" i="10" s="1"/>
  <c r="C255" i="10" s="1"/>
  <c r="C291" i="10" s="1"/>
  <c r="C327" i="10" s="1"/>
  <c r="J183" i="10"/>
  <c r="J219" i="10" s="1"/>
  <c r="J291" i="10" s="1"/>
  <c r="J327" i="10" s="1"/>
  <c r="C184" i="10"/>
  <c r="C220" i="10" s="1"/>
  <c r="C256" i="10" s="1"/>
  <c r="C292" i="10" s="1"/>
  <c r="C328" i="10" s="1"/>
  <c r="J184" i="10"/>
  <c r="J220" i="10" s="1"/>
  <c r="J292" i="10" s="1"/>
  <c r="J328" i="10" s="1"/>
  <c r="I18" i="10"/>
  <c r="J364" i="10" l="1"/>
  <c r="J401" i="10" s="1"/>
  <c r="J437" i="10" s="1"/>
  <c r="J478" i="10" s="1"/>
  <c r="C364" i="10"/>
  <c r="C401" i="10" s="1"/>
  <c r="C437" i="10" s="1"/>
  <c r="C478" i="10" s="1"/>
  <c r="J363" i="10"/>
  <c r="J400" i="10" s="1"/>
  <c r="J436" i="10" s="1"/>
  <c r="J477" i="10" s="1"/>
  <c r="C363" i="10"/>
  <c r="C400" i="10" s="1"/>
  <c r="C436" i="10" s="1"/>
  <c r="C477" i="10" s="1"/>
  <c r="I13" i="8"/>
  <c r="I12" i="8"/>
  <c r="I11" i="8"/>
  <c r="I10" i="8"/>
  <c r="I14" i="8" l="1"/>
  <c r="I10" i="3" l="1"/>
  <c r="J10" i="3" s="1"/>
  <c r="I11" i="3"/>
  <c r="J11" i="3" s="1"/>
  <c r="I12" i="3"/>
  <c r="J12" i="3" s="1"/>
  <c r="L25" i="3"/>
  <c r="L24" i="3"/>
  <c r="C25" i="3"/>
  <c r="C24" i="3"/>
  <c r="D5" i="3"/>
  <c r="I13" i="3"/>
  <c r="K12" i="3" l="1"/>
  <c r="K11" i="3"/>
  <c r="I14" i="3"/>
  <c r="J13" i="3"/>
  <c r="K13" i="3" s="1"/>
  <c r="J14" i="3" l="1"/>
  <c r="K10" i="3"/>
  <c r="K14" i="3" s="1"/>
  <c r="D125" i="10" l="1"/>
  <c r="D161" i="10" l="1"/>
  <c r="O17" i="1"/>
  <c r="D203" i="10" l="1"/>
  <c r="D239" i="10" l="1"/>
  <c r="D275" i="10" l="1"/>
  <c r="D311" i="10" l="1"/>
  <c r="D347" i="10" s="1"/>
  <c r="D383" i="10" l="1"/>
  <c r="D419" i="10" s="1"/>
  <c r="D455" i="10" s="1"/>
</calcChain>
</file>

<file path=xl/sharedStrings.xml><?xml version="1.0" encoding="utf-8"?>
<sst xmlns="http://schemas.openxmlformats.org/spreadsheetml/2006/main" count="2682" uniqueCount="197">
  <si>
    <t>Nomor</t>
  </si>
  <si>
    <t>: ____________________________</t>
  </si>
  <si>
    <t>Nama Sekolah</t>
  </si>
  <si>
    <t>Kecamatan</t>
  </si>
  <si>
    <t>: Cikalongwetan</t>
  </si>
  <si>
    <t>Kabupaten</t>
  </si>
  <si>
    <t>: Bandung Barat</t>
  </si>
  <si>
    <t>Kode Penggunaan</t>
  </si>
  <si>
    <t>NO</t>
  </si>
  <si>
    <t>NAMA PTK</t>
  </si>
  <si>
    <t>JABATAN</t>
  </si>
  <si>
    <t>Gol. / Ruang</t>
  </si>
  <si>
    <t>VOLUME</t>
  </si>
  <si>
    <t>UNIT COST (Rp)</t>
  </si>
  <si>
    <t>JUMLAH (Rp)</t>
  </si>
  <si>
    <t>PPh 21</t>
  </si>
  <si>
    <t>JUMLAH YANG DITERIMA (Rp)</t>
  </si>
  <si>
    <t>TANDA TANGAN</t>
  </si>
  <si>
    <t>GTT</t>
  </si>
  <si>
    <t>Bulan</t>
  </si>
  <si>
    <t>JUMLAH</t>
  </si>
  <si>
    <t>Mengetahui/Menyetujui</t>
  </si>
  <si>
    <t>Kepala Sekolah,</t>
  </si>
  <si>
    <t>Bendahara BOS,</t>
  </si>
  <si>
    <t>SATUAN</t>
  </si>
  <si>
    <t>Perjalanan</t>
  </si>
  <si>
    <t>Program</t>
  </si>
  <si>
    <t>Kegiatan</t>
  </si>
  <si>
    <t>Kode Rekening</t>
  </si>
  <si>
    <t>: 5</t>
  </si>
  <si>
    <t>: 07 Pengembangan Standar Pembiayaan</t>
  </si>
  <si>
    <t>PPh 21
(non pegawai = 50% x PPh Bruto-PTKP (bulanan))</t>
  </si>
  <si>
    <t>PTT</t>
  </si>
  <si>
    <t>Operator</t>
  </si>
  <si>
    <t>-</t>
  </si>
  <si>
    <t>: SD NEGERI LEBAKLEUNGSIR</t>
  </si>
  <si>
    <t>DEWI ERMIRAWATI, S.Pd</t>
  </si>
  <si>
    <t>BADRUDDIN, S.Ag</t>
  </si>
  <si>
    <t>DEDE GUNAWAN</t>
  </si>
  <si>
    <t>Hari</t>
  </si>
  <si>
    <t>DAFTAR PENERIMA HONORARIUM/GAJI GURU TIDAK TETAP (PEMBAYARAN NON TUNAI)</t>
  </si>
  <si>
    <t>Guru</t>
  </si>
  <si>
    <t>N. LILIS SARTIKA W., S.Pd.SD</t>
  </si>
  <si>
    <t>: 06 Pengembangan Standar Pengelolaan</t>
  </si>
  <si>
    <t>: 12</t>
  </si>
  <si>
    <t>VOL</t>
  </si>
  <si>
    <t>Penjaga Sekolah</t>
  </si>
  <si>
    <t>Pekerja/Tukang</t>
  </si>
  <si>
    <t>: 7</t>
  </si>
  <si>
    <t>Paket</t>
  </si>
  <si>
    <t>: 5.1.02.02.01.0013</t>
  </si>
  <si>
    <t>: Pembayaran Honor Guru</t>
  </si>
  <si>
    <t>Guru Kelas</t>
  </si>
  <si>
    <t>RISNA MARSELA HARTINI</t>
  </si>
  <si>
    <t>RACHMAWATI</t>
  </si>
  <si>
    <t>LINDAWATI</t>
  </si>
  <si>
    <t>: _____________________________</t>
  </si>
  <si>
    <t>: 5.1.02.04.01.0003</t>
  </si>
  <si>
    <t>NOMOR HP</t>
  </si>
  <si>
    <t>+62 812-2000-8018</t>
  </si>
  <si>
    <t>+62 813-2134-2325</t>
  </si>
  <si>
    <t>+62 888-2041-298</t>
  </si>
  <si>
    <t>+62 882-2908-8313</t>
  </si>
  <si>
    <t>+62 838-2181-2136</t>
  </si>
  <si>
    <t>: 5.1.02.02.01.0063</t>
  </si>
  <si>
    <t>DAFTAR BUKTI PENERIMA KUOTA/PULSA INTERNET OPERATOR</t>
  </si>
  <si>
    <t>: 05 Pengembangan Standar Sarpras</t>
  </si>
  <si>
    <t>: Upah Kerja Pemeliharaan</t>
  </si>
  <si>
    <t>: 5.1.02.02.01.0016</t>
  </si>
  <si>
    <t>: 8</t>
  </si>
  <si>
    <t>IMAN</t>
  </si>
  <si>
    <t>DAFTAR BUKTI PENERIMA JASA/UPAH KERJA PEMELIHARAAN HALAMAN SEKOLAH</t>
  </si>
  <si>
    <t>Cost (Rp)</t>
  </si>
  <si>
    <t>TAS/ Operator</t>
  </si>
  <si>
    <t>Pembina Ekskul</t>
  </si>
  <si>
    <t>BULAN JULI 2024</t>
  </si>
  <si>
    <t>DEDE GUNAWAN, S.Pd</t>
  </si>
  <si>
    <t>NIP. 198507172020121003</t>
  </si>
  <si>
    <t>BULAN SEPTEMBER 2024</t>
  </si>
  <si>
    <t>Cikalongwetan, 01 September 2024</t>
  </si>
  <si>
    <t>BULAN OKTOBER 2024</t>
  </si>
  <si>
    <t>Cikalongwetan, 01 Oktober 2024</t>
  </si>
  <si>
    <t>BULAN NOVEMBER 2024</t>
  </si>
  <si>
    <t>Cikalongwetan, 01 November 2024</t>
  </si>
  <si>
    <t>BULAN DESEMBER 2024</t>
  </si>
  <si>
    <t>Cikalongwetan, 01 Desember 2024</t>
  </si>
  <si>
    <t>Dibayar Lunas Tgl. 03 September 2024</t>
  </si>
  <si>
    <t>Dibayar Lunas Tgl. 01 Oktober 2024</t>
  </si>
  <si>
    <t>Dibayar Lunas Tgl. 05 November 2024</t>
  </si>
  <si>
    <t>Dibayar Lunas Tgl. 04 Desember 2024</t>
  </si>
  <si>
    <t>DAFTAR PENERIMA HONORARIUM/GAJI TENAGA ADMINISTRASI SEKOLAH TIDAK TETAP (PEMBAYARAN NON TUNAI)</t>
  </si>
  <si>
    <t>: Pembayaran Honor Tenaga Kependidikan</t>
  </si>
  <si>
    <t>Tenaga Perpustakaan</t>
  </si>
  <si>
    <t>DAFTAR PENERIMA HONORARIUM/GAJI PENJAGA SEKOLAH TIDAK TETAP (PEMBAYARAN NON TUNAI)</t>
  </si>
  <si>
    <t>USEP PUDIN</t>
  </si>
  <si>
    <t>Penjaga</t>
  </si>
  <si>
    <t>: Perjalanan Dinas ke bank</t>
  </si>
  <si>
    <t>DAFTAR BUKTI PENERIMA PERJALANAN DINAS KE BANK (Transaksi Non Tunai)</t>
  </si>
  <si>
    <t>Guru/Bendahara</t>
  </si>
  <si>
    <t>NUPTK</t>
  </si>
  <si>
    <t>2338750653110043</t>
  </si>
  <si>
    <t>III/B</t>
  </si>
  <si>
    <t>Cikalongwetan, 03 September 2024</t>
  </si>
  <si>
    <t>Cikalongwetan, 05 November 2024</t>
  </si>
  <si>
    <t>Cikalongwetan, 04 Desember 2024</t>
  </si>
  <si>
    <t>DAFTAR BUKTI PENERIMA PERJALANAN DINAS KOORDINASI PENGELOLAAN DANA BOSP (Transaksi Non Tunai)</t>
  </si>
  <si>
    <t>Cikalongwetan, 26 Agustus 2024</t>
  </si>
  <si>
    <t>Dibayar Lunas Tgl. 26 Agustus 2024</t>
  </si>
  <si>
    <t>DAFTAR BUKTI PENERIMA PERJALANAN DINAS RAPAT KERJA TEKNIS OPERATOR TK. GUGUS (Transaksi Non Tunai)</t>
  </si>
  <si>
    <t>: Perjalanan Dinas Rakernis Operator</t>
  </si>
  <si>
    <t>Cikalongwetan, 20 September 2024</t>
  </si>
  <si>
    <t>Dibayar Lunas Tgl. 20 September 2024</t>
  </si>
  <si>
    <t>Cikalongwetan, 21 Oktober 2024</t>
  </si>
  <si>
    <t>Dibayar Lunas Tgl. 21 Oktober 2024</t>
  </si>
  <si>
    <t>DAFTAR PENERIMA KUOTA/PULSA INTERNET OPERATOR</t>
  </si>
  <si>
    <t>: Perjalanan Dinas koordinasi</t>
  </si>
  <si>
    <t>: Pengisian Pulsa Internet</t>
  </si>
  <si>
    <t>Dibayar Lunas Tgl. 2 April 2024</t>
  </si>
  <si>
    <t>Cikalongwetan, 09 November 2024</t>
  </si>
  <si>
    <t>Cikalongwetan, 4 Desember 2024</t>
  </si>
  <si>
    <t>Dibayar Lunas Tgl. 4 Desember 2024</t>
  </si>
  <si>
    <t>Guru Mapel PAI</t>
  </si>
  <si>
    <t>: 04 Stdr. Pendidik &amp; Tenaga Kependidikan</t>
  </si>
  <si>
    <t>..</t>
  </si>
  <si>
    <t>1753780681230012</t>
  </si>
  <si>
    <t>BULAN JULI 2025</t>
  </si>
  <si>
    <t>Cikalongwetan, 01 Juli 2025</t>
  </si>
  <si>
    <t>BULAN AGUSTUS 2025</t>
  </si>
  <si>
    <t>Cikalongwetan, 01 Agustus 2025</t>
  </si>
  <si>
    <t>BULAN SEPTEMBER 2025</t>
  </si>
  <si>
    <t>Cikalongwetan, 01 September 2025</t>
  </si>
  <si>
    <t>Dibayar Lunas Tgl. 03 September 2025</t>
  </si>
  <si>
    <t>BULAN OKTOBER 2025</t>
  </si>
  <si>
    <t>Cikalongwetan, 01 Oktober 2025</t>
  </si>
  <si>
    <t>Dibayar Lunas Tgl. 01 Oktober 2025</t>
  </si>
  <si>
    <t>BULAN NOVEMBER 2025</t>
  </si>
  <si>
    <t>Cikalongwetan, 01 November 2025</t>
  </si>
  <si>
    <t>Dibayar Lunas Tgl. 05 November 2025</t>
  </si>
  <si>
    <t>BULAN DESEMBER 2025</t>
  </si>
  <si>
    <t>Cikalongwetan, 01 Desember 2025</t>
  </si>
  <si>
    <t>Dibayar Lunas Tgl. 04 Desember 2025</t>
  </si>
  <si>
    <t>Data</t>
  </si>
  <si>
    <t>Sekolah</t>
  </si>
  <si>
    <t>Kepala Sekolah</t>
  </si>
  <si>
    <t>NIP</t>
  </si>
  <si>
    <t>Bendahara</t>
  </si>
  <si>
    <t>Honorarium</t>
  </si>
  <si>
    <t>Nama</t>
  </si>
  <si>
    <t>No</t>
  </si>
  <si>
    <t>DEDE GUNAWAN, S.Pd.</t>
  </si>
  <si>
    <t>RISNA MARSELA HARTINI, S.Pd.</t>
  </si>
  <si>
    <t>Guru Mapel</t>
  </si>
  <si>
    <t>DAFTAR PENERIMA HONORARIUM/GAJI TENAGA PERPUSTAKAAN TIDAK TETAP (PEMBAYARAN NON TUNAI)</t>
  </si>
  <si>
    <t>: Pembayaran Honor (Tenaga Perpustakaan)</t>
  </si>
  <si>
    <t>: Pembayaran Honor (Penjaga)</t>
  </si>
  <si>
    <t>III/b</t>
  </si>
  <si>
    <t>Cikalongwetan, 23 Januari 2025</t>
  </si>
  <si>
    <t>Dibayar Lunas Tgl. 11 Agustus 2025</t>
  </si>
  <si>
    <t>Cikalongwetan, 11 Agustus 2025</t>
  </si>
  <si>
    <t>Cikalongwetan, 21 Agustus 2025</t>
  </si>
  <si>
    <t>Dibayar Lunas Tgl. 21 Agustus 2025</t>
  </si>
  <si>
    <t>Cikalongwetan, 20 April 2025</t>
  </si>
  <si>
    <t>Cikalongwetan, 5 Mei 2025</t>
  </si>
  <si>
    <t>Dibayar Lunas Tgl. 5 Mei 2025</t>
  </si>
  <si>
    <t>Cikalongwetan, 5 Juni 2025</t>
  </si>
  <si>
    <t>Dibayar Lunas Tgl. 5 Juni 2025</t>
  </si>
  <si>
    <t>TAS</t>
  </si>
  <si>
    <t>Cikalongwetan, 17 Juli 2025</t>
  </si>
  <si>
    <t>Daftar Penerima Pulsa/Kuota Internet Guru dalam Peningkatan Kompetensi Guru untuk memperkuat Numerasi</t>
  </si>
  <si>
    <t>BULAN JANUARI 2026</t>
  </si>
  <si>
    <t>9563779680230043</t>
  </si>
  <si>
    <t>BADRUDDIN, S.Ag.</t>
  </si>
  <si>
    <t>NIP. 197405082014121002</t>
  </si>
  <si>
    <t>BULAN FEBRUARI 2026</t>
  </si>
  <si>
    <t>BULAN MARET 2026</t>
  </si>
  <si>
    <t>BULAN APRIL 2026</t>
  </si>
  <si>
    <t>BULAN MEI 2026</t>
  </si>
  <si>
    <t>BULAN JUNI 2026</t>
  </si>
  <si>
    <t>Cikalongwetan, 2 Januari 2026</t>
  </si>
  <si>
    <t>Cikalongwetan, 1 Februari 2026</t>
  </si>
  <si>
    <t>Dibayar Lunas Tgl. 4 Februari 2026</t>
  </si>
  <si>
    <t>Cikalongwetan, 1 Maret 2026</t>
  </si>
  <si>
    <t>Cikalongwetan, 1 April 2026</t>
  </si>
  <si>
    <t>Dibayar Lunas Tgl. 7 April 2026</t>
  </si>
  <si>
    <t>Cikalongwetan, 1 Juni 2026</t>
  </si>
  <si>
    <t>Dibayar Lunas Tgl. 3 Juni 2026</t>
  </si>
  <si>
    <t>Cikalongwetan, 2 Mei 2026</t>
  </si>
  <si>
    <t>Cikalongwetan, 4 Februari 2026</t>
  </si>
  <si>
    <t>Dibayar Lunas Tgl. 5 Maret 2026</t>
  </si>
  <si>
    <t>Cikalongwetan, 5 Maret 2026</t>
  </si>
  <si>
    <t>Cikalongwetan, 7 April 2026</t>
  </si>
  <si>
    <t>Cikalongwetan, 5 Mei 2026</t>
  </si>
  <si>
    <t>Dibayar Lunas Tgl. 5 Mei 2026</t>
  </si>
  <si>
    <t>Cikalongwetan, 3 Juni 2026</t>
  </si>
  <si>
    <t>DAFTAR BUKTI PENERIMA PERJALANAN DINAS PENDAMPING PESERTA TKA (Transaksi Non Tunai)</t>
  </si>
  <si>
    <t>: 08 Standar Penilaian</t>
  </si>
  <si>
    <t>: Perjalanan Dinas Pendamping 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</si>
</sst>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_(* #,##0.00_);_(* \(#,##0.00\);_(* &quot;-&quot;_);_(@_)"/>
    <numFmt numFmtId="168" formatCode="_(&quot;Rp&quot;* #,##0_);_(&quot;Rp&quot;* \(#,##0\);_(&quot;Rp&quot;* &quot;-&quot;??_);_(@_)"/>
    <numFmt numFmtId="169" formatCode="&quot;True&quot;;&quot;True&quot;;&quot;False&quot;"/>
    <numFmt numFmtId="170" formatCode="&quot;$&quot;#,##0_);\(&quot;$&quot;#,##0\)"/>
    <numFmt numFmtId="171" formatCode="_(&quot;$&quot;* #,##0.00_);_(&quot;$&quot;* \(#,##0.00\);_(&quot;$&quot;* &quot;-&quot;??_);_(@_)"/>
    <numFmt numFmtId="172" formatCode="_([$Rp-421]* #,##0_);_([$Rp-421]* \(#,##0\);_([$Rp-421]* &quot;-&quot;_);_(@_)"/>
    <numFmt numFmtId="173" formatCode="0.00_)"/>
  </numFmts>
  <fonts count="2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name val="Gisha"/>
      <family val="2"/>
    </font>
    <font>
      <sz val="9"/>
      <color theme="1"/>
      <name val="Gisha"/>
      <family val="2"/>
    </font>
    <font>
      <sz val="9"/>
      <name val="Gisha"/>
      <family val="2"/>
    </font>
    <font>
      <b/>
      <sz val="9"/>
      <name val="Gisha"/>
      <family val="2"/>
    </font>
    <font>
      <b/>
      <sz val="8"/>
      <name val="Gisha"/>
      <family val="2"/>
    </font>
    <font>
      <sz val="7"/>
      <name val="Gisha"/>
      <family val="2"/>
    </font>
    <font>
      <b/>
      <sz val="9"/>
      <color theme="1"/>
      <name val="Gisha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  <charset val="1"/>
    </font>
    <font>
      <u/>
      <sz val="11"/>
      <color theme="10"/>
      <name val="Calibri"/>
      <family val="2"/>
    </font>
    <font>
      <b/>
      <i/>
      <sz val="16"/>
      <name val="Helv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0"/>
      <name val="Gisha"/>
      <family val="2"/>
    </font>
    <font>
      <sz val="9"/>
      <name val="Gisha"/>
      <family val="2"/>
      <charset val="177"/>
    </font>
    <font>
      <b/>
      <sz val="9"/>
      <name val="Gisha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10" fillId="2" borderId="0" applyNumberFormat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72" fontId="11" fillId="0" borderId="0" applyFont="0" applyFill="0" applyBorder="0" applyAlignment="0" applyProtection="0"/>
    <xf numFmtId="172" fontId="1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73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3" applyFont="1" applyAlignment="1">
      <alignment vertical="center"/>
    </xf>
    <xf numFmtId="164" fontId="4" fillId="0" borderId="0" xfId="1" applyFont="1" applyFill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left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0" fontId="5" fillId="0" borderId="0" xfId="3" applyFont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/>
    </xf>
    <xf numFmtId="0" fontId="5" fillId="0" borderId="4" xfId="3" applyFont="1" applyBorder="1" applyAlignment="1">
      <alignment horizontal="left" vertical="center"/>
    </xf>
    <xf numFmtId="0" fontId="5" fillId="0" borderId="5" xfId="3" applyFont="1" applyBorder="1" applyAlignment="1">
      <alignment horizontal="left" vertical="center"/>
    </xf>
    <xf numFmtId="0" fontId="5" fillId="0" borderId="1" xfId="3" applyFont="1" applyBorder="1" applyAlignment="1">
      <alignment horizontal="center" vertical="center"/>
    </xf>
    <xf numFmtId="164" fontId="5" fillId="0" borderId="1" xfId="4" applyFont="1" applyBorder="1" applyAlignment="1">
      <alignment horizontal="center" vertical="center"/>
    </xf>
    <xf numFmtId="164" fontId="5" fillId="0" borderId="1" xfId="4" applyFont="1" applyFill="1" applyBorder="1" applyAlignment="1">
      <alignment horizontal="center" vertical="center"/>
    </xf>
    <xf numFmtId="164" fontId="5" fillId="0" borderId="1" xfId="3" applyNumberFormat="1" applyFont="1" applyBorder="1" applyAlignment="1">
      <alignment vertical="center"/>
    </xf>
    <xf numFmtId="164" fontId="6" fillId="0" borderId="1" xfId="4" applyFont="1" applyFill="1" applyBorder="1" applyAlignment="1">
      <alignment horizontal="center" vertical="center"/>
    </xf>
    <xf numFmtId="164" fontId="9" fillId="0" borderId="1" xfId="3" applyNumberFormat="1" applyFont="1" applyBorder="1" applyAlignment="1">
      <alignment vertical="center"/>
    </xf>
    <xf numFmtId="0" fontId="9" fillId="0" borderId="1" xfId="3" applyFont="1" applyBorder="1" applyAlignment="1">
      <alignment vertical="center"/>
    </xf>
    <xf numFmtId="0" fontId="9" fillId="0" borderId="0" xfId="3" applyFont="1" applyAlignment="1">
      <alignment vertical="center"/>
    </xf>
    <xf numFmtId="164" fontId="9" fillId="0" borderId="0" xfId="1" applyFont="1" applyFill="1" applyAlignment="1">
      <alignment vertical="center"/>
    </xf>
    <xf numFmtId="167" fontId="6" fillId="0" borderId="0" xfId="4" applyNumberFormat="1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9" fontId="4" fillId="0" borderId="0" xfId="2" applyFont="1" applyFill="1" applyAlignment="1">
      <alignment vertical="center"/>
    </xf>
    <xf numFmtId="0" fontId="6" fillId="0" borderId="0" xfId="5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64" fontId="6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left" vertical="center" wrapText="1"/>
    </xf>
    <xf numFmtId="0" fontId="5" fillId="0" borderId="0" xfId="5" applyFont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/>
    </xf>
    <xf numFmtId="3" fontId="5" fillId="0" borderId="5" xfId="3" applyNumberFormat="1" applyFont="1" applyBorder="1" applyAlignment="1">
      <alignment horizontal="right" vertical="center"/>
    </xf>
    <xf numFmtId="3" fontId="5" fillId="0" borderId="5" xfId="3" applyNumberFormat="1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right" vertical="center"/>
    </xf>
    <xf numFmtId="0" fontId="5" fillId="0" borderId="5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 wrapText="1"/>
    </xf>
    <xf numFmtId="0" fontId="20" fillId="0" borderId="0" xfId="5" applyFont="1" applyAlignment="1">
      <alignment horizontal="center" vertical="center"/>
    </xf>
    <xf numFmtId="3" fontId="5" fillId="0" borderId="4" xfId="3" applyNumberFormat="1" applyFont="1" applyBorder="1" applyAlignment="1">
      <alignment horizontal="right" vertical="center"/>
    </xf>
    <xf numFmtId="0" fontId="21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5" fillId="0" borderId="5" xfId="3" quotePrefix="1" applyFont="1" applyBorder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10" fontId="9" fillId="0" borderId="0" xfId="2" applyNumberFormat="1" applyFont="1" applyAlignment="1">
      <alignment horizontal="center" vertical="center"/>
    </xf>
    <xf numFmtId="164" fontId="6" fillId="0" borderId="0" xfId="5" applyNumberFormat="1" applyFont="1" applyAlignment="1">
      <alignment horizontal="center" vertical="center"/>
    </xf>
    <xf numFmtId="164" fontId="20" fillId="0" borderId="0" xfId="5" applyNumberFormat="1" applyFont="1" applyAlignment="1">
      <alignment horizontal="center" vertical="center"/>
    </xf>
    <xf numFmtId="0" fontId="6" fillId="0" borderId="8" xfId="3" applyFont="1" applyBorder="1" applyAlignment="1">
      <alignment horizontal="right" vertical="center"/>
    </xf>
    <xf numFmtId="0" fontId="6" fillId="0" borderId="4" xfId="3" applyFont="1" applyBorder="1" applyAlignment="1">
      <alignment vertical="center"/>
    </xf>
    <xf numFmtId="0" fontId="8" fillId="0" borderId="6" xfId="3" applyFont="1" applyBorder="1" applyAlignment="1">
      <alignment horizontal="left" vertical="top"/>
    </xf>
    <xf numFmtId="0" fontId="8" fillId="0" borderId="7" xfId="3" applyFont="1" applyBorder="1" applyAlignment="1">
      <alignment horizontal="left" vertical="top"/>
    </xf>
    <xf numFmtId="0" fontId="8" fillId="0" borderId="6" xfId="3" applyFont="1" applyBorder="1" applyAlignment="1">
      <alignment horizontal="left"/>
    </xf>
    <xf numFmtId="0" fontId="8" fillId="0" borderId="7" xfId="3" applyFont="1" applyBorder="1" applyAlignment="1">
      <alignment horizontal="left"/>
    </xf>
    <xf numFmtId="0" fontId="8" fillId="0" borderId="1" xfId="3" applyFont="1" applyBorder="1" applyAlignment="1">
      <alignment horizontal="left" vertical="top"/>
    </xf>
    <xf numFmtId="0" fontId="8" fillId="0" borderId="1" xfId="3" applyFont="1" applyBorder="1" applyAlignment="1">
      <alignment horizontal="left"/>
    </xf>
    <xf numFmtId="0" fontId="6" fillId="0" borderId="4" xfId="3" applyFont="1" applyBorder="1" applyAlignment="1">
      <alignment horizontal="right" vertical="center"/>
    </xf>
    <xf numFmtId="0" fontId="6" fillId="0" borderId="8" xfId="3" applyFont="1" applyBorder="1" applyAlignment="1">
      <alignment horizontal="right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0" fontId="19" fillId="0" borderId="0" xfId="3" applyFont="1" applyAlignment="1">
      <alignment horizontal="center" vertical="center"/>
    </xf>
  </cellXfs>
  <cellStyles count="206">
    <cellStyle name="Accent2 2" xfId="6" xr:uid="{00000000-0005-0000-0000-000000000000}"/>
    <cellStyle name="Comma [0]" xfId="1" builtinId="6"/>
    <cellStyle name="Comma [0] 10" xfId="7" xr:uid="{00000000-0005-0000-0000-000002000000}"/>
    <cellStyle name="Comma [0] 11" xfId="8" xr:uid="{00000000-0005-0000-0000-000003000000}"/>
    <cellStyle name="Comma [0] 11 2" xfId="9" xr:uid="{00000000-0005-0000-0000-000004000000}"/>
    <cellStyle name="Comma [0] 11 2 2" xfId="10" xr:uid="{00000000-0005-0000-0000-000005000000}"/>
    <cellStyle name="Comma [0] 11 3" xfId="11" xr:uid="{00000000-0005-0000-0000-000006000000}"/>
    <cellStyle name="Comma [0] 12" xfId="12" xr:uid="{00000000-0005-0000-0000-000007000000}"/>
    <cellStyle name="Comma [0] 12 2" xfId="13" xr:uid="{00000000-0005-0000-0000-000008000000}"/>
    <cellStyle name="Comma [0] 13" xfId="14" xr:uid="{00000000-0005-0000-0000-000009000000}"/>
    <cellStyle name="Comma [0] 13 2" xfId="15" xr:uid="{00000000-0005-0000-0000-00000A000000}"/>
    <cellStyle name="Comma [0] 14" xfId="16" xr:uid="{00000000-0005-0000-0000-00000B000000}"/>
    <cellStyle name="Comma [0] 15" xfId="17" xr:uid="{00000000-0005-0000-0000-00000C000000}"/>
    <cellStyle name="Comma [0] 16" xfId="18" xr:uid="{00000000-0005-0000-0000-00000D000000}"/>
    <cellStyle name="Comma [0] 16 2" xfId="19" xr:uid="{00000000-0005-0000-0000-00000E000000}"/>
    <cellStyle name="Comma [0] 16 3" xfId="20" xr:uid="{00000000-0005-0000-0000-00000F000000}"/>
    <cellStyle name="Comma [0] 2" xfId="21" xr:uid="{00000000-0005-0000-0000-000010000000}"/>
    <cellStyle name="Comma [0] 2 10" xfId="22" xr:uid="{00000000-0005-0000-0000-000011000000}"/>
    <cellStyle name="Comma [0] 2 11" xfId="23" xr:uid="{00000000-0005-0000-0000-000012000000}"/>
    <cellStyle name="Comma [0] 2 12" xfId="24" xr:uid="{00000000-0005-0000-0000-000013000000}"/>
    <cellStyle name="Comma [0] 2 13" xfId="25" xr:uid="{00000000-0005-0000-0000-000014000000}"/>
    <cellStyle name="Comma [0] 2 13 2" xfId="26" xr:uid="{00000000-0005-0000-0000-000015000000}"/>
    <cellStyle name="Comma [0] 2 2" xfId="27" xr:uid="{00000000-0005-0000-0000-000016000000}"/>
    <cellStyle name="Comma [0] 2 2 2" xfId="28" xr:uid="{00000000-0005-0000-0000-000017000000}"/>
    <cellStyle name="Comma [0] 2 2 2 2" xfId="29" xr:uid="{00000000-0005-0000-0000-000018000000}"/>
    <cellStyle name="Comma [0] 2 2 3" xfId="30" xr:uid="{00000000-0005-0000-0000-000019000000}"/>
    <cellStyle name="Comma [0] 2 2 4" xfId="31" xr:uid="{00000000-0005-0000-0000-00001A000000}"/>
    <cellStyle name="Comma [0] 2 2 5" xfId="32" xr:uid="{00000000-0005-0000-0000-00001B000000}"/>
    <cellStyle name="Comma [0] 2 2 6" xfId="33" xr:uid="{00000000-0005-0000-0000-00001C000000}"/>
    <cellStyle name="Comma [0] 2 2 7" xfId="34" xr:uid="{00000000-0005-0000-0000-00001D000000}"/>
    <cellStyle name="Comma [0] 2 2 8" xfId="35" xr:uid="{00000000-0005-0000-0000-00001E000000}"/>
    <cellStyle name="Comma [0] 2 3" xfId="36" xr:uid="{00000000-0005-0000-0000-00001F000000}"/>
    <cellStyle name="Comma [0] 2 4" xfId="37" xr:uid="{00000000-0005-0000-0000-000020000000}"/>
    <cellStyle name="Comma [0] 2 4 2" xfId="38" xr:uid="{00000000-0005-0000-0000-000021000000}"/>
    <cellStyle name="Comma [0] 2 5" xfId="39" xr:uid="{00000000-0005-0000-0000-000022000000}"/>
    <cellStyle name="Comma [0] 2 6" xfId="40" xr:uid="{00000000-0005-0000-0000-000023000000}"/>
    <cellStyle name="Comma [0] 2 7" xfId="41" xr:uid="{00000000-0005-0000-0000-000024000000}"/>
    <cellStyle name="Comma [0] 2 8" xfId="42" xr:uid="{00000000-0005-0000-0000-000025000000}"/>
    <cellStyle name="Comma [0] 2 9" xfId="43" xr:uid="{00000000-0005-0000-0000-000026000000}"/>
    <cellStyle name="Comma [0] 3" xfId="44" xr:uid="{00000000-0005-0000-0000-000027000000}"/>
    <cellStyle name="Comma [0] 3 2" xfId="45" xr:uid="{00000000-0005-0000-0000-000028000000}"/>
    <cellStyle name="Comma [0] 3 2 2" xfId="46" xr:uid="{00000000-0005-0000-0000-000029000000}"/>
    <cellStyle name="Comma [0] 3 2 3" xfId="47" xr:uid="{00000000-0005-0000-0000-00002A000000}"/>
    <cellStyle name="Comma [0] 3 2 4" xfId="48" xr:uid="{00000000-0005-0000-0000-00002B000000}"/>
    <cellStyle name="Comma [0] 3 3" xfId="49" xr:uid="{00000000-0005-0000-0000-00002C000000}"/>
    <cellStyle name="Comma [0] 3 3 2" xfId="50" xr:uid="{00000000-0005-0000-0000-00002D000000}"/>
    <cellStyle name="Comma [0] 3 4" xfId="51" xr:uid="{00000000-0005-0000-0000-00002E000000}"/>
    <cellStyle name="Comma [0] 3 4 2" xfId="52" xr:uid="{00000000-0005-0000-0000-00002F000000}"/>
    <cellStyle name="Comma [0] 3 4 3" xfId="53" xr:uid="{00000000-0005-0000-0000-000030000000}"/>
    <cellStyle name="Comma [0] 3 5" xfId="54" xr:uid="{00000000-0005-0000-0000-000031000000}"/>
    <cellStyle name="Comma [0] 4" xfId="55" xr:uid="{00000000-0005-0000-0000-000032000000}"/>
    <cellStyle name="Comma [0] 4 2" xfId="56" xr:uid="{00000000-0005-0000-0000-000033000000}"/>
    <cellStyle name="Comma [0] 4 2 2" xfId="57" xr:uid="{00000000-0005-0000-0000-000034000000}"/>
    <cellStyle name="Comma [0] 4 3" xfId="58" xr:uid="{00000000-0005-0000-0000-000035000000}"/>
    <cellStyle name="Comma [0] 5" xfId="59" xr:uid="{00000000-0005-0000-0000-000036000000}"/>
    <cellStyle name="Comma [0] 5 2" xfId="60" xr:uid="{00000000-0005-0000-0000-000037000000}"/>
    <cellStyle name="Comma [0] 5 3" xfId="61" xr:uid="{00000000-0005-0000-0000-000038000000}"/>
    <cellStyle name="Comma [0] 6" xfId="62" xr:uid="{00000000-0005-0000-0000-000039000000}"/>
    <cellStyle name="Comma [0] 6 2" xfId="63" xr:uid="{00000000-0005-0000-0000-00003A000000}"/>
    <cellStyle name="Comma [0] 6 3" xfId="64" xr:uid="{00000000-0005-0000-0000-00003B000000}"/>
    <cellStyle name="Comma [0] 7" xfId="65" xr:uid="{00000000-0005-0000-0000-00003C000000}"/>
    <cellStyle name="Comma [0] 7 2" xfId="66" xr:uid="{00000000-0005-0000-0000-00003D000000}"/>
    <cellStyle name="Comma [0] 8" xfId="67" xr:uid="{00000000-0005-0000-0000-00003E000000}"/>
    <cellStyle name="Comma [0] 8 2" xfId="68" xr:uid="{00000000-0005-0000-0000-00003F000000}"/>
    <cellStyle name="Comma [0] 8 2 2" xfId="4" xr:uid="{00000000-0005-0000-0000-000040000000}"/>
    <cellStyle name="Comma [0] 8 3" xfId="69" xr:uid="{00000000-0005-0000-0000-000041000000}"/>
    <cellStyle name="Comma [0] 8 4" xfId="70" xr:uid="{00000000-0005-0000-0000-000042000000}"/>
    <cellStyle name="Comma [0] 9" xfId="71" xr:uid="{00000000-0005-0000-0000-000043000000}"/>
    <cellStyle name="Comma [0] 9 2" xfId="72" xr:uid="{00000000-0005-0000-0000-000044000000}"/>
    <cellStyle name="Comma 10" xfId="73" xr:uid="{00000000-0005-0000-0000-000045000000}"/>
    <cellStyle name="Comma 11" xfId="74" xr:uid="{00000000-0005-0000-0000-000046000000}"/>
    <cellStyle name="Comma 12" xfId="75" xr:uid="{00000000-0005-0000-0000-000047000000}"/>
    <cellStyle name="Comma 2" xfId="76" xr:uid="{00000000-0005-0000-0000-000048000000}"/>
    <cellStyle name="Comma 2 2" xfId="77" xr:uid="{00000000-0005-0000-0000-000049000000}"/>
    <cellStyle name="Comma 2 2 2" xfId="78" xr:uid="{00000000-0005-0000-0000-00004A000000}"/>
    <cellStyle name="Comma 2 3" xfId="79" xr:uid="{00000000-0005-0000-0000-00004B000000}"/>
    <cellStyle name="Comma 2 3 2" xfId="80" xr:uid="{00000000-0005-0000-0000-00004C000000}"/>
    <cellStyle name="Comma 2 4" xfId="81" xr:uid="{00000000-0005-0000-0000-00004D000000}"/>
    <cellStyle name="Comma 2 5" xfId="82" xr:uid="{00000000-0005-0000-0000-00004E000000}"/>
    <cellStyle name="Comma 2 6" xfId="83" xr:uid="{00000000-0005-0000-0000-00004F000000}"/>
    <cellStyle name="Comma 2 7" xfId="84" xr:uid="{00000000-0005-0000-0000-000050000000}"/>
    <cellStyle name="Comma 2 7 2" xfId="85" xr:uid="{00000000-0005-0000-0000-000051000000}"/>
    <cellStyle name="Comma 2 7 2 2" xfId="86" xr:uid="{00000000-0005-0000-0000-000052000000}"/>
    <cellStyle name="Comma 2 7 3" xfId="87" xr:uid="{00000000-0005-0000-0000-000053000000}"/>
    <cellStyle name="Comma 2 8" xfId="88" xr:uid="{00000000-0005-0000-0000-000054000000}"/>
    <cellStyle name="Comma 2 8 2" xfId="89" xr:uid="{00000000-0005-0000-0000-000055000000}"/>
    <cellStyle name="Comma 3" xfId="90" xr:uid="{00000000-0005-0000-0000-000056000000}"/>
    <cellStyle name="Comma 3 10" xfId="91" xr:uid="{00000000-0005-0000-0000-000057000000}"/>
    <cellStyle name="Comma 3 11" xfId="92" xr:uid="{00000000-0005-0000-0000-000058000000}"/>
    <cellStyle name="Comma 3 12" xfId="93" xr:uid="{00000000-0005-0000-0000-000059000000}"/>
    <cellStyle name="Comma 3 13" xfId="94" xr:uid="{00000000-0005-0000-0000-00005A000000}"/>
    <cellStyle name="Comma 3 2" xfId="95" xr:uid="{00000000-0005-0000-0000-00005B000000}"/>
    <cellStyle name="Comma 3 2 2" xfId="96" xr:uid="{00000000-0005-0000-0000-00005C000000}"/>
    <cellStyle name="Comma 3 2 2 2" xfId="97" xr:uid="{00000000-0005-0000-0000-00005D000000}"/>
    <cellStyle name="Comma 3 3" xfId="98" xr:uid="{00000000-0005-0000-0000-00005E000000}"/>
    <cellStyle name="Comma 3 4" xfId="99" xr:uid="{00000000-0005-0000-0000-00005F000000}"/>
    <cellStyle name="Comma 3 5" xfId="100" xr:uid="{00000000-0005-0000-0000-000060000000}"/>
    <cellStyle name="Comma 3 6" xfId="101" xr:uid="{00000000-0005-0000-0000-000061000000}"/>
    <cellStyle name="Comma 3 7" xfId="102" xr:uid="{00000000-0005-0000-0000-000062000000}"/>
    <cellStyle name="Comma 3 8" xfId="103" xr:uid="{00000000-0005-0000-0000-000063000000}"/>
    <cellStyle name="Comma 3 9" xfId="104" xr:uid="{00000000-0005-0000-0000-000064000000}"/>
    <cellStyle name="Comma 4" xfId="105" xr:uid="{00000000-0005-0000-0000-000065000000}"/>
    <cellStyle name="Comma 4 2" xfId="106" xr:uid="{00000000-0005-0000-0000-000066000000}"/>
    <cellStyle name="Comma 4 2 2" xfId="107" xr:uid="{00000000-0005-0000-0000-000067000000}"/>
    <cellStyle name="Comma 4 3" xfId="108" xr:uid="{00000000-0005-0000-0000-000068000000}"/>
    <cellStyle name="Comma 4 3 2" xfId="109" xr:uid="{00000000-0005-0000-0000-000069000000}"/>
    <cellStyle name="Comma 4 4" xfId="110" xr:uid="{00000000-0005-0000-0000-00006A000000}"/>
    <cellStyle name="Comma 5" xfId="111" xr:uid="{00000000-0005-0000-0000-00006B000000}"/>
    <cellStyle name="Comma 5 2" xfId="112" xr:uid="{00000000-0005-0000-0000-00006C000000}"/>
    <cellStyle name="Comma 5 2 2" xfId="113" xr:uid="{00000000-0005-0000-0000-00006D000000}"/>
    <cellStyle name="Comma 6" xfId="114" xr:uid="{00000000-0005-0000-0000-00006E000000}"/>
    <cellStyle name="Comma 7" xfId="115" xr:uid="{00000000-0005-0000-0000-00006F000000}"/>
    <cellStyle name="Comma 7 2" xfId="116" xr:uid="{00000000-0005-0000-0000-000070000000}"/>
    <cellStyle name="Comma 7 3" xfId="117" xr:uid="{00000000-0005-0000-0000-000071000000}"/>
    <cellStyle name="Comma 8" xfId="118" xr:uid="{00000000-0005-0000-0000-000072000000}"/>
    <cellStyle name="Comma 8 2" xfId="119" xr:uid="{00000000-0005-0000-0000-000073000000}"/>
    <cellStyle name="Comma 9" xfId="120" xr:uid="{00000000-0005-0000-0000-000074000000}"/>
    <cellStyle name="Currency [0] 2" xfId="121" xr:uid="{00000000-0005-0000-0000-000075000000}"/>
    <cellStyle name="Currency 2" xfId="122" xr:uid="{00000000-0005-0000-0000-000076000000}"/>
    <cellStyle name="Currency 2 2" xfId="123" xr:uid="{00000000-0005-0000-0000-000077000000}"/>
    <cellStyle name="Currency 3" xfId="124" xr:uid="{00000000-0005-0000-0000-000078000000}"/>
    <cellStyle name="Hyperlink 2" xfId="125" xr:uid="{00000000-0005-0000-0000-000079000000}"/>
    <cellStyle name="Normal" xfId="0" builtinId="0"/>
    <cellStyle name="Normal - Style1" xfId="126" xr:uid="{00000000-0005-0000-0000-00007B000000}"/>
    <cellStyle name="Normal 10" xfId="127" xr:uid="{00000000-0005-0000-0000-00007C000000}"/>
    <cellStyle name="Normal 10 2" xfId="128" xr:uid="{00000000-0005-0000-0000-00007D000000}"/>
    <cellStyle name="Normal 10 2 2" xfId="129" xr:uid="{00000000-0005-0000-0000-00007E000000}"/>
    <cellStyle name="Normal 10 3" xfId="5" xr:uid="{00000000-0005-0000-0000-00007F000000}"/>
    <cellStyle name="Normal 10 3 2" xfId="130" xr:uid="{00000000-0005-0000-0000-000080000000}"/>
    <cellStyle name="Normal 10 4" xfId="131" xr:uid="{00000000-0005-0000-0000-000081000000}"/>
    <cellStyle name="Normal 11" xfId="132" xr:uid="{00000000-0005-0000-0000-000082000000}"/>
    <cellStyle name="Normal 11 2" xfId="133" xr:uid="{00000000-0005-0000-0000-000083000000}"/>
    <cellStyle name="Normal 12" xfId="134" xr:uid="{00000000-0005-0000-0000-000084000000}"/>
    <cellStyle name="Normal 12 2" xfId="135" xr:uid="{00000000-0005-0000-0000-000085000000}"/>
    <cellStyle name="Normal 13" xfId="136" xr:uid="{00000000-0005-0000-0000-000086000000}"/>
    <cellStyle name="Normal 14" xfId="137" xr:uid="{00000000-0005-0000-0000-000087000000}"/>
    <cellStyle name="Normal 15" xfId="138" xr:uid="{00000000-0005-0000-0000-000088000000}"/>
    <cellStyle name="Normal 15 2" xfId="139" xr:uid="{00000000-0005-0000-0000-000089000000}"/>
    <cellStyle name="Normal 16" xfId="140" xr:uid="{00000000-0005-0000-0000-00008A000000}"/>
    <cellStyle name="Normal 2" xfId="141" xr:uid="{00000000-0005-0000-0000-00008B000000}"/>
    <cellStyle name="Normal 2 10" xfId="142" xr:uid="{00000000-0005-0000-0000-00008C000000}"/>
    <cellStyle name="Normal 2 11" xfId="143" xr:uid="{00000000-0005-0000-0000-00008D000000}"/>
    <cellStyle name="Normal 2 12" xfId="144" xr:uid="{00000000-0005-0000-0000-00008E000000}"/>
    <cellStyle name="Normal 2 13" xfId="145" xr:uid="{00000000-0005-0000-0000-00008F000000}"/>
    <cellStyle name="Normal 2 14" xfId="146" xr:uid="{00000000-0005-0000-0000-000090000000}"/>
    <cellStyle name="Normal 2 14 2" xfId="147" xr:uid="{00000000-0005-0000-0000-000091000000}"/>
    <cellStyle name="Normal 2 14 2 2" xfId="148" xr:uid="{00000000-0005-0000-0000-000092000000}"/>
    <cellStyle name="Normal 2 14 2 3" xfId="149" xr:uid="{00000000-0005-0000-0000-000093000000}"/>
    <cellStyle name="Normal 2 15" xfId="150" xr:uid="{00000000-0005-0000-0000-000094000000}"/>
    <cellStyle name="Normal 2 15 2" xfId="151" xr:uid="{00000000-0005-0000-0000-000095000000}"/>
    <cellStyle name="Normal 2 2" xfId="152" xr:uid="{00000000-0005-0000-0000-000096000000}"/>
    <cellStyle name="Normal 2 2 2" xfId="153" xr:uid="{00000000-0005-0000-0000-000097000000}"/>
    <cellStyle name="Normal 2 2 2 2" xfId="154" xr:uid="{00000000-0005-0000-0000-000098000000}"/>
    <cellStyle name="Normal 2 2 3" xfId="155" xr:uid="{00000000-0005-0000-0000-000099000000}"/>
    <cellStyle name="Normal 2 2 3 2" xfId="156" xr:uid="{00000000-0005-0000-0000-00009A000000}"/>
    <cellStyle name="Normal 2 2 4" xfId="157" xr:uid="{00000000-0005-0000-0000-00009B000000}"/>
    <cellStyle name="Normal 2 2 4 2" xfId="158" xr:uid="{00000000-0005-0000-0000-00009C000000}"/>
    <cellStyle name="Normal 2 2 5" xfId="159" xr:uid="{00000000-0005-0000-0000-00009D000000}"/>
    <cellStyle name="Normal 2 2 6" xfId="160" xr:uid="{00000000-0005-0000-0000-00009E000000}"/>
    <cellStyle name="Normal 2 2 7" xfId="161" xr:uid="{00000000-0005-0000-0000-00009F000000}"/>
    <cellStyle name="Normal 2 2 8" xfId="162" xr:uid="{00000000-0005-0000-0000-0000A0000000}"/>
    <cellStyle name="Normal 2 2 9" xfId="163" xr:uid="{00000000-0005-0000-0000-0000A1000000}"/>
    <cellStyle name="Normal 2 3" xfId="164" xr:uid="{00000000-0005-0000-0000-0000A2000000}"/>
    <cellStyle name="Normal 2 4" xfId="165" xr:uid="{00000000-0005-0000-0000-0000A3000000}"/>
    <cellStyle name="Normal 2 5" xfId="166" xr:uid="{00000000-0005-0000-0000-0000A4000000}"/>
    <cellStyle name="Normal 2 6" xfId="167" xr:uid="{00000000-0005-0000-0000-0000A5000000}"/>
    <cellStyle name="Normal 2 7" xfId="168" xr:uid="{00000000-0005-0000-0000-0000A6000000}"/>
    <cellStyle name="Normal 2 8" xfId="169" xr:uid="{00000000-0005-0000-0000-0000A7000000}"/>
    <cellStyle name="Normal 2 9" xfId="170" xr:uid="{00000000-0005-0000-0000-0000A8000000}"/>
    <cellStyle name="Normal 2_DPA Sekdis Fixs" xfId="171" xr:uid="{00000000-0005-0000-0000-0000A9000000}"/>
    <cellStyle name="Normal 3" xfId="172" xr:uid="{00000000-0005-0000-0000-0000AA000000}"/>
    <cellStyle name="Normal 3 2" xfId="173" xr:uid="{00000000-0005-0000-0000-0000AB000000}"/>
    <cellStyle name="Normal 3 2 2" xfId="174" xr:uid="{00000000-0005-0000-0000-0000AC000000}"/>
    <cellStyle name="Normal 3 3" xfId="175" xr:uid="{00000000-0005-0000-0000-0000AD000000}"/>
    <cellStyle name="Normal 3 4" xfId="176" xr:uid="{00000000-0005-0000-0000-0000AE000000}"/>
    <cellStyle name="Normal 38" xfId="177" xr:uid="{00000000-0005-0000-0000-0000AF000000}"/>
    <cellStyle name="Normal 39" xfId="178" xr:uid="{00000000-0005-0000-0000-0000B0000000}"/>
    <cellStyle name="Normal 4" xfId="179" xr:uid="{00000000-0005-0000-0000-0000B1000000}"/>
    <cellStyle name="Normal 4 2" xfId="180" xr:uid="{00000000-0005-0000-0000-0000B2000000}"/>
    <cellStyle name="Normal 4 3" xfId="181" xr:uid="{00000000-0005-0000-0000-0000B3000000}"/>
    <cellStyle name="Normal 4 3 2" xfId="182" xr:uid="{00000000-0005-0000-0000-0000B4000000}"/>
    <cellStyle name="Normal 4 4" xfId="183" xr:uid="{00000000-0005-0000-0000-0000B5000000}"/>
    <cellStyle name="Normal 40" xfId="184" xr:uid="{00000000-0005-0000-0000-0000B6000000}"/>
    <cellStyle name="Normal 45" xfId="185" xr:uid="{00000000-0005-0000-0000-0000B7000000}"/>
    <cellStyle name="Normal 5" xfId="186" xr:uid="{00000000-0005-0000-0000-0000B8000000}"/>
    <cellStyle name="Normal 5 2" xfId="187" xr:uid="{00000000-0005-0000-0000-0000B9000000}"/>
    <cellStyle name="Normal 5 3" xfId="188" xr:uid="{00000000-0005-0000-0000-0000BA000000}"/>
    <cellStyle name="Normal 5 3 2" xfId="189" xr:uid="{00000000-0005-0000-0000-0000BB000000}"/>
    <cellStyle name="Normal 5 4" xfId="190" xr:uid="{00000000-0005-0000-0000-0000BC000000}"/>
    <cellStyle name="Normal 5 4 2" xfId="3" xr:uid="{00000000-0005-0000-0000-0000BD000000}"/>
    <cellStyle name="Normal 5 5" xfId="191" xr:uid="{00000000-0005-0000-0000-0000BE000000}"/>
    <cellStyle name="Normal 6" xfId="192" xr:uid="{00000000-0005-0000-0000-0000BF000000}"/>
    <cellStyle name="Normal 6 2" xfId="193" xr:uid="{00000000-0005-0000-0000-0000C0000000}"/>
    <cellStyle name="Normal 6 2 2" xfId="194" xr:uid="{00000000-0005-0000-0000-0000C1000000}"/>
    <cellStyle name="Normal 6 3" xfId="195" xr:uid="{00000000-0005-0000-0000-0000C2000000}"/>
    <cellStyle name="Normal 7" xfId="196" xr:uid="{00000000-0005-0000-0000-0000C3000000}"/>
    <cellStyle name="Normal 7 2" xfId="197" xr:uid="{00000000-0005-0000-0000-0000C4000000}"/>
    <cellStyle name="Normal 8" xfId="198" xr:uid="{00000000-0005-0000-0000-0000C5000000}"/>
    <cellStyle name="Normal 8 2" xfId="199" xr:uid="{00000000-0005-0000-0000-0000C6000000}"/>
    <cellStyle name="Normal 8 3" xfId="200" xr:uid="{00000000-0005-0000-0000-0000C7000000}"/>
    <cellStyle name="Normal 9" xfId="201" xr:uid="{00000000-0005-0000-0000-0000C8000000}"/>
    <cellStyle name="Percent" xfId="2" builtinId="5"/>
    <cellStyle name="Percent 2" xfId="202" xr:uid="{00000000-0005-0000-0000-0000CA000000}"/>
    <cellStyle name="Percent 2 2" xfId="203" xr:uid="{00000000-0005-0000-0000-0000CB000000}"/>
    <cellStyle name="Percent 3" xfId="204" xr:uid="{00000000-0005-0000-0000-0000CC000000}"/>
    <cellStyle name="Percent 4" xfId="205" xr:uid="{00000000-0005-0000-0000-0000C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66750"/>
          <a:ext cx="7048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38</xdr:row>
      <xdr:rowOff>38100</xdr:rowOff>
    </xdr:from>
    <xdr:ext cx="719138" cy="714375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490F6AC3-5AAA-435D-A8CB-8063BFEBF25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13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74</xdr:row>
      <xdr:rowOff>38100</xdr:rowOff>
    </xdr:from>
    <xdr:ext cx="719138" cy="714375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C06DC54D-BAD2-4866-8127-9D9E6536EF5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427913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110</xdr:row>
      <xdr:rowOff>38100</xdr:rowOff>
    </xdr:from>
    <xdr:ext cx="719138" cy="714375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51FBA53C-90BC-4DB0-93AE-020FF2946BB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42621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146</xdr:row>
      <xdr:rowOff>38100</xdr:rowOff>
    </xdr:from>
    <xdr:ext cx="719138" cy="714375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1A1608AD-4781-4D69-9516-EDD9D59424B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1096288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182</xdr:row>
      <xdr:rowOff>38100</xdr:rowOff>
    </xdr:from>
    <xdr:ext cx="719138" cy="714375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78FF3EDB-9B8A-4A43-935D-6E589971A7E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7930475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218</xdr:row>
      <xdr:rowOff>38100</xdr:rowOff>
    </xdr:from>
    <xdr:ext cx="719138" cy="714375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EC3266F4-13D5-4A1E-9ECC-2F665E02F5D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4764663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258</xdr:row>
      <xdr:rowOff>38100</xdr:rowOff>
    </xdr:from>
    <xdr:ext cx="719138" cy="714375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84BB235A-62E8-4A37-B469-D369DFE8A216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15988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298</xdr:row>
      <xdr:rowOff>38100</xdr:rowOff>
    </xdr:from>
    <xdr:ext cx="719138" cy="714375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AE52C0C9-7AC5-467C-9A3A-24712D3388F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8433038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338</xdr:row>
      <xdr:rowOff>38100</xdr:rowOff>
    </xdr:from>
    <xdr:ext cx="719138" cy="714375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156C4393-3BDA-42D7-A102-DF5A08A5E69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5267225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378</xdr:row>
      <xdr:rowOff>38100</xdr:rowOff>
    </xdr:from>
    <xdr:ext cx="719138" cy="714375"/>
    <xdr:pic>
      <xdr:nvPicPr>
        <xdr:cNvPr id="17" name="Picture 16" descr="Kabupaten_Bandung_Barat">
          <a:extLst>
            <a:ext uri="{FF2B5EF4-FFF2-40B4-BE49-F238E27FC236}">
              <a16:creationId xmlns:a16="http://schemas.microsoft.com/office/drawing/2014/main" id="{A624F530-DC4A-4388-8CDF-B9D242F9612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2101413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418</xdr:row>
      <xdr:rowOff>38100</xdr:rowOff>
    </xdr:from>
    <xdr:ext cx="719138" cy="714375"/>
    <xdr:pic>
      <xdr:nvPicPr>
        <xdr:cNvPr id="18" name="Picture 17" descr="Kabupaten_Bandung_Barat">
          <a:extLst>
            <a:ext uri="{FF2B5EF4-FFF2-40B4-BE49-F238E27FC236}">
              <a16:creationId xmlns:a16="http://schemas.microsoft.com/office/drawing/2014/main" id="{E475FE57-7E9F-4CDD-8790-75BC592059A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89356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AEA77B15-C024-4369-B40B-F531F92AA6F3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44</xdr:row>
      <xdr:rowOff>38100</xdr:rowOff>
    </xdr:from>
    <xdr:ext cx="719138" cy="714375"/>
    <xdr:pic>
      <xdr:nvPicPr>
        <xdr:cNvPr id="3" name="Picture 2" descr="Kabupaten_Bandung_Barat">
          <a:extLst>
            <a:ext uri="{FF2B5EF4-FFF2-40B4-BE49-F238E27FC236}">
              <a16:creationId xmlns:a16="http://schemas.microsoft.com/office/drawing/2014/main" id="{AA10E810-64C2-445A-B2E2-047BB4CE88E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4866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85</xdr:row>
      <xdr:rowOff>38100</xdr:rowOff>
    </xdr:from>
    <xdr:ext cx="719138" cy="714375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487A2B0A-089E-4DB8-9286-150FF7A29E7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43827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126</xdr:row>
      <xdr:rowOff>38100</xdr:rowOff>
    </xdr:from>
    <xdr:ext cx="719138" cy="714375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6DE3AAA9-020D-4BE2-A388-B23C04177D76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12788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167</xdr:row>
      <xdr:rowOff>38100</xdr:rowOff>
    </xdr:from>
    <xdr:ext cx="719138" cy="714375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8BAA5E17-D186-4C86-B530-11D999A1D2C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81749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208</xdr:row>
      <xdr:rowOff>38100</xdr:rowOff>
    </xdr:from>
    <xdr:ext cx="719138" cy="714375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F453E99F-507A-445F-A41F-7E0E89873B9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50710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249</xdr:row>
      <xdr:rowOff>38100</xdr:rowOff>
    </xdr:from>
    <xdr:ext cx="719138" cy="714375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120A9386-21DC-4EB7-8060-0A9BA350CED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19671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290</xdr:row>
      <xdr:rowOff>38100</xdr:rowOff>
    </xdr:from>
    <xdr:ext cx="719138" cy="714375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0B1F1930-AABD-45DA-8779-81199D0C15E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88632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331</xdr:row>
      <xdr:rowOff>38100</xdr:rowOff>
    </xdr:from>
    <xdr:ext cx="719138" cy="714375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E837D2E2-5839-48B0-A6B8-92805082D7D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57593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368</xdr:row>
      <xdr:rowOff>38100</xdr:rowOff>
    </xdr:from>
    <xdr:ext cx="719138" cy="714375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02EF12D0-9E61-4243-AE2D-145D5066EAB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26554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405</xdr:row>
      <xdr:rowOff>38100</xdr:rowOff>
    </xdr:from>
    <xdr:ext cx="719138" cy="714375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D6AD3D31-7FE4-4734-B075-339A9534C9F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95515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442</xdr:row>
      <xdr:rowOff>38100</xdr:rowOff>
    </xdr:from>
    <xdr:ext cx="719138" cy="714375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8E552579-2708-4451-A5B0-1562857A17C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64476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01BEEFA4-8391-4194-AF40-8CCD8CE4ED8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38</xdr:row>
      <xdr:rowOff>38100</xdr:rowOff>
    </xdr:from>
    <xdr:ext cx="719138" cy="714375"/>
    <xdr:pic>
      <xdr:nvPicPr>
        <xdr:cNvPr id="3" name="Picture 2" descr="Kabupaten_Bandung_Barat">
          <a:extLst>
            <a:ext uri="{FF2B5EF4-FFF2-40B4-BE49-F238E27FC236}">
              <a16:creationId xmlns:a16="http://schemas.microsoft.com/office/drawing/2014/main" id="{19327994-5470-48F3-8BDB-71733878746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6327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73</xdr:row>
      <xdr:rowOff>38100</xdr:rowOff>
    </xdr:from>
    <xdr:ext cx="719138" cy="714375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EEBC1DBA-F9CE-4E99-AA0D-98236E5E473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46748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108</xdr:row>
      <xdr:rowOff>38100</xdr:rowOff>
    </xdr:from>
    <xdr:ext cx="719138" cy="714375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368045D2-93AF-4DA5-94B8-AA98D8D5AD7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17170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143</xdr:row>
      <xdr:rowOff>38100</xdr:rowOff>
    </xdr:from>
    <xdr:ext cx="719138" cy="714375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53C93AE8-89D8-4FEA-B254-1961C4E6E3E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87591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178</xdr:row>
      <xdr:rowOff>38100</xdr:rowOff>
    </xdr:from>
    <xdr:ext cx="719138" cy="714375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BD99AB7B-F2C1-45CE-AD86-F8B2D3D31A0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58013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213</xdr:row>
      <xdr:rowOff>38100</xdr:rowOff>
    </xdr:from>
    <xdr:ext cx="719138" cy="714375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D374BC67-EFF1-4150-AEB9-3E5E2DDC039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28434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254</xdr:row>
      <xdr:rowOff>38100</xdr:rowOff>
    </xdr:from>
    <xdr:ext cx="719138" cy="714375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7724EFBF-501A-4D24-A7CD-76140670CDA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98856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295</xdr:row>
      <xdr:rowOff>38100</xdr:rowOff>
    </xdr:from>
    <xdr:ext cx="719138" cy="714375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ABFC055E-8CD3-471C-9E4F-32362F107B2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9277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332</xdr:row>
      <xdr:rowOff>38100</xdr:rowOff>
    </xdr:from>
    <xdr:ext cx="719138" cy="714375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ADF479BF-FDAC-4EC3-B604-2B5A9D8CC1C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39699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369</xdr:row>
      <xdr:rowOff>38100</xdr:rowOff>
    </xdr:from>
    <xdr:ext cx="719138" cy="714375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D0569B55-DD56-4127-8AB5-A72312828BE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10120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406</xdr:row>
      <xdr:rowOff>38100</xdr:rowOff>
    </xdr:from>
    <xdr:ext cx="719138" cy="714375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21819C33-5589-4438-A6C9-A7EC7CD1D51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80542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257A67EA-63E9-460D-9883-9F93F3E6548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39</xdr:row>
      <xdr:rowOff>38100</xdr:rowOff>
    </xdr:from>
    <xdr:ext cx="719138" cy="714375"/>
    <xdr:pic>
      <xdr:nvPicPr>
        <xdr:cNvPr id="3" name="Picture 2" descr="Kabupaten_Bandung_Barat">
          <a:extLst>
            <a:ext uri="{FF2B5EF4-FFF2-40B4-BE49-F238E27FC236}">
              <a16:creationId xmlns:a16="http://schemas.microsoft.com/office/drawing/2014/main" id="{A7D8CF6B-7AFE-4101-85C8-5CC9D90AC2D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6327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75</xdr:row>
      <xdr:rowOff>38100</xdr:rowOff>
    </xdr:from>
    <xdr:ext cx="719138" cy="714375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76662076-EC9A-438E-AA1A-0F219931C97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46748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111</xdr:row>
      <xdr:rowOff>38100</xdr:rowOff>
    </xdr:from>
    <xdr:ext cx="719138" cy="714375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BF87A055-2854-45B7-A970-31B3AB48FA5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17170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147</xdr:row>
      <xdr:rowOff>38100</xdr:rowOff>
    </xdr:from>
    <xdr:ext cx="719138" cy="714375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EBB91413-4D3E-4C3C-A9FF-D08FA9BF6A7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87591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183</xdr:row>
      <xdr:rowOff>38100</xdr:rowOff>
    </xdr:from>
    <xdr:ext cx="719138" cy="714375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46431016-0730-4125-8C1E-2A6B4F3A65B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58013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219</xdr:row>
      <xdr:rowOff>38100</xdr:rowOff>
    </xdr:from>
    <xdr:ext cx="719138" cy="714375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08B39507-0867-4DC7-816C-B673754BED9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28434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255</xdr:row>
      <xdr:rowOff>38100</xdr:rowOff>
    </xdr:from>
    <xdr:ext cx="719138" cy="714375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2363D9CB-57F6-4828-98A9-07F2FBAE65E6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98856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291</xdr:row>
      <xdr:rowOff>38100</xdr:rowOff>
    </xdr:from>
    <xdr:ext cx="719138" cy="714375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5DD2F70E-083F-4C74-9259-D95E8FD26EE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9277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327</xdr:row>
      <xdr:rowOff>38100</xdr:rowOff>
    </xdr:from>
    <xdr:ext cx="719138" cy="714375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942E52D4-584F-45E6-BEAC-C397FF85426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39699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363</xdr:row>
      <xdr:rowOff>38100</xdr:rowOff>
    </xdr:from>
    <xdr:ext cx="719138" cy="714375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2B00FDB0-24CA-441F-8D92-B7549561CEC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101205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399</xdr:row>
      <xdr:rowOff>38100</xdr:rowOff>
    </xdr:from>
    <xdr:ext cx="719138" cy="714375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CF9A22D9-4BB2-42C2-8328-9C2E68C1FABF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78054200"/>
          <a:ext cx="719138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38101</xdr:rowOff>
    </xdr:from>
    <xdr:to>
      <xdr:col>1</xdr:col>
      <xdr:colOff>342900</xdr:colOff>
      <xdr:row>7</xdr:row>
      <xdr:rowOff>1</xdr:rowOff>
    </xdr:to>
    <xdr:pic>
      <xdr:nvPicPr>
        <xdr:cNvPr id="21" name="Picture 20" descr="Kabupaten_Bandung_Barat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9660851"/>
          <a:ext cx="628649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35</xdr:row>
      <xdr:rowOff>38101</xdr:rowOff>
    </xdr:from>
    <xdr:ext cx="643818" cy="723900"/>
    <xdr:pic>
      <xdr:nvPicPr>
        <xdr:cNvPr id="35" name="Picture 34" descr="Kabupaten_Bandung_Barat">
          <a:extLst>
            <a:ext uri="{FF2B5EF4-FFF2-40B4-BE49-F238E27FC236}">
              <a16:creationId xmlns:a16="http://schemas.microsoft.com/office/drawing/2014/main" id="{77345673-B1B1-43EA-B538-3663E745585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51934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67</xdr:row>
      <xdr:rowOff>38101</xdr:rowOff>
    </xdr:from>
    <xdr:ext cx="643818" cy="723900"/>
    <xdr:pic>
      <xdr:nvPicPr>
        <xdr:cNvPr id="39" name="Picture 38" descr="Kabupaten_Bandung_Barat">
          <a:extLst>
            <a:ext uri="{FF2B5EF4-FFF2-40B4-BE49-F238E27FC236}">
              <a16:creationId xmlns:a16="http://schemas.microsoft.com/office/drawing/2014/main" id="{E9609EEB-AA50-438E-A495-8459D8E2471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903157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101</xdr:row>
      <xdr:rowOff>38101</xdr:rowOff>
    </xdr:from>
    <xdr:ext cx="643818" cy="723900"/>
    <xdr:pic>
      <xdr:nvPicPr>
        <xdr:cNvPr id="51" name="Picture 50" descr="Kabupaten_Bandung_Barat">
          <a:extLst>
            <a:ext uri="{FF2B5EF4-FFF2-40B4-BE49-F238E27FC236}">
              <a16:creationId xmlns:a16="http://schemas.microsoft.com/office/drawing/2014/main" id="{E545D4F3-E962-45FE-B6E9-51CD4CAE161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3154379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132</xdr:row>
      <xdr:rowOff>38101</xdr:rowOff>
    </xdr:from>
    <xdr:ext cx="643818" cy="723900"/>
    <xdr:pic>
      <xdr:nvPicPr>
        <xdr:cNvPr id="52" name="Picture 51" descr="Kabupaten_Bandung_Barat">
          <a:extLst>
            <a:ext uri="{FF2B5EF4-FFF2-40B4-BE49-F238E27FC236}">
              <a16:creationId xmlns:a16="http://schemas.microsoft.com/office/drawing/2014/main" id="{33C7C67D-83E6-4178-8F02-C117AE608CF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94056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164</xdr:row>
      <xdr:rowOff>38101</xdr:rowOff>
    </xdr:from>
    <xdr:ext cx="643818" cy="723900"/>
    <xdr:pic>
      <xdr:nvPicPr>
        <xdr:cNvPr id="53" name="Picture 52" descr="Kabupaten_Bandung_Barat">
          <a:extLst>
            <a:ext uri="{FF2B5EF4-FFF2-40B4-BE49-F238E27FC236}">
              <a16:creationId xmlns:a16="http://schemas.microsoft.com/office/drawing/2014/main" id="{26191913-6A27-4AE8-9549-351F7109F5A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5656823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196</xdr:row>
      <xdr:rowOff>38101</xdr:rowOff>
    </xdr:from>
    <xdr:ext cx="643818" cy="723900"/>
    <xdr:pic>
      <xdr:nvPicPr>
        <xdr:cNvPr id="54" name="Picture 53" descr="Kabupaten_Bandung_Barat">
          <a:extLst>
            <a:ext uri="{FF2B5EF4-FFF2-40B4-BE49-F238E27FC236}">
              <a16:creationId xmlns:a16="http://schemas.microsoft.com/office/drawing/2014/main" id="{2FE060A4-3B74-4235-8457-3349E3FE2E1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1908045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230</xdr:row>
      <xdr:rowOff>38101</xdr:rowOff>
    </xdr:from>
    <xdr:ext cx="643818" cy="723900"/>
    <xdr:pic>
      <xdr:nvPicPr>
        <xdr:cNvPr id="55" name="Picture 54" descr="Kabupaten_Bandung_Barat">
          <a:extLst>
            <a:ext uri="{FF2B5EF4-FFF2-40B4-BE49-F238E27FC236}">
              <a16:creationId xmlns:a16="http://schemas.microsoft.com/office/drawing/2014/main" id="{EF859D3D-2036-4F5D-A0A5-BA4523DC165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8159268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264</xdr:row>
      <xdr:rowOff>38101</xdr:rowOff>
    </xdr:from>
    <xdr:ext cx="643818" cy="723900"/>
    <xdr:pic>
      <xdr:nvPicPr>
        <xdr:cNvPr id="56" name="Picture 55" descr="Kabupaten_Bandung_Barat">
          <a:extLst>
            <a:ext uri="{FF2B5EF4-FFF2-40B4-BE49-F238E27FC236}">
              <a16:creationId xmlns:a16="http://schemas.microsoft.com/office/drawing/2014/main" id="{FDE4A86E-BEBF-4A6D-88D1-81B3FE1A79A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4410490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298</xdr:row>
      <xdr:rowOff>38101</xdr:rowOff>
    </xdr:from>
    <xdr:ext cx="643818" cy="723900"/>
    <xdr:pic>
      <xdr:nvPicPr>
        <xdr:cNvPr id="64" name="Picture 63" descr="Kabupaten_Bandung_Barat">
          <a:extLst>
            <a:ext uri="{FF2B5EF4-FFF2-40B4-BE49-F238E27FC236}">
              <a16:creationId xmlns:a16="http://schemas.microsoft.com/office/drawing/2014/main" id="{04089B69-ED28-4708-BADA-4A872836EFF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0661712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332</xdr:row>
      <xdr:rowOff>38101</xdr:rowOff>
    </xdr:from>
    <xdr:ext cx="643818" cy="723900"/>
    <xdr:pic>
      <xdr:nvPicPr>
        <xdr:cNvPr id="81" name="Picture 80" descr="Kabupaten_Bandung_Barat">
          <a:extLst>
            <a:ext uri="{FF2B5EF4-FFF2-40B4-BE49-F238E27FC236}">
              <a16:creationId xmlns:a16="http://schemas.microsoft.com/office/drawing/2014/main" id="{45255F42-B02A-413B-B911-EDD74637AF2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912934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366</xdr:row>
      <xdr:rowOff>38101</xdr:rowOff>
    </xdr:from>
    <xdr:ext cx="643818" cy="723900"/>
    <xdr:pic>
      <xdr:nvPicPr>
        <xdr:cNvPr id="82" name="Picture 81" descr="Kabupaten_Bandung_Barat">
          <a:extLst>
            <a:ext uri="{FF2B5EF4-FFF2-40B4-BE49-F238E27FC236}">
              <a16:creationId xmlns:a16="http://schemas.microsoft.com/office/drawing/2014/main" id="{1D966D19-F8FF-43E1-9E5C-0D515A2EDC3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3164157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38101</xdr:rowOff>
    </xdr:from>
    <xdr:to>
      <xdr:col>1</xdr:col>
      <xdr:colOff>342900</xdr:colOff>
      <xdr:row>7</xdr:row>
      <xdr:rowOff>1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B5303E31-23A0-4568-88C0-F993A4FBE5C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1"/>
          <a:ext cx="644524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35</xdr:row>
      <xdr:rowOff>38101</xdr:rowOff>
    </xdr:from>
    <xdr:ext cx="643818" cy="723900"/>
    <xdr:pic>
      <xdr:nvPicPr>
        <xdr:cNvPr id="3" name="Picture 2" descr="Kabupaten_Bandung_Barat">
          <a:extLst>
            <a:ext uri="{FF2B5EF4-FFF2-40B4-BE49-F238E27FC236}">
              <a16:creationId xmlns:a16="http://schemas.microsoft.com/office/drawing/2014/main" id="{54158B2F-6CB9-40B9-ABA3-45436D87ABF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870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67</xdr:row>
      <xdr:rowOff>38101</xdr:rowOff>
    </xdr:from>
    <xdr:ext cx="643818" cy="723900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2AFC89BA-39C6-4B40-9B6A-0150AD05526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3093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99</xdr:row>
      <xdr:rowOff>38101</xdr:rowOff>
    </xdr:from>
    <xdr:ext cx="643818" cy="723900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BC8322A4-4458-41BD-BE07-1A9990D165B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9316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131</xdr:row>
      <xdr:rowOff>38101</xdr:rowOff>
    </xdr:from>
    <xdr:ext cx="643818" cy="723900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511D484B-6B3F-4DED-8F10-67A4F7D3B7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5539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163</xdr:row>
      <xdr:rowOff>38101</xdr:rowOff>
    </xdr:from>
    <xdr:ext cx="643818" cy="723900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95F6E43B-32A3-4FA2-8B6D-B419B5C93B3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1762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195</xdr:row>
      <xdr:rowOff>38101</xdr:rowOff>
    </xdr:from>
    <xdr:ext cx="643818" cy="723900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95F91E0F-6906-4618-909C-EFFD7B4618F3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7985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229</xdr:row>
      <xdr:rowOff>38101</xdr:rowOff>
    </xdr:from>
    <xdr:ext cx="643818" cy="723900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B6ACCC20-E2A0-467C-A633-713414986616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4208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263</xdr:row>
      <xdr:rowOff>38101</xdr:rowOff>
    </xdr:from>
    <xdr:ext cx="643818" cy="723900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B27E326E-69C9-4FBE-8674-2386B5186D1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0431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297</xdr:row>
      <xdr:rowOff>38101</xdr:rowOff>
    </xdr:from>
    <xdr:ext cx="643818" cy="723900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24298450-376C-4E6F-8222-12898A1B1DD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654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331</xdr:row>
      <xdr:rowOff>38101</xdr:rowOff>
    </xdr:from>
    <xdr:ext cx="643818" cy="723900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99E5B9A6-4C6A-4ACA-8E34-E214E2D51D65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2877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365</xdr:row>
      <xdr:rowOff>38101</xdr:rowOff>
    </xdr:from>
    <xdr:ext cx="643818" cy="723900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748C5521-4649-4ED3-B36C-04ACB8674DD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9100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38101</xdr:rowOff>
    </xdr:from>
    <xdr:to>
      <xdr:col>1</xdr:col>
      <xdr:colOff>342900</xdr:colOff>
      <xdr:row>7</xdr:row>
      <xdr:rowOff>1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94609339-8859-484C-9148-6F24DB2E2F2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1"/>
          <a:ext cx="644524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35</xdr:row>
      <xdr:rowOff>38101</xdr:rowOff>
    </xdr:from>
    <xdr:ext cx="643818" cy="723900"/>
    <xdr:pic>
      <xdr:nvPicPr>
        <xdr:cNvPr id="3" name="Picture 2" descr="Kabupaten_Bandung_Barat">
          <a:extLst>
            <a:ext uri="{FF2B5EF4-FFF2-40B4-BE49-F238E27FC236}">
              <a16:creationId xmlns:a16="http://schemas.microsoft.com/office/drawing/2014/main" id="{0F0C5963-F24A-40F2-931E-8B8148486DA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870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67</xdr:row>
      <xdr:rowOff>38101</xdr:rowOff>
    </xdr:from>
    <xdr:ext cx="643818" cy="723900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29D2C5CB-716C-463B-AEFB-CBFCD0B0F6C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3093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100</xdr:row>
      <xdr:rowOff>38101</xdr:rowOff>
    </xdr:from>
    <xdr:ext cx="643818" cy="723900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A0DB6EF3-C6F2-440B-8C62-FE3A8F84DC6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9316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132</xdr:row>
      <xdr:rowOff>38101</xdr:rowOff>
    </xdr:from>
    <xdr:ext cx="643818" cy="723900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1AE60945-26ED-47C6-BE1F-3ACA747C90C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5539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164</xdr:row>
      <xdr:rowOff>38101</xdr:rowOff>
    </xdr:from>
    <xdr:ext cx="643818" cy="723900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A971E558-4080-4C93-9116-1AE13D648C7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1762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198</xdr:row>
      <xdr:rowOff>38101</xdr:rowOff>
    </xdr:from>
    <xdr:ext cx="643818" cy="723900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1C875358-E931-4CF5-A7F6-DF2ED53F1A3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7985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232</xdr:row>
      <xdr:rowOff>38101</xdr:rowOff>
    </xdr:from>
    <xdr:ext cx="643818" cy="723900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ACAE75BC-AD40-4100-A32A-850AD5E4E24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4208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266</xdr:row>
      <xdr:rowOff>38101</xdr:rowOff>
    </xdr:from>
    <xdr:ext cx="643818" cy="723900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7C63E63C-CCAD-4991-9BAE-3DC5CC9E2433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0431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300</xdr:row>
      <xdr:rowOff>38101</xdr:rowOff>
    </xdr:from>
    <xdr:ext cx="643818" cy="723900"/>
    <xdr:pic>
      <xdr:nvPicPr>
        <xdr:cNvPr id="11" name="Picture 10" descr="Kabupaten_Bandung_Barat">
          <a:extLst>
            <a:ext uri="{FF2B5EF4-FFF2-40B4-BE49-F238E27FC236}">
              <a16:creationId xmlns:a16="http://schemas.microsoft.com/office/drawing/2014/main" id="{BFAE5585-4204-4934-9174-E3D7C0A9267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654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334</xdr:row>
      <xdr:rowOff>38101</xdr:rowOff>
    </xdr:from>
    <xdr:ext cx="643818" cy="723900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E96A2780-93E3-4310-90B7-82391E36ED5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2877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368</xdr:row>
      <xdr:rowOff>38101</xdr:rowOff>
    </xdr:from>
    <xdr:ext cx="643818" cy="723900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F40E969F-B5B6-421C-B91E-90009C2B0B34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9100701"/>
          <a:ext cx="643818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38101</xdr:rowOff>
    </xdr:from>
    <xdr:to>
      <xdr:col>1</xdr:col>
      <xdr:colOff>342900</xdr:colOff>
      <xdr:row>7</xdr:row>
      <xdr:rowOff>1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F985842F-2CB6-4C00-9685-CD72CC9E490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47701"/>
          <a:ext cx="644524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66750"/>
          <a:ext cx="7048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3</xdr:row>
      <xdr:rowOff>38100</xdr:rowOff>
    </xdr:from>
    <xdr:to>
      <xdr:col>1</xdr:col>
      <xdr:colOff>419101</xdr:colOff>
      <xdr:row>6</xdr:row>
      <xdr:rowOff>180975</xdr:rowOff>
    </xdr:to>
    <xdr:pic>
      <xdr:nvPicPr>
        <xdr:cNvPr id="2" name="Picture 1" descr="Kabupaten_Bandung_Barat">
          <a:extLst>
            <a:ext uri="{FF2B5EF4-FFF2-40B4-BE49-F238E27FC236}">
              <a16:creationId xmlns:a16="http://schemas.microsoft.com/office/drawing/2014/main" id="{6F18AA36-895C-4E80-97C0-282F43F2F8A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515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9526</xdr:colOff>
      <xdr:row>45</xdr:row>
      <xdr:rowOff>38100</xdr:rowOff>
    </xdr:from>
    <xdr:ext cx="720725" cy="714375"/>
    <xdr:pic>
      <xdr:nvPicPr>
        <xdr:cNvPr id="22" name="Picture 21" descr="Kabupaten_Bandung_Barat">
          <a:extLst>
            <a:ext uri="{FF2B5EF4-FFF2-40B4-BE49-F238E27FC236}">
              <a16:creationId xmlns:a16="http://schemas.microsoft.com/office/drawing/2014/main" id="{61315741-3BA1-4507-9E4F-A0E60152018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515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81</xdr:row>
      <xdr:rowOff>38100</xdr:rowOff>
    </xdr:from>
    <xdr:ext cx="720725" cy="714375"/>
    <xdr:pic>
      <xdr:nvPicPr>
        <xdr:cNvPr id="4" name="Picture 3" descr="Kabupaten_Bandung_Barat">
          <a:extLst>
            <a:ext uri="{FF2B5EF4-FFF2-40B4-BE49-F238E27FC236}">
              <a16:creationId xmlns:a16="http://schemas.microsoft.com/office/drawing/2014/main" id="{29995309-5D99-4E61-BA2F-B397D54246A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6515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123</xdr:row>
      <xdr:rowOff>38100</xdr:rowOff>
    </xdr:from>
    <xdr:ext cx="720725" cy="714375"/>
    <xdr:pic>
      <xdr:nvPicPr>
        <xdr:cNvPr id="5" name="Picture 4" descr="Kabupaten_Bandung_Barat">
          <a:extLst>
            <a:ext uri="{FF2B5EF4-FFF2-40B4-BE49-F238E27FC236}">
              <a16:creationId xmlns:a16="http://schemas.microsoft.com/office/drawing/2014/main" id="{7988ACC0-FBF1-4476-91C8-B08F5F71688F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57225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159</xdr:row>
      <xdr:rowOff>38100</xdr:rowOff>
    </xdr:from>
    <xdr:ext cx="720725" cy="714375"/>
    <xdr:pic>
      <xdr:nvPicPr>
        <xdr:cNvPr id="6" name="Picture 5" descr="Kabupaten_Bandung_Barat">
          <a:extLst>
            <a:ext uri="{FF2B5EF4-FFF2-40B4-BE49-F238E27FC236}">
              <a16:creationId xmlns:a16="http://schemas.microsoft.com/office/drawing/2014/main" id="{20CD010C-5C8E-477A-9F76-BB44679F0B4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2759267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201</xdr:row>
      <xdr:rowOff>38100</xdr:rowOff>
    </xdr:from>
    <xdr:ext cx="720725" cy="714375"/>
    <xdr:pic>
      <xdr:nvPicPr>
        <xdr:cNvPr id="7" name="Picture 6" descr="Kabupaten_Bandung_Barat">
          <a:extLst>
            <a:ext uri="{FF2B5EF4-FFF2-40B4-BE49-F238E27FC236}">
              <a16:creationId xmlns:a16="http://schemas.microsoft.com/office/drawing/2014/main" id="{F4A63516-C041-43E7-9403-186A4D03131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18798822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237</xdr:row>
      <xdr:rowOff>38100</xdr:rowOff>
    </xdr:from>
    <xdr:ext cx="720725" cy="714375"/>
    <xdr:pic>
      <xdr:nvPicPr>
        <xdr:cNvPr id="8" name="Picture 7" descr="Kabupaten_Bandung_Barat">
          <a:extLst>
            <a:ext uri="{FF2B5EF4-FFF2-40B4-BE49-F238E27FC236}">
              <a16:creationId xmlns:a16="http://schemas.microsoft.com/office/drawing/2014/main" id="{EC81DC4C-C180-4F8D-9F6E-337E6971BFBA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24944211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273</xdr:row>
      <xdr:rowOff>38100</xdr:rowOff>
    </xdr:from>
    <xdr:ext cx="720725" cy="714375"/>
    <xdr:pic>
      <xdr:nvPicPr>
        <xdr:cNvPr id="9" name="Picture 8" descr="Kabupaten_Bandung_Barat">
          <a:extLst>
            <a:ext uri="{FF2B5EF4-FFF2-40B4-BE49-F238E27FC236}">
              <a16:creationId xmlns:a16="http://schemas.microsoft.com/office/drawing/2014/main" id="{18910D78-58F6-4742-B616-BCD93DCF8173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0983767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309</xdr:row>
      <xdr:rowOff>38100</xdr:rowOff>
    </xdr:from>
    <xdr:ext cx="720725" cy="714375"/>
    <xdr:pic>
      <xdr:nvPicPr>
        <xdr:cNvPr id="10" name="Picture 9" descr="Kabupaten_Bandung_Barat">
          <a:extLst>
            <a:ext uri="{FF2B5EF4-FFF2-40B4-BE49-F238E27FC236}">
              <a16:creationId xmlns:a16="http://schemas.microsoft.com/office/drawing/2014/main" id="{CB0C5C17-406B-4845-B5C5-1F2FF93B322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37129156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345</xdr:row>
      <xdr:rowOff>38100</xdr:rowOff>
    </xdr:from>
    <xdr:ext cx="720725" cy="714375"/>
    <xdr:pic>
      <xdr:nvPicPr>
        <xdr:cNvPr id="12" name="Picture 11" descr="Kabupaten_Bandung_Barat">
          <a:extLst>
            <a:ext uri="{FF2B5EF4-FFF2-40B4-BE49-F238E27FC236}">
              <a16:creationId xmlns:a16="http://schemas.microsoft.com/office/drawing/2014/main" id="{225B1473-9BDC-451B-B427-B96E02A8884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4931410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381</xdr:row>
      <xdr:rowOff>38100</xdr:rowOff>
    </xdr:from>
    <xdr:ext cx="720725" cy="714375"/>
    <xdr:pic>
      <xdr:nvPicPr>
        <xdr:cNvPr id="13" name="Picture 12" descr="Kabupaten_Bandung_Barat">
          <a:extLst>
            <a:ext uri="{FF2B5EF4-FFF2-40B4-BE49-F238E27FC236}">
              <a16:creationId xmlns:a16="http://schemas.microsoft.com/office/drawing/2014/main" id="{FB63D875-B4D8-4136-9DDF-120D5D3AD417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55353656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417</xdr:row>
      <xdr:rowOff>38100</xdr:rowOff>
    </xdr:from>
    <xdr:ext cx="720725" cy="714375"/>
    <xdr:pic>
      <xdr:nvPicPr>
        <xdr:cNvPr id="14" name="Picture 13" descr="Kabupaten_Bandung_Barat">
          <a:extLst>
            <a:ext uri="{FF2B5EF4-FFF2-40B4-BE49-F238E27FC236}">
              <a16:creationId xmlns:a16="http://schemas.microsoft.com/office/drawing/2014/main" id="{607C6405-88B1-4DEB-8A69-4BBAA084AF5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7538600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9526</xdr:colOff>
      <xdr:row>453</xdr:row>
      <xdr:rowOff>38100</xdr:rowOff>
    </xdr:from>
    <xdr:ext cx="720725" cy="714375"/>
    <xdr:pic>
      <xdr:nvPicPr>
        <xdr:cNvPr id="15" name="Picture 14" descr="Kabupaten_Bandung_Barat">
          <a:extLst>
            <a:ext uri="{FF2B5EF4-FFF2-40B4-BE49-F238E27FC236}">
              <a16:creationId xmlns:a16="http://schemas.microsoft.com/office/drawing/2014/main" id="{24772FF0-D244-4E90-9D1C-F69D9779337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6000"/>
        </a:blip>
        <a:srcRect/>
        <a:stretch>
          <a:fillRect/>
        </a:stretch>
      </xdr:blipFill>
      <xdr:spPr bwMode="auto">
        <a:xfrm>
          <a:off x="9526" y="61499044"/>
          <a:ext cx="7207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7.%20STANDAR%20PEMBIAYAAN/KEUANGAN/BOS/SD%20Lebakleungsir/SPJ%20BOS%20SDN%20LBS%20Jan-Mar'2017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"/>
      <sheetName val="Program"/>
      <sheetName val="kode rekening"/>
      <sheetName val="B K-3 Jan"/>
      <sheetName val="B K-4 Jan"/>
      <sheetName val="B K-5 Jan"/>
      <sheetName val="B K-6 Jan"/>
      <sheetName val="B K-3 Feb"/>
      <sheetName val="B K-4 Feb"/>
      <sheetName val="B K-5 Feb"/>
      <sheetName val="B K-6 Feb"/>
      <sheetName val="Count_Jan"/>
      <sheetName val="Count_Feb"/>
      <sheetName val="Count_Mar"/>
      <sheetName val="Jml"/>
      <sheetName val="B K-3 Mar"/>
      <sheetName val="Honor"/>
      <sheetName val="SPJ"/>
      <sheetName val="B K-4 Mar"/>
      <sheetName val="B K-5 Mar"/>
      <sheetName val="B K-6 Mar"/>
      <sheetName val="B K-7"/>
      <sheetName val="BOS-K7A"/>
      <sheetName val="SPJ BOS SDN LBS Jan-Mar'2017_OK"/>
    </sheetNames>
    <sheetDataSet>
      <sheetData sheetId="0"/>
      <sheetData sheetId="1"/>
      <sheetData sheetId="2"/>
      <sheetData sheetId="3">
        <row r="30">
          <cell r="F30" t="str">
            <v>SUHARA, S.Pd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D5" t="str">
            <v>: SD NEGERI LEBAKLEUNGSIR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7EFA-080D-40D8-8781-A304DD6F085D}">
  <dimension ref="A1:E14"/>
  <sheetViews>
    <sheetView workbookViewId="0">
      <selection activeCell="F14" sqref="F14"/>
    </sheetView>
  </sheetViews>
  <sheetFormatPr defaultRowHeight="14.5"/>
  <cols>
    <col min="1" max="1" width="5.26953125" customWidth="1"/>
    <col min="2" max="2" width="9" customWidth="1"/>
    <col min="3" max="3" width="27.08984375" customWidth="1"/>
  </cols>
  <sheetData>
    <row r="1" spans="1:5">
      <c r="A1" t="s">
        <v>141</v>
      </c>
    </row>
    <row r="3" spans="1:5">
      <c r="A3" t="s">
        <v>142</v>
      </c>
    </row>
    <row r="4" spans="1:5">
      <c r="A4" t="s">
        <v>3</v>
      </c>
    </row>
    <row r="5" spans="1:5">
      <c r="A5" t="s">
        <v>5</v>
      </c>
    </row>
    <row r="7" spans="1:5">
      <c r="A7" t="s">
        <v>143</v>
      </c>
    </row>
    <row r="8" spans="1:5">
      <c r="A8" t="s">
        <v>144</v>
      </c>
    </row>
    <row r="9" spans="1:5">
      <c r="A9" t="s">
        <v>145</v>
      </c>
    </row>
    <row r="10" spans="1:5">
      <c r="A10" t="s">
        <v>144</v>
      </c>
    </row>
    <row r="12" spans="1:5">
      <c r="A12" t="s">
        <v>146</v>
      </c>
    </row>
    <row r="13" spans="1:5">
      <c r="A13" t="s">
        <v>41</v>
      </c>
    </row>
    <row r="14" spans="1:5">
      <c r="A14" t="s">
        <v>148</v>
      </c>
      <c r="B14" t="s">
        <v>147</v>
      </c>
      <c r="D14" t="s">
        <v>99</v>
      </c>
      <c r="E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T443"/>
  <sheetViews>
    <sheetView showGridLines="0" tabSelected="1" zoomScale="80" zoomScaleNormal="80" workbookViewId="0">
      <selection activeCell="E9" sqref="E9:E10"/>
    </sheetView>
  </sheetViews>
  <sheetFormatPr defaultRowHeight="11.5"/>
  <cols>
    <col min="1" max="1" width="4.453125" style="1" customWidth="1"/>
    <col min="2" max="2" width="7.453125" style="1" customWidth="1"/>
    <col min="3" max="3" width="18.1796875" style="1" customWidth="1"/>
    <col min="4" max="4" width="17.453125" style="1" customWidth="1"/>
    <col min="5" max="5" width="14.6328125" style="1" customWidth="1"/>
    <col min="6" max="9" width="9.81640625" style="1" hidden="1" customWidth="1"/>
    <col min="10" max="10" width="9.81640625" style="1" customWidth="1"/>
    <col min="11" max="11" width="7.1796875" style="1" customWidth="1"/>
    <col min="12" max="12" width="3.7265625" style="1" customWidth="1"/>
    <col min="13" max="13" width="6.81640625" style="1" customWidth="1"/>
    <col min="14" max="14" width="14.1796875" style="1" customWidth="1"/>
    <col min="15" max="15" width="12.26953125" style="1" customWidth="1"/>
    <col min="16" max="17" width="15.26953125" style="1" customWidth="1"/>
    <col min="18" max="18" width="5.54296875" style="1" customWidth="1"/>
    <col min="19" max="19" width="15.26953125" style="1" customWidth="1"/>
    <col min="20" max="20" width="35.26953125" style="2" customWidth="1"/>
    <col min="21" max="21" width="10.26953125" style="1" customWidth="1"/>
    <col min="22" max="22" width="12.54296875" style="1" customWidth="1"/>
    <col min="23" max="23" width="16" style="1" customWidth="1"/>
    <col min="24" max="24" width="16.54296875" style="1" customWidth="1"/>
    <col min="25" max="25" width="21.81640625" style="1" customWidth="1"/>
    <col min="26" max="256" width="9.1796875" style="1"/>
    <col min="257" max="257" width="7.81640625" style="1" customWidth="1"/>
    <col min="258" max="258" width="8.54296875" style="1" customWidth="1"/>
    <col min="259" max="259" width="20.1796875" style="1" customWidth="1"/>
    <col min="260" max="260" width="16.453125" style="1" customWidth="1"/>
    <col min="261" max="261" width="22.26953125" style="1" customWidth="1"/>
    <col min="262" max="262" width="17.81640625" style="1" customWidth="1"/>
    <col min="263" max="263" width="22.81640625" style="1" customWidth="1"/>
    <col min="264" max="264" width="25.453125" style="1" customWidth="1"/>
    <col min="265" max="266" width="6.7265625" style="1" customWidth="1"/>
    <col min="267" max="267" width="26.453125" style="1" customWidth="1"/>
    <col min="268" max="268" width="18.54296875" style="1" customWidth="1"/>
    <col min="269" max="269" width="29.81640625" style="1" customWidth="1"/>
    <col min="270" max="270" width="23.54296875" style="1" customWidth="1"/>
    <col min="271" max="271" width="31.453125" style="1" customWidth="1"/>
    <col min="272" max="512" width="9.1796875" style="1"/>
    <col min="513" max="513" width="7.81640625" style="1" customWidth="1"/>
    <col min="514" max="514" width="8.54296875" style="1" customWidth="1"/>
    <col min="515" max="515" width="20.1796875" style="1" customWidth="1"/>
    <col min="516" max="516" width="16.453125" style="1" customWidth="1"/>
    <col min="517" max="517" width="22.26953125" style="1" customWidth="1"/>
    <col min="518" max="518" width="17.81640625" style="1" customWidth="1"/>
    <col min="519" max="519" width="22.81640625" style="1" customWidth="1"/>
    <col min="520" max="520" width="25.453125" style="1" customWidth="1"/>
    <col min="521" max="522" width="6.7265625" style="1" customWidth="1"/>
    <col min="523" max="523" width="26.453125" style="1" customWidth="1"/>
    <col min="524" max="524" width="18.54296875" style="1" customWidth="1"/>
    <col min="525" max="525" width="29.81640625" style="1" customWidth="1"/>
    <col min="526" max="526" width="23.54296875" style="1" customWidth="1"/>
    <col min="527" max="527" width="31.453125" style="1" customWidth="1"/>
    <col min="528" max="768" width="9.1796875" style="1"/>
    <col min="769" max="769" width="7.81640625" style="1" customWidth="1"/>
    <col min="770" max="770" width="8.54296875" style="1" customWidth="1"/>
    <col min="771" max="771" width="20.1796875" style="1" customWidth="1"/>
    <col min="772" max="772" width="16.453125" style="1" customWidth="1"/>
    <col min="773" max="773" width="22.26953125" style="1" customWidth="1"/>
    <col min="774" max="774" width="17.81640625" style="1" customWidth="1"/>
    <col min="775" max="775" width="22.81640625" style="1" customWidth="1"/>
    <col min="776" max="776" width="25.453125" style="1" customWidth="1"/>
    <col min="777" max="778" width="6.7265625" style="1" customWidth="1"/>
    <col min="779" max="779" width="26.453125" style="1" customWidth="1"/>
    <col min="780" max="780" width="18.54296875" style="1" customWidth="1"/>
    <col min="781" max="781" width="29.81640625" style="1" customWidth="1"/>
    <col min="782" max="782" width="23.54296875" style="1" customWidth="1"/>
    <col min="783" max="783" width="31.453125" style="1" customWidth="1"/>
    <col min="784" max="1024" width="9.1796875" style="1"/>
    <col min="1025" max="1025" width="7.81640625" style="1" customWidth="1"/>
    <col min="1026" max="1026" width="8.54296875" style="1" customWidth="1"/>
    <col min="1027" max="1027" width="20.1796875" style="1" customWidth="1"/>
    <col min="1028" max="1028" width="16.453125" style="1" customWidth="1"/>
    <col min="1029" max="1029" width="22.26953125" style="1" customWidth="1"/>
    <col min="1030" max="1030" width="17.81640625" style="1" customWidth="1"/>
    <col min="1031" max="1031" width="22.81640625" style="1" customWidth="1"/>
    <col min="1032" max="1032" width="25.453125" style="1" customWidth="1"/>
    <col min="1033" max="1034" width="6.7265625" style="1" customWidth="1"/>
    <col min="1035" max="1035" width="26.453125" style="1" customWidth="1"/>
    <col min="1036" max="1036" width="18.54296875" style="1" customWidth="1"/>
    <col min="1037" max="1037" width="29.81640625" style="1" customWidth="1"/>
    <col min="1038" max="1038" width="23.54296875" style="1" customWidth="1"/>
    <col min="1039" max="1039" width="31.453125" style="1" customWidth="1"/>
    <col min="1040" max="1280" width="9.1796875" style="1"/>
    <col min="1281" max="1281" width="7.81640625" style="1" customWidth="1"/>
    <col min="1282" max="1282" width="8.54296875" style="1" customWidth="1"/>
    <col min="1283" max="1283" width="20.1796875" style="1" customWidth="1"/>
    <col min="1284" max="1284" width="16.453125" style="1" customWidth="1"/>
    <col min="1285" max="1285" width="22.26953125" style="1" customWidth="1"/>
    <col min="1286" max="1286" width="17.81640625" style="1" customWidth="1"/>
    <col min="1287" max="1287" width="22.81640625" style="1" customWidth="1"/>
    <col min="1288" max="1288" width="25.453125" style="1" customWidth="1"/>
    <col min="1289" max="1290" width="6.7265625" style="1" customWidth="1"/>
    <col min="1291" max="1291" width="26.453125" style="1" customWidth="1"/>
    <col min="1292" max="1292" width="18.54296875" style="1" customWidth="1"/>
    <col min="1293" max="1293" width="29.81640625" style="1" customWidth="1"/>
    <col min="1294" max="1294" width="23.54296875" style="1" customWidth="1"/>
    <col min="1295" max="1295" width="31.453125" style="1" customWidth="1"/>
    <col min="1296" max="1536" width="9.1796875" style="1"/>
    <col min="1537" max="1537" width="7.81640625" style="1" customWidth="1"/>
    <col min="1538" max="1538" width="8.54296875" style="1" customWidth="1"/>
    <col min="1539" max="1539" width="20.1796875" style="1" customWidth="1"/>
    <col min="1540" max="1540" width="16.453125" style="1" customWidth="1"/>
    <col min="1541" max="1541" width="22.26953125" style="1" customWidth="1"/>
    <col min="1542" max="1542" width="17.81640625" style="1" customWidth="1"/>
    <col min="1543" max="1543" width="22.81640625" style="1" customWidth="1"/>
    <col min="1544" max="1544" width="25.453125" style="1" customWidth="1"/>
    <col min="1545" max="1546" width="6.7265625" style="1" customWidth="1"/>
    <col min="1547" max="1547" width="26.453125" style="1" customWidth="1"/>
    <col min="1548" max="1548" width="18.54296875" style="1" customWidth="1"/>
    <col min="1549" max="1549" width="29.81640625" style="1" customWidth="1"/>
    <col min="1550" max="1550" width="23.54296875" style="1" customWidth="1"/>
    <col min="1551" max="1551" width="31.453125" style="1" customWidth="1"/>
    <col min="1552" max="1792" width="9.1796875" style="1"/>
    <col min="1793" max="1793" width="7.81640625" style="1" customWidth="1"/>
    <col min="1794" max="1794" width="8.54296875" style="1" customWidth="1"/>
    <col min="1795" max="1795" width="20.1796875" style="1" customWidth="1"/>
    <col min="1796" max="1796" width="16.453125" style="1" customWidth="1"/>
    <col min="1797" max="1797" width="22.26953125" style="1" customWidth="1"/>
    <col min="1798" max="1798" width="17.81640625" style="1" customWidth="1"/>
    <col min="1799" max="1799" width="22.81640625" style="1" customWidth="1"/>
    <col min="1800" max="1800" width="25.453125" style="1" customWidth="1"/>
    <col min="1801" max="1802" width="6.7265625" style="1" customWidth="1"/>
    <col min="1803" max="1803" width="26.453125" style="1" customWidth="1"/>
    <col min="1804" max="1804" width="18.54296875" style="1" customWidth="1"/>
    <col min="1805" max="1805" width="29.81640625" style="1" customWidth="1"/>
    <col min="1806" max="1806" width="23.54296875" style="1" customWidth="1"/>
    <col min="1807" max="1807" width="31.453125" style="1" customWidth="1"/>
    <col min="1808" max="2048" width="9.1796875" style="1"/>
    <col min="2049" max="2049" width="7.81640625" style="1" customWidth="1"/>
    <col min="2050" max="2050" width="8.54296875" style="1" customWidth="1"/>
    <col min="2051" max="2051" width="20.1796875" style="1" customWidth="1"/>
    <col min="2052" max="2052" width="16.453125" style="1" customWidth="1"/>
    <col min="2053" max="2053" width="22.26953125" style="1" customWidth="1"/>
    <col min="2054" max="2054" width="17.81640625" style="1" customWidth="1"/>
    <col min="2055" max="2055" width="22.81640625" style="1" customWidth="1"/>
    <col min="2056" max="2056" width="25.453125" style="1" customWidth="1"/>
    <col min="2057" max="2058" width="6.7265625" style="1" customWidth="1"/>
    <col min="2059" max="2059" width="26.453125" style="1" customWidth="1"/>
    <col min="2060" max="2060" width="18.54296875" style="1" customWidth="1"/>
    <col min="2061" max="2061" width="29.81640625" style="1" customWidth="1"/>
    <col min="2062" max="2062" width="23.54296875" style="1" customWidth="1"/>
    <col min="2063" max="2063" width="31.453125" style="1" customWidth="1"/>
    <col min="2064" max="2304" width="9.1796875" style="1"/>
    <col min="2305" max="2305" width="7.81640625" style="1" customWidth="1"/>
    <col min="2306" max="2306" width="8.54296875" style="1" customWidth="1"/>
    <col min="2307" max="2307" width="20.1796875" style="1" customWidth="1"/>
    <col min="2308" max="2308" width="16.453125" style="1" customWidth="1"/>
    <col min="2309" max="2309" width="22.26953125" style="1" customWidth="1"/>
    <col min="2310" max="2310" width="17.81640625" style="1" customWidth="1"/>
    <col min="2311" max="2311" width="22.81640625" style="1" customWidth="1"/>
    <col min="2312" max="2312" width="25.453125" style="1" customWidth="1"/>
    <col min="2313" max="2314" width="6.7265625" style="1" customWidth="1"/>
    <col min="2315" max="2315" width="26.453125" style="1" customWidth="1"/>
    <col min="2316" max="2316" width="18.54296875" style="1" customWidth="1"/>
    <col min="2317" max="2317" width="29.81640625" style="1" customWidth="1"/>
    <col min="2318" max="2318" width="23.54296875" style="1" customWidth="1"/>
    <col min="2319" max="2319" width="31.453125" style="1" customWidth="1"/>
    <col min="2320" max="2560" width="9.1796875" style="1"/>
    <col min="2561" max="2561" width="7.81640625" style="1" customWidth="1"/>
    <col min="2562" max="2562" width="8.54296875" style="1" customWidth="1"/>
    <col min="2563" max="2563" width="20.1796875" style="1" customWidth="1"/>
    <col min="2564" max="2564" width="16.453125" style="1" customWidth="1"/>
    <col min="2565" max="2565" width="22.26953125" style="1" customWidth="1"/>
    <col min="2566" max="2566" width="17.81640625" style="1" customWidth="1"/>
    <col min="2567" max="2567" width="22.81640625" style="1" customWidth="1"/>
    <col min="2568" max="2568" width="25.453125" style="1" customWidth="1"/>
    <col min="2569" max="2570" width="6.7265625" style="1" customWidth="1"/>
    <col min="2571" max="2571" width="26.453125" style="1" customWidth="1"/>
    <col min="2572" max="2572" width="18.54296875" style="1" customWidth="1"/>
    <col min="2573" max="2573" width="29.81640625" style="1" customWidth="1"/>
    <col min="2574" max="2574" width="23.54296875" style="1" customWidth="1"/>
    <col min="2575" max="2575" width="31.453125" style="1" customWidth="1"/>
    <col min="2576" max="2816" width="9.1796875" style="1"/>
    <col min="2817" max="2817" width="7.81640625" style="1" customWidth="1"/>
    <col min="2818" max="2818" width="8.54296875" style="1" customWidth="1"/>
    <col min="2819" max="2819" width="20.1796875" style="1" customWidth="1"/>
    <col min="2820" max="2820" width="16.453125" style="1" customWidth="1"/>
    <col min="2821" max="2821" width="22.26953125" style="1" customWidth="1"/>
    <col min="2822" max="2822" width="17.81640625" style="1" customWidth="1"/>
    <col min="2823" max="2823" width="22.81640625" style="1" customWidth="1"/>
    <col min="2824" max="2824" width="25.453125" style="1" customWidth="1"/>
    <col min="2825" max="2826" width="6.7265625" style="1" customWidth="1"/>
    <col min="2827" max="2827" width="26.453125" style="1" customWidth="1"/>
    <col min="2828" max="2828" width="18.54296875" style="1" customWidth="1"/>
    <col min="2829" max="2829" width="29.81640625" style="1" customWidth="1"/>
    <col min="2830" max="2830" width="23.54296875" style="1" customWidth="1"/>
    <col min="2831" max="2831" width="31.453125" style="1" customWidth="1"/>
    <col min="2832" max="3072" width="9.1796875" style="1"/>
    <col min="3073" max="3073" width="7.81640625" style="1" customWidth="1"/>
    <col min="3074" max="3074" width="8.54296875" style="1" customWidth="1"/>
    <col min="3075" max="3075" width="20.1796875" style="1" customWidth="1"/>
    <col min="3076" max="3076" width="16.453125" style="1" customWidth="1"/>
    <col min="3077" max="3077" width="22.26953125" style="1" customWidth="1"/>
    <col min="3078" max="3078" width="17.81640625" style="1" customWidth="1"/>
    <col min="3079" max="3079" width="22.81640625" style="1" customWidth="1"/>
    <col min="3080" max="3080" width="25.453125" style="1" customWidth="1"/>
    <col min="3081" max="3082" width="6.7265625" style="1" customWidth="1"/>
    <col min="3083" max="3083" width="26.453125" style="1" customWidth="1"/>
    <col min="3084" max="3084" width="18.54296875" style="1" customWidth="1"/>
    <col min="3085" max="3085" width="29.81640625" style="1" customWidth="1"/>
    <col min="3086" max="3086" width="23.54296875" style="1" customWidth="1"/>
    <col min="3087" max="3087" width="31.453125" style="1" customWidth="1"/>
    <col min="3088" max="3328" width="9.1796875" style="1"/>
    <col min="3329" max="3329" width="7.81640625" style="1" customWidth="1"/>
    <col min="3330" max="3330" width="8.54296875" style="1" customWidth="1"/>
    <col min="3331" max="3331" width="20.1796875" style="1" customWidth="1"/>
    <col min="3332" max="3332" width="16.453125" style="1" customWidth="1"/>
    <col min="3333" max="3333" width="22.26953125" style="1" customWidth="1"/>
    <col min="3334" max="3334" width="17.81640625" style="1" customWidth="1"/>
    <col min="3335" max="3335" width="22.81640625" style="1" customWidth="1"/>
    <col min="3336" max="3336" width="25.453125" style="1" customWidth="1"/>
    <col min="3337" max="3338" width="6.7265625" style="1" customWidth="1"/>
    <col min="3339" max="3339" width="26.453125" style="1" customWidth="1"/>
    <col min="3340" max="3340" width="18.54296875" style="1" customWidth="1"/>
    <col min="3341" max="3341" width="29.81640625" style="1" customWidth="1"/>
    <col min="3342" max="3342" width="23.54296875" style="1" customWidth="1"/>
    <col min="3343" max="3343" width="31.453125" style="1" customWidth="1"/>
    <col min="3344" max="3584" width="9.1796875" style="1"/>
    <col min="3585" max="3585" width="7.81640625" style="1" customWidth="1"/>
    <col min="3586" max="3586" width="8.54296875" style="1" customWidth="1"/>
    <col min="3587" max="3587" width="20.1796875" style="1" customWidth="1"/>
    <col min="3588" max="3588" width="16.453125" style="1" customWidth="1"/>
    <col min="3589" max="3589" width="22.26953125" style="1" customWidth="1"/>
    <col min="3590" max="3590" width="17.81640625" style="1" customWidth="1"/>
    <col min="3591" max="3591" width="22.81640625" style="1" customWidth="1"/>
    <col min="3592" max="3592" width="25.453125" style="1" customWidth="1"/>
    <col min="3593" max="3594" width="6.7265625" style="1" customWidth="1"/>
    <col min="3595" max="3595" width="26.453125" style="1" customWidth="1"/>
    <col min="3596" max="3596" width="18.54296875" style="1" customWidth="1"/>
    <col min="3597" max="3597" width="29.81640625" style="1" customWidth="1"/>
    <col min="3598" max="3598" width="23.54296875" style="1" customWidth="1"/>
    <col min="3599" max="3599" width="31.453125" style="1" customWidth="1"/>
    <col min="3600" max="3840" width="9.1796875" style="1"/>
    <col min="3841" max="3841" width="7.81640625" style="1" customWidth="1"/>
    <col min="3842" max="3842" width="8.54296875" style="1" customWidth="1"/>
    <col min="3843" max="3843" width="20.1796875" style="1" customWidth="1"/>
    <col min="3844" max="3844" width="16.453125" style="1" customWidth="1"/>
    <col min="3845" max="3845" width="22.26953125" style="1" customWidth="1"/>
    <col min="3846" max="3846" width="17.81640625" style="1" customWidth="1"/>
    <col min="3847" max="3847" width="22.81640625" style="1" customWidth="1"/>
    <col min="3848" max="3848" width="25.453125" style="1" customWidth="1"/>
    <col min="3849" max="3850" width="6.7265625" style="1" customWidth="1"/>
    <col min="3851" max="3851" width="26.453125" style="1" customWidth="1"/>
    <col min="3852" max="3852" width="18.54296875" style="1" customWidth="1"/>
    <col min="3853" max="3853" width="29.81640625" style="1" customWidth="1"/>
    <col min="3854" max="3854" width="23.54296875" style="1" customWidth="1"/>
    <col min="3855" max="3855" width="31.453125" style="1" customWidth="1"/>
    <col min="3856" max="4096" width="9.1796875" style="1"/>
    <col min="4097" max="4097" width="7.81640625" style="1" customWidth="1"/>
    <col min="4098" max="4098" width="8.54296875" style="1" customWidth="1"/>
    <col min="4099" max="4099" width="20.1796875" style="1" customWidth="1"/>
    <col min="4100" max="4100" width="16.453125" style="1" customWidth="1"/>
    <col min="4101" max="4101" width="22.26953125" style="1" customWidth="1"/>
    <col min="4102" max="4102" width="17.81640625" style="1" customWidth="1"/>
    <col min="4103" max="4103" width="22.81640625" style="1" customWidth="1"/>
    <col min="4104" max="4104" width="25.453125" style="1" customWidth="1"/>
    <col min="4105" max="4106" width="6.7265625" style="1" customWidth="1"/>
    <col min="4107" max="4107" width="26.453125" style="1" customWidth="1"/>
    <col min="4108" max="4108" width="18.54296875" style="1" customWidth="1"/>
    <col min="4109" max="4109" width="29.81640625" style="1" customWidth="1"/>
    <col min="4110" max="4110" width="23.54296875" style="1" customWidth="1"/>
    <col min="4111" max="4111" width="31.453125" style="1" customWidth="1"/>
    <col min="4112" max="4352" width="9.1796875" style="1"/>
    <col min="4353" max="4353" width="7.81640625" style="1" customWidth="1"/>
    <col min="4354" max="4354" width="8.54296875" style="1" customWidth="1"/>
    <col min="4355" max="4355" width="20.1796875" style="1" customWidth="1"/>
    <col min="4356" max="4356" width="16.453125" style="1" customWidth="1"/>
    <col min="4357" max="4357" width="22.26953125" style="1" customWidth="1"/>
    <col min="4358" max="4358" width="17.81640625" style="1" customWidth="1"/>
    <col min="4359" max="4359" width="22.81640625" style="1" customWidth="1"/>
    <col min="4360" max="4360" width="25.453125" style="1" customWidth="1"/>
    <col min="4361" max="4362" width="6.7265625" style="1" customWidth="1"/>
    <col min="4363" max="4363" width="26.453125" style="1" customWidth="1"/>
    <col min="4364" max="4364" width="18.54296875" style="1" customWidth="1"/>
    <col min="4365" max="4365" width="29.81640625" style="1" customWidth="1"/>
    <col min="4366" max="4366" width="23.54296875" style="1" customWidth="1"/>
    <col min="4367" max="4367" width="31.453125" style="1" customWidth="1"/>
    <col min="4368" max="4608" width="9.1796875" style="1"/>
    <col min="4609" max="4609" width="7.81640625" style="1" customWidth="1"/>
    <col min="4610" max="4610" width="8.54296875" style="1" customWidth="1"/>
    <col min="4611" max="4611" width="20.1796875" style="1" customWidth="1"/>
    <col min="4612" max="4612" width="16.453125" style="1" customWidth="1"/>
    <col min="4613" max="4613" width="22.26953125" style="1" customWidth="1"/>
    <col min="4614" max="4614" width="17.81640625" style="1" customWidth="1"/>
    <col min="4615" max="4615" width="22.81640625" style="1" customWidth="1"/>
    <col min="4616" max="4616" width="25.453125" style="1" customWidth="1"/>
    <col min="4617" max="4618" width="6.7265625" style="1" customWidth="1"/>
    <col min="4619" max="4619" width="26.453125" style="1" customWidth="1"/>
    <col min="4620" max="4620" width="18.54296875" style="1" customWidth="1"/>
    <col min="4621" max="4621" width="29.81640625" style="1" customWidth="1"/>
    <col min="4622" max="4622" width="23.54296875" style="1" customWidth="1"/>
    <col min="4623" max="4623" width="31.453125" style="1" customWidth="1"/>
    <col min="4624" max="4864" width="9.1796875" style="1"/>
    <col min="4865" max="4865" width="7.81640625" style="1" customWidth="1"/>
    <col min="4866" max="4866" width="8.54296875" style="1" customWidth="1"/>
    <col min="4867" max="4867" width="20.1796875" style="1" customWidth="1"/>
    <col min="4868" max="4868" width="16.453125" style="1" customWidth="1"/>
    <col min="4869" max="4869" width="22.26953125" style="1" customWidth="1"/>
    <col min="4870" max="4870" width="17.81640625" style="1" customWidth="1"/>
    <col min="4871" max="4871" width="22.81640625" style="1" customWidth="1"/>
    <col min="4872" max="4872" width="25.453125" style="1" customWidth="1"/>
    <col min="4873" max="4874" width="6.7265625" style="1" customWidth="1"/>
    <col min="4875" max="4875" width="26.453125" style="1" customWidth="1"/>
    <col min="4876" max="4876" width="18.54296875" style="1" customWidth="1"/>
    <col min="4877" max="4877" width="29.81640625" style="1" customWidth="1"/>
    <col min="4878" max="4878" width="23.54296875" style="1" customWidth="1"/>
    <col min="4879" max="4879" width="31.453125" style="1" customWidth="1"/>
    <col min="4880" max="5120" width="9.1796875" style="1"/>
    <col min="5121" max="5121" width="7.81640625" style="1" customWidth="1"/>
    <col min="5122" max="5122" width="8.54296875" style="1" customWidth="1"/>
    <col min="5123" max="5123" width="20.1796875" style="1" customWidth="1"/>
    <col min="5124" max="5124" width="16.453125" style="1" customWidth="1"/>
    <col min="5125" max="5125" width="22.26953125" style="1" customWidth="1"/>
    <col min="5126" max="5126" width="17.81640625" style="1" customWidth="1"/>
    <col min="5127" max="5127" width="22.81640625" style="1" customWidth="1"/>
    <col min="5128" max="5128" width="25.453125" style="1" customWidth="1"/>
    <col min="5129" max="5130" width="6.7265625" style="1" customWidth="1"/>
    <col min="5131" max="5131" width="26.453125" style="1" customWidth="1"/>
    <col min="5132" max="5132" width="18.54296875" style="1" customWidth="1"/>
    <col min="5133" max="5133" width="29.81640625" style="1" customWidth="1"/>
    <col min="5134" max="5134" width="23.54296875" style="1" customWidth="1"/>
    <col min="5135" max="5135" width="31.453125" style="1" customWidth="1"/>
    <col min="5136" max="5376" width="9.1796875" style="1"/>
    <col min="5377" max="5377" width="7.81640625" style="1" customWidth="1"/>
    <col min="5378" max="5378" width="8.54296875" style="1" customWidth="1"/>
    <col min="5379" max="5379" width="20.1796875" style="1" customWidth="1"/>
    <col min="5380" max="5380" width="16.453125" style="1" customWidth="1"/>
    <col min="5381" max="5381" width="22.26953125" style="1" customWidth="1"/>
    <col min="5382" max="5382" width="17.81640625" style="1" customWidth="1"/>
    <col min="5383" max="5383" width="22.81640625" style="1" customWidth="1"/>
    <col min="5384" max="5384" width="25.453125" style="1" customWidth="1"/>
    <col min="5385" max="5386" width="6.7265625" style="1" customWidth="1"/>
    <col min="5387" max="5387" width="26.453125" style="1" customWidth="1"/>
    <col min="5388" max="5388" width="18.54296875" style="1" customWidth="1"/>
    <col min="5389" max="5389" width="29.81640625" style="1" customWidth="1"/>
    <col min="5390" max="5390" width="23.54296875" style="1" customWidth="1"/>
    <col min="5391" max="5391" width="31.453125" style="1" customWidth="1"/>
    <col min="5392" max="5632" width="9.1796875" style="1"/>
    <col min="5633" max="5633" width="7.81640625" style="1" customWidth="1"/>
    <col min="5634" max="5634" width="8.54296875" style="1" customWidth="1"/>
    <col min="5635" max="5635" width="20.1796875" style="1" customWidth="1"/>
    <col min="5636" max="5636" width="16.453125" style="1" customWidth="1"/>
    <col min="5637" max="5637" width="22.26953125" style="1" customWidth="1"/>
    <col min="5638" max="5638" width="17.81640625" style="1" customWidth="1"/>
    <col min="5639" max="5639" width="22.81640625" style="1" customWidth="1"/>
    <col min="5640" max="5640" width="25.453125" style="1" customWidth="1"/>
    <col min="5641" max="5642" width="6.7265625" style="1" customWidth="1"/>
    <col min="5643" max="5643" width="26.453125" style="1" customWidth="1"/>
    <col min="5644" max="5644" width="18.54296875" style="1" customWidth="1"/>
    <col min="5645" max="5645" width="29.81640625" style="1" customWidth="1"/>
    <col min="5646" max="5646" width="23.54296875" style="1" customWidth="1"/>
    <col min="5647" max="5647" width="31.453125" style="1" customWidth="1"/>
    <col min="5648" max="5888" width="9.1796875" style="1"/>
    <col min="5889" max="5889" width="7.81640625" style="1" customWidth="1"/>
    <col min="5890" max="5890" width="8.54296875" style="1" customWidth="1"/>
    <col min="5891" max="5891" width="20.1796875" style="1" customWidth="1"/>
    <col min="5892" max="5892" width="16.453125" style="1" customWidth="1"/>
    <col min="5893" max="5893" width="22.26953125" style="1" customWidth="1"/>
    <col min="5894" max="5894" width="17.81640625" style="1" customWidth="1"/>
    <col min="5895" max="5895" width="22.81640625" style="1" customWidth="1"/>
    <col min="5896" max="5896" width="25.453125" style="1" customWidth="1"/>
    <col min="5897" max="5898" width="6.7265625" style="1" customWidth="1"/>
    <col min="5899" max="5899" width="26.453125" style="1" customWidth="1"/>
    <col min="5900" max="5900" width="18.54296875" style="1" customWidth="1"/>
    <col min="5901" max="5901" width="29.81640625" style="1" customWidth="1"/>
    <col min="5902" max="5902" width="23.54296875" style="1" customWidth="1"/>
    <col min="5903" max="5903" width="31.453125" style="1" customWidth="1"/>
    <col min="5904" max="6144" width="9.1796875" style="1"/>
    <col min="6145" max="6145" width="7.81640625" style="1" customWidth="1"/>
    <col min="6146" max="6146" width="8.54296875" style="1" customWidth="1"/>
    <col min="6147" max="6147" width="20.1796875" style="1" customWidth="1"/>
    <col min="6148" max="6148" width="16.453125" style="1" customWidth="1"/>
    <col min="6149" max="6149" width="22.26953125" style="1" customWidth="1"/>
    <col min="6150" max="6150" width="17.81640625" style="1" customWidth="1"/>
    <col min="6151" max="6151" width="22.81640625" style="1" customWidth="1"/>
    <col min="6152" max="6152" width="25.453125" style="1" customWidth="1"/>
    <col min="6153" max="6154" width="6.7265625" style="1" customWidth="1"/>
    <col min="6155" max="6155" width="26.453125" style="1" customWidth="1"/>
    <col min="6156" max="6156" width="18.54296875" style="1" customWidth="1"/>
    <col min="6157" max="6157" width="29.81640625" style="1" customWidth="1"/>
    <col min="6158" max="6158" width="23.54296875" style="1" customWidth="1"/>
    <col min="6159" max="6159" width="31.453125" style="1" customWidth="1"/>
    <col min="6160" max="6400" width="9.1796875" style="1"/>
    <col min="6401" max="6401" width="7.81640625" style="1" customWidth="1"/>
    <col min="6402" max="6402" width="8.54296875" style="1" customWidth="1"/>
    <col min="6403" max="6403" width="20.1796875" style="1" customWidth="1"/>
    <col min="6404" max="6404" width="16.453125" style="1" customWidth="1"/>
    <col min="6405" max="6405" width="22.26953125" style="1" customWidth="1"/>
    <col min="6406" max="6406" width="17.81640625" style="1" customWidth="1"/>
    <col min="6407" max="6407" width="22.81640625" style="1" customWidth="1"/>
    <col min="6408" max="6408" width="25.453125" style="1" customWidth="1"/>
    <col min="6409" max="6410" width="6.7265625" style="1" customWidth="1"/>
    <col min="6411" max="6411" width="26.453125" style="1" customWidth="1"/>
    <col min="6412" max="6412" width="18.54296875" style="1" customWidth="1"/>
    <col min="6413" max="6413" width="29.81640625" style="1" customWidth="1"/>
    <col min="6414" max="6414" width="23.54296875" style="1" customWidth="1"/>
    <col min="6415" max="6415" width="31.453125" style="1" customWidth="1"/>
    <col min="6416" max="6656" width="9.1796875" style="1"/>
    <col min="6657" max="6657" width="7.81640625" style="1" customWidth="1"/>
    <col min="6658" max="6658" width="8.54296875" style="1" customWidth="1"/>
    <col min="6659" max="6659" width="20.1796875" style="1" customWidth="1"/>
    <col min="6660" max="6660" width="16.453125" style="1" customWidth="1"/>
    <col min="6661" max="6661" width="22.26953125" style="1" customWidth="1"/>
    <col min="6662" max="6662" width="17.81640625" style="1" customWidth="1"/>
    <col min="6663" max="6663" width="22.81640625" style="1" customWidth="1"/>
    <col min="6664" max="6664" width="25.453125" style="1" customWidth="1"/>
    <col min="6665" max="6666" width="6.7265625" style="1" customWidth="1"/>
    <col min="6667" max="6667" width="26.453125" style="1" customWidth="1"/>
    <col min="6668" max="6668" width="18.54296875" style="1" customWidth="1"/>
    <col min="6669" max="6669" width="29.81640625" style="1" customWidth="1"/>
    <col min="6670" max="6670" width="23.54296875" style="1" customWidth="1"/>
    <col min="6671" max="6671" width="31.453125" style="1" customWidth="1"/>
    <col min="6672" max="6912" width="9.1796875" style="1"/>
    <col min="6913" max="6913" width="7.81640625" style="1" customWidth="1"/>
    <col min="6914" max="6914" width="8.54296875" style="1" customWidth="1"/>
    <col min="6915" max="6915" width="20.1796875" style="1" customWidth="1"/>
    <col min="6916" max="6916" width="16.453125" style="1" customWidth="1"/>
    <col min="6917" max="6917" width="22.26953125" style="1" customWidth="1"/>
    <col min="6918" max="6918" width="17.81640625" style="1" customWidth="1"/>
    <col min="6919" max="6919" width="22.81640625" style="1" customWidth="1"/>
    <col min="6920" max="6920" width="25.453125" style="1" customWidth="1"/>
    <col min="6921" max="6922" width="6.7265625" style="1" customWidth="1"/>
    <col min="6923" max="6923" width="26.453125" style="1" customWidth="1"/>
    <col min="6924" max="6924" width="18.54296875" style="1" customWidth="1"/>
    <col min="6925" max="6925" width="29.81640625" style="1" customWidth="1"/>
    <col min="6926" max="6926" width="23.54296875" style="1" customWidth="1"/>
    <col min="6927" max="6927" width="31.453125" style="1" customWidth="1"/>
    <col min="6928" max="7168" width="9.1796875" style="1"/>
    <col min="7169" max="7169" width="7.81640625" style="1" customWidth="1"/>
    <col min="7170" max="7170" width="8.54296875" style="1" customWidth="1"/>
    <col min="7171" max="7171" width="20.1796875" style="1" customWidth="1"/>
    <col min="7172" max="7172" width="16.453125" style="1" customWidth="1"/>
    <col min="7173" max="7173" width="22.26953125" style="1" customWidth="1"/>
    <col min="7174" max="7174" width="17.81640625" style="1" customWidth="1"/>
    <col min="7175" max="7175" width="22.81640625" style="1" customWidth="1"/>
    <col min="7176" max="7176" width="25.453125" style="1" customWidth="1"/>
    <col min="7177" max="7178" width="6.7265625" style="1" customWidth="1"/>
    <col min="7179" max="7179" width="26.453125" style="1" customWidth="1"/>
    <col min="7180" max="7180" width="18.54296875" style="1" customWidth="1"/>
    <col min="7181" max="7181" width="29.81640625" style="1" customWidth="1"/>
    <col min="7182" max="7182" width="23.54296875" style="1" customWidth="1"/>
    <col min="7183" max="7183" width="31.453125" style="1" customWidth="1"/>
    <col min="7184" max="7424" width="9.1796875" style="1"/>
    <col min="7425" max="7425" width="7.81640625" style="1" customWidth="1"/>
    <col min="7426" max="7426" width="8.54296875" style="1" customWidth="1"/>
    <col min="7427" max="7427" width="20.1796875" style="1" customWidth="1"/>
    <col min="7428" max="7428" width="16.453125" style="1" customWidth="1"/>
    <col min="7429" max="7429" width="22.26953125" style="1" customWidth="1"/>
    <col min="7430" max="7430" width="17.81640625" style="1" customWidth="1"/>
    <col min="7431" max="7431" width="22.81640625" style="1" customWidth="1"/>
    <col min="7432" max="7432" width="25.453125" style="1" customWidth="1"/>
    <col min="7433" max="7434" width="6.7265625" style="1" customWidth="1"/>
    <col min="7435" max="7435" width="26.453125" style="1" customWidth="1"/>
    <col min="7436" max="7436" width="18.54296875" style="1" customWidth="1"/>
    <col min="7437" max="7437" width="29.81640625" style="1" customWidth="1"/>
    <col min="7438" max="7438" width="23.54296875" style="1" customWidth="1"/>
    <col min="7439" max="7439" width="31.453125" style="1" customWidth="1"/>
    <col min="7440" max="7680" width="9.1796875" style="1"/>
    <col min="7681" max="7681" width="7.81640625" style="1" customWidth="1"/>
    <col min="7682" max="7682" width="8.54296875" style="1" customWidth="1"/>
    <col min="7683" max="7683" width="20.1796875" style="1" customWidth="1"/>
    <col min="7684" max="7684" width="16.453125" style="1" customWidth="1"/>
    <col min="7685" max="7685" width="22.26953125" style="1" customWidth="1"/>
    <col min="7686" max="7686" width="17.81640625" style="1" customWidth="1"/>
    <col min="7687" max="7687" width="22.81640625" style="1" customWidth="1"/>
    <col min="7688" max="7688" width="25.453125" style="1" customWidth="1"/>
    <col min="7689" max="7690" width="6.7265625" style="1" customWidth="1"/>
    <col min="7691" max="7691" width="26.453125" style="1" customWidth="1"/>
    <col min="7692" max="7692" width="18.54296875" style="1" customWidth="1"/>
    <col min="7693" max="7693" width="29.81640625" style="1" customWidth="1"/>
    <col min="7694" max="7694" width="23.54296875" style="1" customWidth="1"/>
    <col min="7695" max="7695" width="31.453125" style="1" customWidth="1"/>
    <col min="7696" max="7936" width="9.1796875" style="1"/>
    <col min="7937" max="7937" width="7.81640625" style="1" customWidth="1"/>
    <col min="7938" max="7938" width="8.54296875" style="1" customWidth="1"/>
    <col min="7939" max="7939" width="20.1796875" style="1" customWidth="1"/>
    <col min="7940" max="7940" width="16.453125" style="1" customWidth="1"/>
    <col min="7941" max="7941" width="22.26953125" style="1" customWidth="1"/>
    <col min="7942" max="7942" width="17.81640625" style="1" customWidth="1"/>
    <col min="7943" max="7943" width="22.81640625" style="1" customWidth="1"/>
    <col min="7944" max="7944" width="25.453125" style="1" customWidth="1"/>
    <col min="7945" max="7946" width="6.7265625" style="1" customWidth="1"/>
    <col min="7947" max="7947" width="26.453125" style="1" customWidth="1"/>
    <col min="7948" max="7948" width="18.54296875" style="1" customWidth="1"/>
    <col min="7949" max="7949" width="29.81640625" style="1" customWidth="1"/>
    <col min="7950" max="7950" width="23.54296875" style="1" customWidth="1"/>
    <col min="7951" max="7951" width="31.453125" style="1" customWidth="1"/>
    <col min="7952" max="8192" width="9.1796875" style="1"/>
    <col min="8193" max="8193" width="7.81640625" style="1" customWidth="1"/>
    <col min="8194" max="8194" width="8.54296875" style="1" customWidth="1"/>
    <col min="8195" max="8195" width="20.1796875" style="1" customWidth="1"/>
    <col min="8196" max="8196" width="16.453125" style="1" customWidth="1"/>
    <col min="8197" max="8197" width="22.26953125" style="1" customWidth="1"/>
    <col min="8198" max="8198" width="17.81640625" style="1" customWidth="1"/>
    <col min="8199" max="8199" width="22.81640625" style="1" customWidth="1"/>
    <col min="8200" max="8200" width="25.453125" style="1" customWidth="1"/>
    <col min="8201" max="8202" width="6.7265625" style="1" customWidth="1"/>
    <col min="8203" max="8203" width="26.453125" style="1" customWidth="1"/>
    <col min="8204" max="8204" width="18.54296875" style="1" customWidth="1"/>
    <col min="8205" max="8205" width="29.81640625" style="1" customWidth="1"/>
    <col min="8206" max="8206" width="23.54296875" style="1" customWidth="1"/>
    <col min="8207" max="8207" width="31.453125" style="1" customWidth="1"/>
    <col min="8208" max="8448" width="9.1796875" style="1"/>
    <col min="8449" max="8449" width="7.81640625" style="1" customWidth="1"/>
    <col min="8450" max="8450" width="8.54296875" style="1" customWidth="1"/>
    <col min="8451" max="8451" width="20.1796875" style="1" customWidth="1"/>
    <col min="8452" max="8452" width="16.453125" style="1" customWidth="1"/>
    <col min="8453" max="8453" width="22.26953125" style="1" customWidth="1"/>
    <col min="8454" max="8454" width="17.81640625" style="1" customWidth="1"/>
    <col min="8455" max="8455" width="22.81640625" style="1" customWidth="1"/>
    <col min="8456" max="8456" width="25.453125" style="1" customWidth="1"/>
    <col min="8457" max="8458" width="6.7265625" style="1" customWidth="1"/>
    <col min="8459" max="8459" width="26.453125" style="1" customWidth="1"/>
    <col min="8460" max="8460" width="18.54296875" style="1" customWidth="1"/>
    <col min="8461" max="8461" width="29.81640625" style="1" customWidth="1"/>
    <col min="8462" max="8462" width="23.54296875" style="1" customWidth="1"/>
    <col min="8463" max="8463" width="31.453125" style="1" customWidth="1"/>
    <col min="8464" max="8704" width="9.1796875" style="1"/>
    <col min="8705" max="8705" width="7.81640625" style="1" customWidth="1"/>
    <col min="8706" max="8706" width="8.54296875" style="1" customWidth="1"/>
    <col min="8707" max="8707" width="20.1796875" style="1" customWidth="1"/>
    <col min="8708" max="8708" width="16.453125" style="1" customWidth="1"/>
    <col min="8709" max="8709" width="22.26953125" style="1" customWidth="1"/>
    <col min="8710" max="8710" width="17.81640625" style="1" customWidth="1"/>
    <col min="8711" max="8711" width="22.81640625" style="1" customWidth="1"/>
    <col min="8712" max="8712" width="25.453125" style="1" customWidth="1"/>
    <col min="8713" max="8714" width="6.7265625" style="1" customWidth="1"/>
    <col min="8715" max="8715" width="26.453125" style="1" customWidth="1"/>
    <col min="8716" max="8716" width="18.54296875" style="1" customWidth="1"/>
    <col min="8717" max="8717" width="29.81640625" style="1" customWidth="1"/>
    <col min="8718" max="8718" width="23.54296875" style="1" customWidth="1"/>
    <col min="8719" max="8719" width="31.453125" style="1" customWidth="1"/>
    <col min="8720" max="8960" width="9.1796875" style="1"/>
    <col min="8961" max="8961" width="7.81640625" style="1" customWidth="1"/>
    <col min="8962" max="8962" width="8.54296875" style="1" customWidth="1"/>
    <col min="8963" max="8963" width="20.1796875" style="1" customWidth="1"/>
    <col min="8964" max="8964" width="16.453125" style="1" customWidth="1"/>
    <col min="8965" max="8965" width="22.26953125" style="1" customWidth="1"/>
    <col min="8966" max="8966" width="17.81640625" style="1" customWidth="1"/>
    <col min="8967" max="8967" width="22.81640625" style="1" customWidth="1"/>
    <col min="8968" max="8968" width="25.453125" style="1" customWidth="1"/>
    <col min="8969" max="8970" width="6.7265625" style="1" customWidth="1"/>
    <col min="8971" max="8971" width="26.453125" style="1" customWidth="1"/>
    <col min="8972" max="8972" width="18.54296875" style="1" customWidth="1"/>
    <col min="8973" max="8973" width="29.81640625" style="1" customWidth="1"/>
    <col min="8974" max="8974" width="23.54296875" style="1" customWidth="1"/>
    <col min="8975" max="8975" width="31.453125" style="1" customWidth="1"/>
    <col min="8976" max="9216" width="9.1796875" style="1"/>
    <col min="9217" max="9217" width="7.81640625" style="1" customWidth="1"/>
    <col min="9218" max="9218" width="8.54296875" style="1" customWidth="1"/>
    <col min="9219" max="9219" width="20.1796875" style="1" customWidth="1"/>
    <col min="9220" max="9220" width="16.453125" style="1" customWidth="1"/>
    <col min="9221" max="9221" width="22.26953125" style="1" customWidth="1"/>
    <col min="9222" max="9222" width="17.81640625" style="1" customWidth="1"/>
    <col min="9223" max="9223" width="22.81640625" style="1" customWidth="1"/>
    <col min="9224" max="9224" width="25.453125" style="1" customWidth="1"/>
    <col min="9225" max="9226" width="6.7265625" style="1" customWidth="1"/>
    <col min="9227" max="9227" width="26.453125" style="1" customWidth="1"/>
    <col min="9228" max="9228" width="18.54296875" style="1" customWidth="1"/>
    <col min="9229" max="9229" width="29.81640625" style="1" customWidth="1"/>
    <col min="9230" max="9230" width="23.54296875" style="1" customWidth="1"/>
    <col min="9231" max="9231" width="31.453125" style="1" customWidth="1"/>
    <col min="9232" max="9472" width="9.1796875" style="1"/>
    <col min="9473" max="9473" width="7.81640625" style="1" customWidth="1"/>
    <col min="9474" max="9474" width="8.54296875" style="1" customWidth="1"/>
    <col min="9475" max="9475" width="20.1796875" style="1" customWidth="1"/>
    <col min="9476" max="9476" width="16.453125" style="1" customWidth="1"/>
    <col min="9477" max="9477" width="22.26953125" style="1" customWidth="1"/>
    <col min="9478" max="9478" width="17.81640625" style="1" customWidth="1"/>
    <col min="9479" max="9479" width="22.81640625" style="1" customWidth="1"/>
    <col min="9480" max="9480" width="25.453125" style="1" customWidth="1"/>
    <col min="9481" max="9482" width="6.7265625" style="1" customWidth="1"/>
    <col min="9483" max="9483" width="26.453125" style="1" customWidth="1"/>
    <col min="9484" max="9484" width="18.54296875" style="1" customWidth="1"/>
    <col min="9485" max="9485" width="29.81640625" style="1" customWidth="1"/>
    <col min="9486" max="9486" width="23.54296875" style="1" customWidth="1"/>
    <col min="9487" max="9487" width="31.453125" style="1" customWidth="1"/>
    <col min="9488" max="9728" width="9.1796875" style="1"/>
    <col min="9729" max="9729" width="7.81640625" style="1" customWidth="1"/>
    <col min="9730" max="9730" width="8.54296875" style="1" customWidth="1"/>
    <col min="9731" max="9731" width="20.1796875" style="1" customWidth="1"/>
    <col min="9732" max="9732" width="16.453125" style="1" customWidth="1"/>
    <col min="9733" max="9733" width="22.26953125" style="1" customWidth="1"/>
    <col min="9734" max="9734" width="17.81640625" style="1" customWidth="1"/>
    <col min="9735" max="9735" width="22.81640625" style="1" customWidth="1"/>
    <col min="9736" max="9736" width="25.453125" style="1" customWidth="1"/>
    <col min="9737" max="9738" width="6.7265625" style="1" customWidth="1"/>
    <col min="9739" max="9739" width="26.453125" style="1" customWidth="1"/>
    <col min="9740" max="9740" width="18.54296875" style="1" customWidth="1"/>
    <col min="9741" max="9741" width="29.81640625" style="1" customWidth="1"/>
    <col min="9742" max="9742" width="23.54296875" style="1" customWidth="1"/>
    <col min="9743" max="9743" width="31.453125" style="1" customWidth="1"/>
    <col min="9744" max="9984" width="9.1796875" style="1"/>
    <col min="9985" max="9985" width="7.81640625" style="1" customWidth="1"/>
    <col min="9986" max="9986" width="8.54296875" style="1" customWidth="1"/>
    <col min="9987" max="9987" width="20.1796875" style="1" customWidth="1"/>
    <col min="9988" max="9988" width="16.453125" style="1" customWidth="1"/>
    <col min="9989" max="9989" width="22.26953125" style="1" customWidth="1"/>
    <col min="9990" max="9990" width="17.81640625" style="1" customWidth="1"/>
    <col min="9991" max="9991" width="22.81640625" style="1" customWidth="1"/>
    <col min="9992" max="9992" width="25.453125" style="1" customWidth="1"/>
    <col min="9993" max="9994" width="6.7265625" style="1" customWidth="1"/>
    <col min="9995" max="9995" width="26.453125" style="1" customWidth="1"/>
    <col min="9996" max="9996" width="18.54296875" style="1" customWidth="1"/>
    <col min="9997" max="9997" width="29.81640625" style="1" customWidth="1"/>
    <col min="9998" max="9998" width="23.54296875" style="1" customWidth="1"/>
    <col min="9999" max="9999" width="31.453125" style="1" customWidth="1"/>
    <col min="10000" max="10240" width="9.1796875" style="1"/>
    <col min="10241" max="10241" width="7.81640625" style="1" customWidth="1"/>
    <col min="10242" max="10242" width="8.54296875" style="1" customWidth="1"/>
    <col min="10243" max="10243" width="20.1796875" style="1" customWidth="1"/>
    <col min="10244" max="10244" width="16.453125" style="1" customWidth="1"/>
    <col min="10245" max="10245" width="22.26953125" style="1" customWidth="1"/>
    <col min="10246" max="10246" width="17.81640625" style="1" customWidth="1"/>
    <col min="10247" max="10247" width="22.81640625" style="1" customWidth="1"/>
    <col min="10248" max="10248" width="25.453125" style="1" customWidth="1"/>
    <col min="10249" max="10250" width="6.7265625" style="1" customWidth="1"/>
    <col min="10251" max="10251" width="26.453125" style="1" customWidth="1"/>
    <col min="10252" max="10252" width="18.54296875" style="1" customWidth="1"/>
    <col min="10253" max="10253" width="29.81640625" style="1" customWidth="1"/>
    <col min="10254" max="10254" width="23.54296875" style="1" customWidth="1"/>
    <col min="10255" max="10255" width="31.453125" style="1" customWidth="1"/>
    <col min="10256" max="10496" width="9.1796875" style="1"/>
    <col min="10497" max="10497" width="7.81640625" style="1" customWidth="1"/>
    <col min="10498" max="10498" width="8.54296875" style="1" customWidth="1"/>
    <col min="10499" max="10499" width="20.1796875" style="1" customWidth="1"/>
    <col min="10500" max="10500" width="16.453125" style="1" customWidth="1"/>
    <col min="10501" max="10501" width="22.26953125" style="1" customWidth="1"/>
    <col min="10502" max="10502" width="17.81640625" style="1" customWidth="1"/>
    <col min="10503" max="10503" width="22.81640625" style="1" customWidth="1"/>
    <col min="10504" max="10504" width="25.453125" style="1" customWidth="1"/>
    <col min="10505" max="10506" width="6.7265625" style="1" customWidth="1"/>
    <col min="10507" max="10507" width="26.453125" style="1" customWidth="1"/>
    <col min="10508" max="10508" width="18.54296875" style="1" customWidth="1"/>
    <col min="10509" max="10509" width="29.81640625" style="1" customWidth="1"/>
    <col min="10510" max="10510" width="23.54296875" style="1" customWidth="1"/>
    <col min="10511" max="10511" width="31.453125" style="1" customWidth="1"/>
    <col min="10512" max="10752" width="9.1796875" style="1"/>
    <col min="10753" max="10753" width="7.81640625" style="1" customWidth="1"/>
    <col min="10754" max="10754" width="8.54296875" style="1" customWidth="1"/>
    <col min="10755" max="10755" width="20.1796875" style="1" customWidth="1"/>
    <col min="10756" max="10756" width="16.453125" style="1" customWidth="1"/>
    <col min="10757" max="10757" width="22.26953125" style="1" customWidth="1"/>
    <col min="10758" max="10758" width="17.81640625" style="1" customWidth="1"/>
    <col min="10759" max="10759" width="22.81640625" style="1" customWidth="1"/>
    <col min="10760" max="10760" width="25.453125" style="1" customWidth="1"/>
    <col min="10761" max="10762" width="6.7265625" style="1" customWidth="1"/>
    <col min="10763" max="10763" width="26.453125" style="1" customWidth="1"/>
    <col min="10764" max="10764" width="18.54296875" style="1" customWidth="1"/>
    <col min="10765" max="10765" width="29.81640625" style="1" customWidth="1"/>
    <col min="10766" max="10766" width="23.54296875" style="1" customWidth="1"/>
    <col min="10767" max="10767" width="31.453125" style="1" customWidth="1"/>
    <col min="10768" max="11008" width="9.1796875" style="1"/>
    <col min="11009" max="11009" width="7.81640625" style="1" customWidth="1"/>
    <col min="11010" max="11010" width="8.54296875" style="1" customWidth="1"/>
    <col min="11011" max="11011" width="20.1796875" style="1" customWidth="1"/>
    <col min="11012" max="11012" width="16.453125" style="1" customWidth="1"/>
    <col min="11013" max="11013" width="22.26953125" style="1" customWidth="1"/>
    <col min="11014" max="11014" width="17.81640625" style="1" customWidth="1"/>
    <col min="11015" max="11015" width="22.81640625" style="1" customWidth="1"/>
    <col min="11016" max="11016" width="25.453125" style="1" customWidth="1"/>
    <col min="11017" max="11018" width="6.7265625" style="1" customWidth="1"/>
    <col min="11019" max="11019" width="26.453125" style="1" customWidth="1"/>
    <col min="11020" max="11020" width="18.54296875" style="1" customWidth="1"/>
    <col min="11021" max="11021" width="29.81640625" style="1" customWidth="1"/>
    <col min="11022" max="11022" width="23.54296875" style="1" customWidth="1"/>
    <col min="11023" max="11023" width="31.453125" style="1" customWidth="1"/>
    <col min="11024" max="11264" width="9.1796875" style="1"/>
    <col min="11265" max="11265" width="7.81640625" style="1" customWidth="1"/>
    <col min="11266" max="11266" width="8.54296875" style="1" customWidth="1"/>
    <col min="11267" max="11267" width="20.1796875" style="1" customWidth="1"/>
    <col min="11268" max="11268" width="16.453125" style="1" customWidth="1"/>
    <col min="11269" max="11269" width="22.26953125" style="1" customWidth="1"/>
    <col min="11270" max="11270" width="17.81640625" style="1" customWidth="1"/>
    <col min="11271" max="11271" width="22.81640625" style="1" customWidth="1"/>
    <col min="11272" max="11272" width="25.453125" style="1" customWidth="1"/>
    <col min="11273" max="11274" width="6.7265625" style="1" customWidth="1"/>
    <col min="11275" max="11275" width="26.453125" style="1" customWidth="1"/>
    <col min="11276" max="11276" width="18.54296875" style="1" customWidth="1"/>
    <col min="11277" max="11277" width="29.81640625" style="1" customWidth="1"/>
    <col min="11278" max="11278" width="23.54296875" style="1" customWidth="1"/>
    <col min="11279" max="11279" width="31.453125" style="1" customWidth="1"/>
    <col min="11280" max="11520" width="9.1796875" style="1"/>
    <col min="11521" max="11521" width="7.81640625" style="1" customWidth="1"/>
    <col min="11522" max="11522" width="8.54296875" style="1" customWidth="1"/>
    <col min="11523" max="11523" width="20.1796875" style="1" customWidth="1"/>
    <col min="11524" max="11524" width="16.453125" style="1" customWidth="1"/>
    <col min="11525" max="11525" width="22.26953125" style="1" customWidth="1"/>
    <col min="11526" max="11526" width="17.81640625" style="1" customWidth="1"/>
    <col min="11527" max="11527" width="22.81640625" style="1" customWidth="1"/>
    <col min="11528" max="11528" width="25.453125" style="1" customWidth="1"/>
    <col min="11529" max="11530" width="6.7265625" style="1" customWidth="1"/>
    <col min="11531" max="11531" width="26.453125" style="1" customWidth="1"/>
    <col min="11532" max="11532" width="18.54296875" style="1" customWidth="1"/>
    <col min="11533" max="11533" width="29.81640625" style="1" customWidth="1"/>
    <col min="11534" max="11534" width="23.54296875" style="1" customWidth="1"/>
    <col min="11535" max="11535" width="31.453125" style="1" customWidth="1"/>
    <col min="11536" max="11776" width="9.1796875" style="1"/>
    <col min="11777" max="11777" width="7.81640625" style="1" customWidth="1"/>
    <col min="11778" max="11778" width="8.54296875" style="1" customWidth="1"/>
    <col min="11779" max="11779" width="20.1796875" style="1" customWidth="1"/>
    <col min="11780" max="11780" width="16.453125" style="1" customWidth="1"/>
    <col min="11781" max="11781" width="22.26953125" style="1" customWidth="1"/>
    <col min="11782" max="11782" width="17.81640625" style="1" customWidth="1"/>
    <col min="11783" max="11783" width="22.81640625" style="1" customWidth="1"/>
    <col min="11784" max="11784" width="25.453125" style="1" customWidth="1"/>
    <col min="11785" max="11786" width="6.7265625" style="1" customWidth="1"/>
    <col min="11787" max="11787" width="26.453125" style="1" customWidth="1"/>
    <col min="11788" max="11788" width="18.54296875" style="1" customWidth="1"/>
    <col min="11789" max="11789" width="29.81640625" style="1" customWidth="1"/>
    <col min="11790" max="11790" width="23.54296875" style="1" customWidth="1"/>
    <col min="11791" max="11791" width="31.453125" style="1" customWidth="1"/>
    <col min="11792" max="12032" width="9.1796875" style="1"/>
    <col min="12033" max="12033" width="7.81640625" style="1" customWidth="1"/>
    <col min="12034" max="12034" width="8.54296875" style="1" customWidth="1"/>
    <col min="12035" max="12035" width="20.1796875" style="1" customWidth="1"/>
    <col min="12036" max="12036" width="16.453125" style="1" customWidth="1"/>
    <col min="12037" max="12037" width="22.26953125" style="1" customWidth="1"/>
    <col min="12038" max="12038" width="17.81640625" style="1" customWidth="1"/>
    <col min="12039" max="12039" width="22.81640625" style="1" customWidth="1"/>
    <col min="12040" max="12040" width="25.453125" style="1" customWidth="1"/>
    <col min="12041" max="12042" width="6.7265625" style="1" customWidth="1"/>
    <col min="12043" max="12043" width="26.453125" style="1" customWidth="1"/>
    <col min="12044" max="12044" width="18.54296875" style="1" customWidth="1"/>
    <col min="12045" max="12045" width="29.81640625" style="1" customWidth="1"/>
    <col min="12046" max="12046" width="23.54296875" style="1" customWidth="1"/>
    <col min="12047" max="12047" width="31.453125" style="1" customWidth="1"/>
    <col min="12048" max="12288" width="9.1796875" style="1"/>
    <col min="12289" max="12289" width="7.81640625" style="1" customWidth="1"/>
    <col min="12290" max="12290" width="8.54296875" style="1" customWidth="1"/>
    <col min="12291" max="12291" width="20.1796875" style="1" customWidth="1"/>
    <col min="12292" max="12292" width="16.453125" style="1" customWidth="1"/>
    <col min="12293" max="12293" width="22.26953125" style="1" customWidth="1"/>
    <col min="12294" max="12294" width="17.81640625" style="1" customWidth="1"/>
    <col min="12295" max="12295" width="22.81640625" style="1" customWidth="1"/>
    <col min="12296" max="12296" width="25.453125" style="1" customWidth="1"/>
    <col min="12297" max="12298" width="6.7265625" style="1" customWidth="1"/>
    <col min="12299" max="12299" width="26.453125" style="1" customWidth="1"/>
    <col min="12300" max="12300" width="18.54296875" style="1" customWidth="1"/>
    <col min="12301" max="12301" width="29.81640625" style="1" customWidth="1"/>
    <col min="12302" max="12302" width="23.54296875" style="1" customWidth="1"/>
    <col min="12303" max="12303" width="31.453125" style="1" customWidth="1"/>
    <col min="12304" max="12544" width="9.1796875" style="1"/>
    <col min="12545" max="12545" width="7.81640625" style="1" customWidth="1"/>
    <col min="12546" max="12546" width="8.54296875" style="1" customWidth="1"/>
    <col min="12547" max="12547" width="20.1796875" style="1" customWidth="1"/>
    <col min="12548" max="12548" width="16.453125" style="1" customWidth="1"/>
    <col min="12549" max="12549" width="22.26953125" style="1" customWidth="1"/>
    <col min="12550" max="12550" width="17.81640625" style="1" customWidth="1"/>
    <col min="12551" max="12551" width="22.81640625" style="1" customWidth="1"/>
    <col min="12552" max="12552" width="25.453125" style="1" customWidth="1"/>
    <col min="12553" max="12554" width="6.7265625" style="1" customWidth="1"/>
    <col min="12555" max="12555" width="26.453125" style="1" customWidth="1"/>
    <col min="12556" max="12556" width="18.54296875" style="1" customWidth="1"/>
    <col min="12557" max="12557" width="29.81640625" style="1" customWidth="1"/>
    <col min="12558" max="12558" width="23.54296875" style="1" customWidth="1"/>
    <col min="12559" max="12559" width="31.453125" style="1" customWidth="1"/>
    <col min="12560" max="12800" width="9.1796875" style="1"/>
    <col min="12801" max="12801" width="7.81640625" style="1" customWidth="1"/>
    <col min="12802" max="12802" width="8.54296875" style="1" customWidth="1"/>
    <col min="12803" max="12803" width="20.1796875" style="1" customWidth="1"/>
    <col min="12804" max="12804" width="16.453125" style="1" customWidth="1"/>
    <col min="12805" max="12805" width="22.26953125" style="1" customWidth="1"/>
    <col min="12806" max="12806" width="17.81640625" style="1" customWidth="1"/>
    <col min="12807" max="12807" width="22.81640625" style="1" customWidth="1"/>
    <col min="12808" max="12808" width="25.453125" style="1" customWidth="1"/>
    <col min="12809" max="12810" width="6.7265625" style="1" customWidth="1"/>
    <col min="12811" max="12811" width="26.453125" style="1" customWidth="1"/>
    <col min="12812" max="12812" width="18.54296875" style="1" customWidth="1"/>
    <col min="12813" max="12813" width="29.81640625" style="1" customWidth="1"/>
    <col min="12814" max="12814" width="23.54296875" style="1" customWidth="1"/>
    <col min="12815" max="12815" width="31.453125" style="1" customWidth="1"/>
    <col min="12816" max="13056" width="9.1796875" style="1"/>
    <col min="13057" max="13057" width="7.81640625" style="1" customWidth="1"/>
    <col min="13058" max="13058" width="8.54296875" style="1" customWidth="1"/>
    <col min="13059" max="13059" width="20.1796875" style="1" customWidth="1"/>
    <col min="13060" max="13060" width="16.453125" style="1" customWidth="1"/>
    <col min="13061" max="13061" width="22.26953125" style="1" customWidth="1"/>
    <col min="13062" max="13062" width="17.81640625" style="1" customWidth="1"/>
    <col min="13063" max="13063" width="22.81640625" style="1" customWidth="1"/>
    <col min="13064" max="13064" width="25.453125" style="1" customWidth="1"/>
    <col min="13065" max="13066" width="6.7265625" style="1" customWidth="1"/>
    <col min="13067" max="13067" width="26.453125" style="1" customWidth="1"/>
    <col min="13068" max="13068" width="18.54296875" style="1" customWidth="1"/>
    <col min="13069" max="13069" width="29.81640625" style="1" customWidth="1"/>
    <col min="13070" max="13070" width="23.54296875" style="1" customWidth="1"/>
    <col min="13071" max="13071" width="31.453125" style="1" customWidth="1"/>
    <col min="13072" max="13312" width="9.1796875" style="1"/>
    <col min="13313" max="13313" width="7.81640625" style="1" customWidth="1"/>
    <col min="13314" max="13314" width="8.54296875" style="1" customWidth="1"/>
    <col min="13315" max="13315" width="20.1796875" style="1" customWidth="1"/>
    <col min="13316" max="13316" width="16.453125" style="1" customWidth="1"/>
    <col min="13317" max="13317" width="22.26953125" style="1" customWidth="1"/>
    <col min="13318" max="13318" width="17.81640625" style="1" customWidth="1"/>
    <col min="13319" max="13319" width="22.81640625" style="1" customWidth="1"/>
    <col min="13320" max="13320" width="25.453125" style="1" customWidth="1"/>
    <col min="13321" max="13322" width="6.7265625" style="1" customWidth="1"/>
    <col min="13323" max="13323" width="26.453125" style="1" customWidth="1"/>
    <col min="13324" max="13324" width="18.54296875" style="1" customWidth="1"/>
    <col min="13325" max="13325" width="29.81640625" style="1" customWidth="1"/>
    <col min="13326" max="13326" width="23.54296875" style="1" customWidth="1"/>
    <col min="13327" max="13327" width="31.453125" style="1" customWidth="1"/>
    <col min="13328" max="13568" width="9.1796875" style="1"/>
    <col min="13569" max="13569" width="7.81640625" style="1" customWidth="1"/>
    <col min="13570" max="13570" width="8.54296875" style="1" customWidth="1"/>
    <col min="13571" max="13571" width="20.1796875" style="1" customWidth="1"/>
    <col min="13572" max="13572" width="16.453125" style="1" customWidth="1"/>
    <col min="13573" max="13573" width="22.26953125" style="1" customWidth="1"/>
    <col min="13574" max="13574" width="17.81640625" style="1" customWidth="1"/>
    <col min="13575" max="13575" width="22.81640625" style="1" customWidth="1"/>
    <col min="13576" max="13576" width="25.453125" style="1" customWidth="1"/>
    <col min="13577" max="13578" width="6.7265625" style="1" customWidth="1"/>
    <col min="13579" max="13579" width="26.453125" style="1" customWidth="1"/>
    <col min="13580" max="13580" width="18.54296875" style="1" customWidth="1"/>
    <col min="13581" max="13581" width="29.81640625" style="1" customWidth="1"/>
    <col min="13582" max="13582" width="23.54296875" style="1" customWidth="1"/>
    <col min="13583" max="13583" width="31.453125" style="1" customWidth="1"/>
    <col min="13584" max="13824" width="9.1796875" style="1"/>
    <col min="13825" max="13825" width="7.81640625" style="1" customWidth="1"/>
    <col min="13826" max="13826" width="8.54296875" style="1" customWidth="1"/>
    <col min="13827" max="13827" width="20.1796875" style="1" customWidth="1"/>
    <col min="13828" max="13828" width="16.453125" style="1" customWidth="1"/>
    <col min="13829" max="13829" width="22.26953125" style="1" customWidth="1"/>
    <col min="13830" max="13830" width="17.81640625" style="1" customWidth="1"/>
    <col min="13831" max="13831" width="22.81640625" style="1" customWidth="1"/>
    <col min="13832" max="13832" width="25.453125" style="1" customWidth="1"/>
    <col min="13833" max="13834" width="6.7265625" style="1" customWidth="1"/>
    <col min="13835" max="13835" width="26.453125" style="1" customWidth="1"/>
    <col min="13836" max="13836" width="18.54296875" style="1" customWidth="1"/>
    <col min="13837" max="13837" width="29.81640625" style="1" customWidth="1"/>
    <col min="13838" max="13838" width="23.54296875" style="1" customWidth="1"/>
    <col min="13839" max="13839" width="31.453125" style="1" customWidth="1"/>
    <col min="13840" max="14080" width="9.1796875" style="1"/>
    <col min="14081" max="14081" width="7.81640625" style="1" customWidth="1"/>
    <col min="14082" max="14082" width="8.54296875" style="1" customWidth="1"/>
    <col min="14083" max="14083" width="20.1796875" style="1" customWidth="1"/>
    <col min="14084" max="14084" width="16.453125" style="1" customWidth="1"/>
    <col min="14085" max="14085" width="22.26953125" style="1" customWidth="1"/>
    <col min="14086" max="14086" width="17.81640625" style="1" customWidth="1"/>
    <col min="14087" max="14087" width="22.81640625" style="1" customWidth="1"/>
    <col min="14088" max="14088" width="25.453125" style="1" customWidth="1"/>
    <col min="14089" max="14090" width="6.7265625" style="1" customWidth="1"/>
    <col min="14091" max="14091" width="26.453125" style="1" customWidth="1"/>
    <col min="14092" max="14092" width="18.54296875" style="1" customWidth="1"/>
    <col min="14093" max="14093" width="29.81640625" style="1" customWidth="1"/>
    <col min="14094" max="14094" width="23.54296875" style="1" customWidth="1"/>
    <col min="14095" max="14095" width="31.453125" style="1" customWidth="1"/>
    <col min="14096" max="14336" width="9.1796875" style="1"/>
    <col min="14337" max="14337" width="7.81640625" style="1" customWidth="1"/>
    <col min="14338" max="14338" width="8.54296875" style="1" customWidth="1"/>
    <col min="14339" max="14339" width="20.1796875" style="1" customWidth="1"/>
    <col min="14340" max="14340" width="16.453125" style="1" customWidth="1"/>
    <col min="14341" max="14341" width="22.26953125" style="1" customWidth="1"/>
    <col min="14342" max="14342" width="17.81640625" style="1" customWidth="1"/>
    <col min="14343" max="14343" width="22.81640625" style="1" customWidth="1"/>
    <col min="14344" max="14344" width="25.453125" style="1" customWidth="1"/>
    <col min="14345" max="14346" width="6.7265625" style="1" customWidth="1"/>
    <col min="14347" max="14347" width="26.453125" style="1" customWidth="1"/>
    <col min="14348" max="14348" width="18.54296875" style="1" customWidth="1"/>
    <col min="14349" max="14349" width="29.81640625" style="1" customWidth="1"/>
    <col min="14350" max="14350" width="23.54296875" style="1" customWidth="1"/>
    <col min="14351" max="14351" width="31.453125" style="1" customWidth="1"/>
    <col min="14352" max="14592" width="9.1796875" style="1"/>
    <col min="14593" max="14593" width="7.81640625" style="1" customWidth="1"/>
    <col min="14594" max="14594" width="8.54296875" style="1" customWidth="1"/>
    <col min="14595" max="14595" width="20.1796875" style="1" customWidth="1"/>
    <col min="14596" max="14596" width="16.453125" style="1" customWidth="1"/>
    <col min="14597" max="14597" width="22.26953125" style="1" customWidth="1"/>
    <col min="14598" max="14598" width="17.81640625" style="1" customWidth="1"/>
    <col min="14599" max="14599" width="22.81640625" style="1" customWidth="1"/>
    <col min="14600" max="14600" width="25.453125" style="1" customWidth="1"/>
    <col min="14601" max="14602" width="6.7265625" style="1" customWidth="1"/>
    <col min="14603" max="14603" width="26.453125" style="1" customWidth="1"/>
    <col min="14604" max="14604" width="18.54296875" style="1" customWidth="1"/>
    <col min="14605" max="14605" width="29.81640625" style="1" customWidth="1"/>
    <col min="14606" max="14606" width="23.54296875" style="1" customWidth="1"/>
    <col min="14607" max="14607" width="31.453125" style="1" customWidth="1"/>
    <col min="14608" max="14848" width="9.1796875" style="1"/>
    <col min="14849" max="14849" width="7.81640625" style="1" customWidth="1"/>
    <col min="14850" max="14850" width="8.54296875" style="1" customWidth="1"/>
    <col min="14851" max="14851" width="20.1796875" style="1" customWidth="1"/>
    <col min="14852" max="14852" width="16.453125" style="1" customWidth="1"/>
    <col min="14853" max="14853" width="22.26953125" style="1" customWidth="1"/>
    <col min="14854" max="14854" width="17.81640625" style="1" customWidth="1"/>
    <col min="14855" max="14855" width="22.81640625" style="1" customWidth="1"/>
    <col min="14856" max="14856" width="25.453125" style="1" customWidth="1"/>
    <col min="14857" max="14858" width="6.7265625" style="1" customWidth="1"/>
    <col min="14859" max="14859" width="26.453125" style="1" customWidth="1"/>
    <col min="14860" max="14860" width="18.54296875" style="1" customWidth="1"/>
    <col min="14861" max="14861" width="29.81640625" style="1" customWidth="1"/>
    <col min="14862" max="14862" width="23.54296875" style="1" customWidth="1"/>
    <col min="14863" max="14863" width="31.453125" style="1" customWidth="1"/>
    <col min="14864" max="15104" width="9.1796875" style="1"/>
    <col min="15105" max="15105" width="7.81640625" style="1" customWidth="1"/>
    <col min="15106" max="15106" width="8.54296875" style="1" customWidth="1"/>
    <col min="15107" max="15107" width="20.1796875" style="1" customWidth="1"/>
    <col min="15108" max="15108" width="16.453125" style="1" customWidth="1"/>
    <col min="15109" max="15109" width="22.26953125" style="1" customWidth="1"/>
    <col min="15110" max="15110" width="17.81640625" style="1" customWidth="1"/>
    <col min="15111" max="15111" width="22.81640625" style="1" customWidth="1"/>
    <col min="15112" max="15112" width="25.453125" style="1" customWidth="1"/>
    <col min="15113" max="15114" width="6.7265625" style="1" customWidth="1"/>
    <col min="15115" max="15115" width="26.453125" style="1" customWidth="1"/>
    <col min="15116" max="15116" width="18.54296875" style="1" customWidth="1"/>
    <col min="15117" max="15117" width="29.81640625" style="1" customWidth="1"/>
    <col min="15118" max="15118" width="23.54296875" style="1" customWidth="1"/>
    <col min="15119" max="15119" width="31.453125" style="1" customWidth="1"/>
    <col min="15120" max="15360" width="9.1796875" style="1"/>
    <col min="15361" max="15361" width="7.81640625" style="1" customWidth="1"/>
    <col min="15362" max="15362" width="8.54296875" style="1" customWidth="1"/>
    <col min="15363" max="15363" width="20.1796875" style="1" customWidth="1"/>
    <col min="15364" max="15364" width="16.453125" style="1" customWidth="1"/>
    <col min="15365" max="15365" width="22.26953125" style="1" customWidth="1"/>
    <col min="15366" max="15366" width="17.81640625" style="1" customWidth="1"/>
    <col min="15367" max="15367" width="22.81640625" style="1" customWidth="1"/>
    <col min="15368" max="15368" width="25.453125" style="1" customWidth="1"/>
    <col min="15369" max="15370" width="6.7265625" style="1" customWidth="1"/>
    <col min="15371" max="15371" width="26.453125" style="1" customWidth="1"/>
    <col min="15372" max="15372" width="18.54296875" style="1" customWidth="1"/>
    <col min="15373" max="15373" width="29.81640625" style="1" customWidth="1"/>
    <col min="15374" max="15374" width="23.54296875" style="1" customWidth="1"/>
    <col min="15375" max="15375" width="31.453125" style="1" customWidth="1"/>
    <col min="15376" max="15616" width="9.1796875" style="1"/>
    <col min="15617" max="15617" width="7.81640625" style="1" customWidth="1"/>
    <col min="15618" max="15618" width="8.54296875" style="1" customWidth="1"/>
    <col min="15619" max="15619" width="20.1796875" style="1" customWidth="1"/>
    <col min="15620" max="15620" width="16.453125" style="1" customWidth="1"/>
    <col min="15621" max="15621" width="22.26953125" style="1" customWidth="1"/>
    <col min="15622" max="15622" width="17.81640625" style="1" customWidth="1"/>
    <col min="15623" max="15623" width="22.81640625" style="1" customWidth="1"/>
    <col min="15624" max="15624" width="25.453125" style="1" customWidth="1"/>
    <col min="15625" max="15626" width="6.7265625" style="1" customWidth="1"/>
    <col min="15627" max="15627" width="26.453125" style="1" customWidth="1"/>
    <col min="15628" max="15628" width="18.54296875" style="1" customWidth="1"/>
    <col min="15629" max="15629" width="29.81640625" style="1" customWidth="1"/>
    <col min="15630" max="15630" width="23.54296875" style="1" customWidth="1"/>
    <col min="15631" max="15631" width="31.453125" style="1" customWidth="1"/>
    <col min="15632" max="15872" width="9.1796875" style="1"/>
    <col min="15873" max="15873" width="7.81640625" style="1" customWidth="1"/>
    <col min="15874" max="15874" width="8.54296875" style="1" customWidth="1"/>
    <col min="15875" max="15875" width="20.1796875" style="1" customWidth="1"/>
    <col min="15876" max="15876" width="16.453125" style="1" customWidth="1"/>
    <col min="15877" max="15877" width="22.26953125" style="1" customWidth="1"/>
    <col min="15878" max="15878" width="17.81640625" style="1" customWidth="1"/>
    <col min="15879" max="15879" width="22.81640625" style="1" customWidth="1"/>
    <col min="15880" max="15880" width="25.453125" style="1" customWidth="1"/>
    <col min="15881" max="15882" width="6.7265625" style="1" customWidth="1"/>
    <col min="15883" max="15883" width="26.453125" style="1" customWidth="1"/>
    <col min="15884" max="15884" width="18.54296875" style="1" customWidth="1"/>
    <col min="15885" max="15885" width="29.81640625" style="1" customWidth="1"/>
    <col min="15886" max="15886" width="23.54296875" style="1" customWidth="1"/>
    <col min="15887" max="15887" width="31.453125" style="1" customWidth="1"/>
    <col min="15888" max="16128" width="9.1796875" style="1"/>
    <col min="16129" max="16129" width="7.81640625" style="1" customWidth="1"/>
    <col min="16130" max="16130" width="8.54296875" style="1" customWidth="1"/>
    <col min="16131" max="16131" width="20.1796875" style="1" customWidth="1"/>
    <col min="16132" max="16132" width="16.453125" style="1" customWidth="1"/>
    <col min="16133" max="16133" width="22.26953125" style="1" customWidth="1"/>
    <col min="16134" max="16134" width="17.81640625" style="1" customWidth="1"/>
    <col min="16135" max="16135" width="22.81640625" style="1" customWidth="1"/>
    <col min="16136" max="16136" width="25.453125" style="1" customWidth="1"/>
    <col min="16137" max="16138" width="6.7265625" style="1" customWidth="1"/>
    <col min="16139" max="16139" width="26.453125" style="1" customWidth="1"/>
    <col min="16140" max="16140" width="18.54296875" style="1" customWidth="1"/>
    <col min="16141" max="16141" width="29.81640625" style="1" customWidth="1"/>
    <col min="16142" max="16142" width="23.54296875" style="1" customWidth="1"/>
    <col min="16143" max="16143" width="31.453125" style="1" customWidth="1"/>
    <col min="16144" max="16384" width="9.1796875" style="1"/>
  </cols>
  <sheetData>
    <row r="1" spans="1:17" ht="17.25" customHeight="1">
      <c r="A1" s="64" t="s">
        <v>40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ht="17.25" customHeight="1">
      <c r="A2" s="64" t="s">
        <v>169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1:17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C4" s="4" t="s">
        <v>0</v>
      </c>
      <c r="D4" s="5" t="s">
        <v>1</v>
      </c>
      <c r="F4" s="5"/>
      <c r="G4" s="5"/>
      <c r="H4" s="5"/>
      <c r="I4" s="5"/>
      <c r="J4" s="5"/>
      <c r="L4" s="6"/>
      <c r="M4" s="7"/>
      <c r="N4" s="4" t="s">
        <v>26</v>
      </c>
      <c r="O4" s="4" t="s">
        <v>30</v>
      </c>
      <c r="P4" s="3"/>
    </row>
    <row r="5" spans="1:17" ht="15" customHeight="1">
      <c r="C5" s="4" t="s">
        <v>2</v>
      </c>
      <c r="D5" s="4" t="s">
        <v>35</v>
      </c>
      <c r="F5" s="4"/>
      <c r="G5" s="4"/>
      <c r="H5" s="4"/>
      <c r="I5" s="4"/>
      <c r="J5" s="4"/>
      <c r="L5" s="6"/>
      <c r="N5" s="4" t="s">
        <v>27</v>
      </c>
      <c r="O5" s="4" t="s">
        <v>51</v>
      </c>
      <c r="P5" s="3"/>
    </row>
    <row r="6" spans="1:17" ht="15" customHeight="1">
      <c r="C6" s="4" t="s">
        <v>3</v>
      </c>
      <c r="D6" s="4" t="s">
        <v>4</v>
      </c>
      <c r="F6" s="4"/>
      <c r="G6" s="4"/>
      <c r="H6" s="4"/>
      <c r="I6" s="4"/>
      <c r="J6" s="4"/>
      <c r="L6" s="6"/>
      <c r="N6" s="8" t="s">
        <v>28</v>
      </c>
      <c r="O6" s="4" t="s">
        <v>50</v>
      </c>
      <c r="P6" s="3"/>
    </row>
    <row r="7" spans="1:17" ht="15" customHeight="1">
      <c r="C7" s="4" t="s">
        <v>5</v>
      </c>
      <c r="D7" s="4" t="s">
        <v>6</v>
      </c>
      <c r="F7" s="4"/>
      <c r="G7" s="4"/>
      <c r="H7" s="4"/>
      <c r="I7" s="4"/>
      <c r="J7" s="4"/>
      <c r="L7" s="6"/>
      <c r="N7" s="4" t="s">
        <v>7</v>
      </c>
      <c r="O7" s="30" t="s">
        <v>44</v>
      </c>
      <c r="P7" s="3"/>
      <c r="Q7" s="8"/>
    </row>
    <row r="8" spans="1:17" ht="15" customHeight="1">
      <c r="N8" s="8"/>
      <c r="O8" s="8"/>
      <c r="P8" s="8"/>
    </row>
    <row r="9" spans="1:17" ht="18.5" customHeight="1">
      <c r="A9" s="62" t="s">
        <v>8</v>
      </c>
      <c r="B9" s="65" t="s">
        <v>9</v>
      </c>
      <c r="C9" s="66"/>
      <c r="D9" s="62" t="s">
        <v>99</v>
      </c>
      <c r="E9" s="62" t="s">
        <v>10</v>
      </c>
      <c r="F9" s="69" t="s">
        <v>72</v>
      </c>
      <c r="G9" s="70"/>
      <c r="H9" s="70"/>
      <c r="I9" s="71"/>
      <c r="J9" s="72" t="s">
        <v>14</v>
      </c>
      <c r="K9" s="72" t="s">
        <v>11</v>
      </c>
      <c r="L9" s="65" t="s">
        <v>12</v>
      </c>
      <c r="M9" s="66"/>
      <c r="N9" s="74" t="s">
        <v>31</v>
      </c>
      <c r="O9" s="72" t="s">
        <v>16</v>
      </c>
      <c r="P9" s="65" t="s">
        <v>17</v>
      </c>
      <c r="Q9" s="66"/>
    </row>
    <row r="10" spans="1:17" ht="34" customHeight="1">
      <c r="A10" s="63"/>
      <c r="B10" s="67"/>
      <c r="C10" s="68"/>
      <c r="D10" s="63"/>
      <c r="E10" s="63"/>
      <c r="F10" s="35" t="s">
        <v>41</v>
      </c>
      <c r="G10" s="35" t="s">
        <v>73</v>
      </c>
      <c r="H10" s="35" t="s">
        <v>74</v>
      </c>
      <c r="I10" s="35"/>
      <c r="J10" s="73"/>
      <c r="K10" s="73"/>
      <c r="L10" s="67"/>
      <c r="M10" s="68"/>
      <c r="N10" s="75"/>
      <c r="O10" s="73"/>
      <c r="P10" s="67"/>
      <c r="Q10" s="68"/>
    </row>
    <row r="11" spans="1:17" ht="30.5" customHeight="1">
      <c r="A11" s="11">
        <v>1</v>
      </c>
      <c r="B11" s="12" t="s">
        <v>54</v>
      </c>
      <c r="C11" s="13"/>
      <c r="D11" s="47" t="s">
        <v>170</v>
      </c>
      <c r="E11" s="32" t="s">
        <v>52</v>
      </c>
      <c r="F11" s="37">
        <v>650000</v>
      </c>
      <c r="G11" s="37">
        <v>250000</v>
      </c>
      <c r="H11" s="37">
        <v>100000</v>
      </c>
      <c r="I11" s="13"/>
      <c r="J11" s="16">
        <f t="shared" ref="J11:J16" si="0">IF(B11="","",SUM(F11:I11))</f>
        <v>1000000</v>
      </c>
      <c r="K11" s="14" t="s">
        <v>18</v>
      </c>
      <c r="L11" s="14">
        <v>1</v>
      </c>
      <c r="M11" s="14" t="s">
        <v>19</v>
      </c>
      <c r="N11" s="17">
        <f>IFERROR(J11*0/100,"")</f>
        <v>0</v>
      </c>
      <c r="O11" s="16">
        <f>IFERROR(SUM(J11*L11)-N11,"")</f>
        <v>1000000</v>
      </c>
      <c r="P11" s="54">
        <v>1</v>
      </c>
      <c r="Q11" s="56">
        <v>2</v>
      </c>
    </row>
    <row r="12" spans="1:17" ht="30.5" customHeight="1">
      <c r="A12" s="11">
        <v>2</v>
      </c>
      <c r="B12" s="12"/>
      <c r="C12" s="13"/>
      <c r="D12" s="41"/>
      <c r="E12" s="32"/>
      <c r="F12" s="37"/>
      <c r="G12" s="37"/>
      <c r="H12" s="37"/>
      <c r="I12" s="13"/>
      <c r="J12" s="16" t="str">
        <f t="shared" si="0"/>
        <v/>
      </c>
      <c r="K12" s="14"/>
      <c r="L12" s="14"/>
      <c r="M12" s="14"/>
      <c r="N12" s="17" t="str">
        <f t="shared" ref="N12:N16" si="1">IFERROR(J12*0/100,"")</f>
        <v/>
      </c>
      <c r="O12" s="16" t="str">
        <f t="shared" ref="O12:O16" si="2">IFERROR(SUM(J12*L12)-N12,"")</f>
        <v/>
      </c>
      <c r="P12" s="55"/>
      <c r="Q12" s="57"/>
    </row>
    <row r="13" spans="1:17" ht="24" hidden="1" customHeight="1">
      <c r="A13" s="11">
        <v>3</v>
      </c>
      <c r="B13" s="12"/>
      <c r="C13" s="13"/>
      <c r="D13" s="47"/>
      <c r="E13" s="32"/>
      <c r="F13" s="37"/>
      <c r="G13" s="37"/>
      <c r="H13" s="37"/>
      <c r="I13" s="13"/>
      <c r="J13" s="16" t="str">
        <f t="shared" si="0"/>
        <v/>
      </c>
      <c r="K13" s="14"/>
      <c r="L13" s="14"/>
      <c r="M13" s="14"/>
      <c r="N13" s="17" t="str">
        <f t="shared" si="1"/>
        <v/>
      </c>
      <c r="O13" s="16" t="str">
        <f t="shared" si="2"/>
        <v/>
      </c>
      <c r="P13" s="54">
        <v>3</v>
      </c>
      <c r="Q13" s="56">
        <v>4</v>
      </c>
    </row>
    <row r="14" spans="1:17" ht="24" hidden="1" customHeight="1">
      <c r="A14" s="11">
        <v>4</v>
      </c>
      <c r="B14" s="12"/>
      <c r="C14" s="13"/>
      <c r="D14" s="47"/>
      <c r="E14" s="32"/>
      <c r="F14" s="37"/>
      <c r="G14" s="37"/>
      <c r="H14" s="37"/>
      <c r="I14" s="13"/>
      <c r="J14" s="16" t="str">
        <f t="shared" si="0"/>
        <v/>
      </c>
      <c r="K14" s="14"/>
      <c r="L14" s="14"/>
      <c r="M14" s="14"/>
      <c r="N14" s="17" t="str">
        <f t="shared" si="1"/>
        <v/>
      </c>
      <c r="O14" s="16" t="str">
        <f t="shared" si="2"/>
        <v/>
      </c>
      <c r="P14" s="55"/>
      <c r="Q14" s="57"/>
    </row>
    <row r="15" spans="1:17" ht="24" hidden="1" customHeight="1">
      <c r="A15" s="11">
        <v>5</v>
      </c>
      <c r="B15" s="12"/>
      <c r="C15" s="13"/>
      <c r="D15" s="13"/>
      <c r="E15" s="13"/>
      <c r="F15" s="37"/>
      <c r="G15" s="37"/>
      <c r="H15" s="37"/>
      <c r="I15" s="13"/>
      <c r="J15" s="16" t="str">
        <f t="shared" si="0"/>
        <v/>
      </c>
      <c r="K15" s="14"/>
      <c r="L15" s="14"/>
      <c r="M15" s="14"/>
      <c r="N15" s="17" t="str">
        <f t="shared" si="1"/>
        <v/>
      </c>
      <c r="O15" s="16" t="str">
        <f t="shared" si="2"/>
        <v/>
      </c>
      <c r="P15" s="58">
        <v>5</v>
      </c>
      <c r="Q15" s="59">
        <v>6</v>
      </c>
    </row>
    <row r="16" spans="1:17" ht="24" hidden="1" customHeight="1">
      <c r="A16" s="11">
        <v>6</v>
      </c>
      <c r="B16" s="12"/>
      <c r="C16" s="13"/>
      <c r="D16" s="13"/>
      <c r="E16" s="13"/>
      <c r="F16" s="37"/>
      <c r="G16" s="37"/>
      <c r="H16" s="37"/>
      <c r="I16" s="13"/>
      <c r="J16" s="16" t="str">
        <f t="shared" si="0"/>
        <v/>
      </c>
      <c r="K16" s="14"/>
      <c r="L16" s="14"/>
      <c r="M16" s="14"/>
      <c r="N16" s="17" t="str">
        <f t="shared" si="1"/>
        <v/>
      </c>
      <c r="O16" s="16" t="str">
        <f t="shared" si="2"/>
        <v/>
      </c>
      <c r="P16" s="58"/>
      <c r="Q16" s="59"/>
    </row>
    <row r="17" spans="1:20" s="21" customFormat="1" ht="22.5" customHeight="1">
      <c r="A17" s="53"/>
      <c r="B17" s="36"/>
      <c r="C17" s="36"/>
      <c r="D17" s="36"/>
      <c r="E17" s="52" t="s">
        <v>20</v>
      </c>
      <c r="F17" s="36"/>
      <c r="G17" s="36"/>
      <c r="H17" s="36"/>
      <c r="I17" s="36"/>
      <c r="J17" s="18">
        <f>SUM(J11:J16)</f>
        <v>1000000</v>
      </c>
      <c r="K17" s="36"/>
      <c r="L17" s="36"/>
      <c r="M17" s="36"/>
      <c r="N17" s="19">
        <f>SUM(N11:N16)</f>
        <v>0</v>
      </c>
      <c r="O17" s="18">
        <f>SUM(O11:O16)</f>
        <v>1000000</v>
      </c>
      <c r="P17" s="20"/>
      <c r="Q17" s="20"/>
      <c r="T17" s="22"/>
    </row>
    <row r="18" spans="1:20" ht="23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O18" s="23"/>
    </row>
    <row r="19" spans="1:20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P19" s="24" t="s">
        <v>178</v>
      </c>
    </row>
    <row r="20" spans="1:20" ht="18" customHeight="1">
      <c r="A20" s="8"/>
      <c r="C20" s="24" t="s">
        <v>21</v>
      </c>
      <c r="D20" s="24"/>
      <c r="E20" s="24"/>
      <c r="F20" s="24"/>
      <c r="G20" s="24"/>
      <c r="H20" s="24"/>
      <c r="I20" s="24"/>
      <c r="J20" s="24"/>
      <c r="K20" s="24"/>
      <c r="L20" s="24"/>
      <c r="M20" s="8"/>
      <c r="P20" s="24" t="s">
        <v>180</v>
      </c>
    </row>
    <row r="21" spans="1:20">
      <c r="A21" s="8"/>
      <c r="C21" s="24" t="s">
        <v>22</v>
      </c>
      <c r="D21" s="24"/>
      <c r="E21" s="24"/>
      <c r="F21" s="24"/>
      <c r="G21" s="24"/>
      <c r="H21" s="24"/>
      <c r="I21" s="24"/>
      <c r="J21" s="48"/>
      <c r="K21" s="24"/>
      <c r="L21" s="24"/>
      <c r="M21" s="8"/>
      <c r="P21" s="24" t="s">
        <v>23</v>
      </c>
    </row>
    <row r="22" spans="1:20">
      <c r="A22" s="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8"/>
      <c r="P22" s="25"/>
      <c r="T22" s="26"/>
    </row>
    <row r="23" spans="1:20">
      <c r="A23" s="8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8"/>
      <c r="P23" s="25"/>
    </row>
    <row r="24" spans="1:20">
      <c r="A24" s="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8"/>
      <c r="P24" s="25"/>
    </row>
    <row r="25" spans="1:20">
      <c r="A25" s="8"/>
      <c r="C25" s="24"/>
      <c r="D25" s="24"/>
      <c r="E25" s="24"/>
      <c r="F25" s="24"/>
      <c r="G25" s="24"/>
      <c r="H25" s="24"/>
      <c r="I25" s="24"/>
      <c r="J25" s="48"/>
      <c r="K25" s="24"/>
      <c r="L25" s="24"/>
      <c r="M25" s="8"/>
      <c r="P25" s="25"/>
    </row>
    <row r="26" spans="1:20">
      <c r="A26" s="8"/>
      <c r="C26" s="24"/>
      <c r="D26" s="24"/>
      <c r="E26" s="24"/>
      <c r="F26" s="24"/>
      <c r="G26" s="24"/>
      <c r="H26" s="24"/>
      <c r="I26" s="24"/>
      <c r="J26" s="48"/>
      <c r="K26" s="24"/>
      <c r="L26" s="24"/>
      <c r="M26" s="8"/>
      <c r="P26" s="25"/>
    </row>
    <row r="27" spans="1:20" ht="15" customHeight="1">
      <c r="A27" s="8"/>
      <c r="C27" s="27" t="s">
        <v>171</v>
      </c>
      <c r="D27" s="27"/>
      <c r="E27" s="28"/>
      <c r="F27" s="28"/>
      <c r="G27" s="28"/>
      <c r="H27" s="28"/>
      <c r="I27" s="28"/>
      <c r="J27" s="28"/>
      <c r="K27" s="28"/>
      <c r="L27" s="8"/>
      <c r="M27" s="8"/>
      <c r="P27" s="29" t="s">
        <v>149</v>
      </c>
    </row>
    <row r="28" spans="1:20" ht="15" customHeight="1">
      <c r="A28" s="8"/>
      <c r="C28" s="27" t="s">
        <v>172</v>
      </c>
      <c r="D28" s="27"/>
      <c r="E28" s="28"/>
      <c r="F28" s="28"/>
      <c r="G28" s="28"/>
      <c r="H28" s="28"/>
      <c r="I28" s="28"/>
      <c r="J28" s="28"/>
      <c r="K28" s="28"/>
      <c r="L28" s="8"/>
      <c r="M28" s="8"/>
      <c r="P28" s="29" t="s">
        <v>77</v>
      </c>
    </row>
    <row r="29" spans="1:20" ht="15" customHeight="1">
      <c r="A29" s="8"/>
      <c r="C29" s="28"/>
      <c r="D29" s="28"/>
      <c r="E29" s="28"/>
      <c r="F29" s="28"/>
      <c r="G29" s="28"/>
      <c r="H29" s="28"/>
      <c r="I29" s="28"/>
      <c r="J29" s="49"/>
      <c r="K29" s="28"/>
      <c r="L29" s="28"/>
      <c r="M29" s="8"/>
      <c r="P29" s="29"/>
    </row>
    <row r="30" spans="1:20" ht="15" customHeight="1">
      <c r="A30" s="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8"/>
      <c r="P30" s="29"/>
    </row>
    <row r="36" spans="1:17" ht="17.25" customHeight="1">
      <c r="A36" s="64" t="s">
        <v>40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spans="1:17" ht="17.25" customHeight="1">
      <c r="A37" s="64" t="s">
        <v>173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spans="1:17" ht="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5" customHeight="1">
      <c r="C39" s="4" t="s">
        <v>0</v>
      </c>
      <c r="D39" s="5" t="s">
        <v>1</v>
      </c>
      <c r="F39" s="5"/>
      <c r="G39" s="5"/>
      <c r="H39" s="5"/>
      <c r="I39" s="5"/>
      <c r="J39" s="5"/>
      <c r="L39" s="6"/>
      <c r="M39" s="7"/>
      <c r="N39" s="4" t="s">
        <v>26</v>
      </c>
      <c r="O39" s="4" t="str">
        <f>O4</f>
        <v>: 07 Pengembangan Standar Pembiayaan</v>
      </c>
      <c r="P39" s="3"/>
    </row>
    <row r="40" spans="1:17" ht="15" customHeight="1">
      <c r="C40" s="4" t="s">
        <v>2</v>
      </c>
      <c r="D40" s="4" t="str">
        <f>D5</f>
        <v>: SD NEGERI LEBAKLEUNGSIR</v>
      </c>
      <c r="F40" s="4"/>
      <c r="G40" s="4"/>
      <c r="H40" s="4"/>
      <c r="I40" s="4"/>
      <c r="J40" s="4"/>
      <c r="L40" s="6"/>
      <c r="N40" s="4" t="s">
        <v>27</v>
      </c>
      <c r="O40" s="4" t="str">
        <f>O5</f>
        <v>: Pembayaran Honor Guru</v>
      </c>
      <c r="P40" s="3"/>
    </row>
    <row r="41" spans="1:17" ht="15" customHeight="1">
      <c r="C41" s="4" t="s">
        <v>3</v>
      </c>
      <c r="D41" s="4" t="str">
        <f>D6</f>
        <v>: Cikalongwetan</v>
      </c>
      <c r="F41" s="4"/>
      <c r="G41" s="4"/>
      <c r="H41" s="4"/>
      <c r="I41" s="4"/>
      <c r="J41" s="4"/>
      <c r="L41" s="6"/>
      <c r="N41" s="8" t="s">
        <v>28</v>
      </c>
      <c r="O41" s="4" t="str">
        <f>O6</f>
        <v>: 5.1.02.02.01.0013</v>
      </c>
      <c r="P41" s="3"/>
    </row>
    <row r="42" spans="1:17" ht="15" customHeight="1">
      <c r="C42" s="4" t="s">
        <v>5</v>
      </c>
      <c r="D42" s="4" t="str">
        <f>D7</f>
        <v>: Bandung Barat</v>
      </c>
      <c r="F42" s="4"/>
      <c r="G42" s="4"/>
      <c r="H42" s="4"/>
      <c r="I42" s="4"/>
      <c r="J42" s="4"/>
      <c r="L42" s="6"/>
      <c r="N42" s="4" t="s">
        <v>7</v>
      </c>
      <c r="O42" s="4" t="str">
        <f>O7</f>
        <v>: 12</v>
      </c>
      <c r="P42" s="3"/>
      <c r="Q42" s="8"/>
    </row>
    <row r="43" spans="1:17" ht="15" customHeight="1">
      <c r="N43" s="8"/>
      <c r="O43" s="8"/>
      <c r="P43" s="8"/>
    </row>
    <row r="44" spans="1:17" ht="18.5" customHeight="1">
      <c r="A44" s="62" t="s">
        <v>8</v>
      </c>
      <c r="B44" s="65" t="s">
        <v>9</v>
      </c>
      <c r="C44" s="66"/>
      <c r="D44" s="62" t="s">
        <v>99</v>
      </c>
      <c r="E44" s="62" t="s">
        <v>10</v>
      </c>
      <c r="F44" s="69" t="s">
        <v>72</v>
      </c>
      <c r="G44" s="70"/>
      <c r="H44" s="70"/>
      <c r="I44" s="71"/>
      <c r="J44" s="72" t="s">
        <v>14</v>
      </c>
      <c r="K44" s="72" t="s">
        <v>11</v>
      </c>
      <c r="L44" s="65" t="s">
        <v>12</v>
      </c>
      <c r="M44" s="66"/>
      <c r="N44" s="74" t="s">
        <v>31</v>
      </c>
      <c r="O44" s="72" t="s">
        <v>16</v>
      </c>
      <c r="P44" s="65" t="s">
        <v>17</v>
      </c>
      <c r="Q44" s="66"/>
    </row>
    <row r="45" spans="1:17" ht="34" customHeight="1">
      <c r="A45" s="63"/>
      <c r="B45" s="67"/>
      <c r="C45" s="68"/>
      <c r="D45" s="63"/>
      <c r="E45" s="63"/>
      <c r="F45" s="35" t="s">
        <v>41</v>
      </c>
      <c r="G45" s="35" t="s">
        <v>73</v>
      </c>
      <c r="H45" s="35" t="s">
        <v>74</v>
      </c>
      <c r="I45" s="35"/>
      <c r="J45" s="73"/>
      <c r="K45" s="73"/>
      <c r="L45" s="67"/>
      <c r="M45" s="68"/>
      <c r="N45" s="75"/>
      <c r="O45" s="73"/>
      <c r="P45" s="67"/>
      <c r="Q45" s="68"/>
    </row>
    <row r="46" spans="1:17" ht="30.5" customHeight="1">
      <c r="A46" s="11">
        <v>1</v>
      </c>
      <c r="B46" s="12" t="str">
        <f t="shared" ref="B46:B51" si="3">IF(B11="","",B11)</f>
        <v>RACHMAWATI</v>
      </c>
      <c r="C46" s="13"/>
      <c r="D46" s="42" t="str">
        <f t="shared" ref="D46:H51" si="4">IF(D11="","",D11)</f>
        <v>9563779680230043</v>
      </c>
      <c r="E46" s="32" t="str">
        <f t="shared" si="4"/>
        <v>Guru Kelas</v>
      </c>
      <c r="F46" s="37">
        <f t="shared" si="4"/>
        <v>650000</v>
      </c>
      <c r="G46" s="37">
        <f t="shared" si="4"/>
        <v>250000</v>
      </c>
      <c r="H46" s="37">
        <f t="shared" si="4"/>
        <v>100000</v>
      </c>
      <c r="I46" s="13"/>
      <c r="J46" s="16">
        <f t="shared" ref="J46:J51" si="5">IF(B46="","",SUM(F46:I46))</f>
        <v>1000000</v>
      </c>
      <c r="K46" s="38" t="str">
        <f t="shared" ref="K46:M51" si="6">IF(K11="","",K11)</f>
        <v>GTT</v>
      </c>
      <c r="L46" s="38">
        <f t="shared" si="6"/>
        <v>1</v>
      </c>
      <c r="M46" s="38" t="str">
        <f t="shared" si="6"/>
        <v>Bulan</v>
      </c>
      <c r="N46" s="17">
        <f>IFERROR(J46*0/100,"")</f>
        <v>0</v>
      </c>
      <c r="O46" s="16">
        <f>IFERROR(SUM(J46*L46)-N46,"")</f>
        <v>1000000</v>
      </c>
      <c r="P46" s="54">
        <v>1</v>
      </c>
      <c r="Q46" s="56">
        <v>2</v>
      </c>
    </row>
    <row r="47" spans="1:17" ht="30.5" customHeight="1">
      <c r="A47" s="11">
        <v>2</v>
      </c>
      <c r="B47" s="12" t="str">
        <f t="shared" si="3"/>
        <v/>
      </c>
      <c r="C47" s="13"/>
      <c r="D47" s="42" t="str">
        <f t="shared" si="4"/>
        <v/>
      </c>
      <c r="E47" s="32" t="str">
        <f t="shared" si="4"/>
        <v/>
      </c>
      <c r="F47" s="37" t="str">
        <f t="shared" si="4"/>
        <v/>
      </c>
      <c r="G47" s="37" t="str">
        <f t="shared" si="4"/>
        <v/>
      </c>
      <c r="H47" s="37" t="str">
        <f t="shared" si="4"/>
        <v/>
      </c>
      <c r="I47" s="13"/>
      <c r="J47" s="16" t="str">
        <f t="shared" si="5"/>
        <v/>
      </c>
      <c r="K47" s="38" t="str">
        <f t="shared" si="6"/>
        <v/>
      </c>
      <c r="L47" s="38" t="str">
        <f t="shared" si="6"/>
        <v/>
      </c>
      <c r="M47" s="38" t="str">
        <f t="shared" si="6"/>
        <v/>
      </c>
      <c r="N47" s="17" t="str">
        <f t="shared" ref="N47:N51" si="7">IFERROR(J47*0/100,"")</f>
        <v/>
      </c>
      <c r="O47" s="16" t="str">
        <f t="shared" ref="O47:O51" si="8">IFERROR(SUM(J47*L47)-N47,"")</f>
        <v/>
      </c>
      <c r="P47" s="55"/>
      <c r="Q47" s="57"/>
    </row>
    <row r="48" spans="1:17" ht="24" hidden="1" customHeight="1">
      <c r="A48" s="11">
        <v>3</v>
      </c>
      <c r="B48" s="12" t="str">
        <f t="shared" si="3"/>
        <v/>
      </c>
      <c r="C48" s="13"/>
      <c r="D48" s="42" t="str">
        <f t="shared" si="4"/>
        <v/>
      </c>
      <c r="E48" s="32" t="str">
        <f t="shared" si="4"/>
        <v/>
      </c>
      <c r="F48" s="37" t="str">
        <f t="shared" si="4"/>
        <v/>
      </c>
      <c r="G48" s="37" t="str">
        <f t="shared" si="4"/>
        <v/>
      </c>
      <c r="H48" s="37" t="str">
        <f t="shared" si="4"/>
        <v/>
      </c>
      <c r="I48" s="13"/>
      <c r="J48" s="16" t="str">
        <f t="shared" si="5"/>
        <v/>
      </c>
      <c r="K48" s="38" t="str">
        <f t="shared" si="6"/>
        <v/>
      </c>
      <c r="L48" s="38" t="str">
        <f t="shared" si="6"/>
        <v/>
      </c>
      <c r="M48" s="38" t="str">
        <f t="shared" si="6"/>
        <v/>
      </c>
      <c r="N48" s="17" t="str">
        <f t="shared" si="7"/>
        <v/>
      </c>
      <c r="O48" s="16" t="str">
        <f t="shared" si="8"/>
        <v/>
      </c>
      <c r="P48" s="54">
        <v>3</v>
      </c>
      <c r="Q48" s="56">
        <v>4</v>
      </c>
    </row>
    <row r="49" spans="1:20" ht="24" hidden="1" customHeight="1">
      <c r="A49" s="11">
        <v>4</v>
      </c>
      <c r="B49" s="12" t="str">
        <f t="shared" si="3"/>
        <v/>
      </c>
      <c r="C49" s="13"/>
      <c r="D49" s="42" t="str">
        <f t="shared" si="4"/>
        <v/>
      </c>
      <c r="E49" s="32" t="str">
        <f t="shared" si="4"/>
        <v/>
      </c>
      <c r="F49" s="37" t="str">
        <f t="shared" si="4"/>
        <v/>
      </c>
      <c r="G49" s="37" t="str">
        <f t="shared" si="4"/>
        <v/>
      </c>
      <c r="H49" s="37" t="str">
        <f t="shared" si="4"/>
        <v/>
      </c>
      <c r="I49" s="13"/>
      <c r="J49" s="16" t="str">
        <f t="shared" si="5"/>
        <v/>
      </c>
      <c r="K49" s="38" t="str">
        <f t="shared" si="6"/>
        <v/>
      </c>
      <c r="L49" s="38" t="str">
        <f t="shared" si="6"/>
        <v/>
      </c>
      <c r="M49" s="38" t="str">
        <f t="shared" si="6"/>
        <v/>
      </c>
      <c r="N49" s="17" t="str">
        <f t="shared" si="7"/>
        <v/>
      </c>
      <c r="O49" s="16" t="str">
        <f t="shared" si="8"/>
        <v/>
      </c>
      <c r="P49" s="55"/>
      <c r="Q49" s="57"/>
    </row>
    <row r="50" spans="1:20" ht="24" hidden="1" customHeight="1">
      <c r="A50" s="11">
        <v>5</v>
      </c>
      <c r="B50" s="12" t="str">
        <f t="shared" si="3"/>
        <v/>
      </c>
      <c r="C50" s="13"/>
      <c r="D50" s="42" t="str">
        <f t="shared" si="4"/>
        <v/>
      </c>
      <c r="E50" s="32" t="str">
        <f t="shared" si="4"/>
        <v/>
      </c>
      <c r="F50" s="37" t="str">
        <f t="shared" si="4"/>
        <v/>
      </c>
      <c r="G50" s="37" t="str">
        <f t="shared" si="4"/>
        <v/>
      </c>
      <c r="H50" s="37" t="str">
        <f t="shared" si="4"/>
        <v/>
      </c>
      <c r="I50" s="13"/>
      <c r="J50" s="16" t="str">
        <f t="shared" si="5"/>
        <v/>
      </c>
      <c r="K50" s="38" t="str">
        <f t="shared" si="6"/>
        <v/>
      </c>
      <c r="L50" s="38" t="str">
        <f t="shared" si="6"/>
        <v/>
      </c>
      <c r="M50" s="38" t="str">
        <f t="shared" si="6"/>
        <v/>
      </c>
      <c r="N50" s="17" t="str">
        <f t="shared" si="7"/>
        <v/>
      </c>
      <c r="O50" s="16" t="str">
        <f t="shared" si="8"/>
        <v/>
      </c>
      <c r="P50" s="58">
        <v>5</v>
      </c>
      <c r="Q50" s="59">
        <v>6</v>
      </c>
    </row>
    <row r="51" spans="1:20" ht="24" hidden="1" customHeight="1">
      <c r="A51" s="11">
        <v>6</v>
      </c>
      <c r="B51" s="12" t="str">
        <f t="shared" si="3"/>
        <v/>
      </c>
      <c r="C51" s="13"/>
      <c r="D51" s="42" t="str">
        <f t="shared" si="4"/>
        <v/>
      </c>
      <c r="E51" s="32" t="str">
        <f t="shared" si="4"/>
        <v/>
      </c>
      <c r="F51" s="37" t="str">
        <f t="shared" si="4"/>
        <v/>
      </c>
      <c r="G51" s="37" t="str">
        <f t="shared" si="4"/>
        <v/>
      </c>
      <c r="H51" s="37" t="str">
        <f t="shared" si="4"/>
        <v/>
      </c>
      <c r="I51" s="13"/>
      <c r="J51" s="16" t="str">
        <f t="shared" si="5"/>
        <v/>
      </c>
      <c r="K51" s="38" t="str">
        <f t="shared" si="6"/>
        <v/>
      </c>
      <c r="L51" s="38" t="str">
        <f t="shared" si="6"/>
        <v/>
      </c>
      <c r="M51" s="38" t="str">
        <f t="shared" si="6"/>
        <v/>
      </c>
      <c r="N51" s="17" t="str">
        <f t="shared" si="7"/>
        <v/>
      </c>
      <c r="O51" s="16" t="str">
        <f t="shared" si="8"/>
        <v/>
      </c>
      <c r="P51" s="58"/>
      <c r="Q51" s="59"/>
    </row>
    <row r="52" spans="1:20" s="21" customFormat="1" ht="22.5" customHeight="1">
      <c r="A52" s="60" t="s">
        <v>20</v>
      </c>
      <c r="B52" s="61"/>
      <c r="C52" s="61"/>
      <c r="D52" s="61"/>
      <c r="E52" s="61"/>
      <c r="F52" s="61"/>
      <c r="G52" s="61"/>
      <c r="H52" s="61"/>
      <c r="I52" s="36"/>
      <c r="J52" s="18">
        <f>SUM(J46:J51)</f>
        <v>1000000</v>
      </c>
      <c r="K52" s="36"/>
      <c r="L52" s="36"/>
      <c r="M52" s="36"/>
      <c r="N52" s="19">
        <f>SUM(N46:N51)</f>
        <v>0</v>
      </c>
      <c r="O52" s="18">
        <f>SUM(O46:O51)</f>
        <v>1000000</v>
      </c>
      <c r="P52" s="20"/>
      <c r="Q52" s="20"/>
      <c r="T52" s="22"/>
    </row>
    <row r="53" spans="1:20" ht="23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O53" s="23"/>
    </row>
    <row r="54" spans="1:20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P54" s="24" t="s">
        <v>179</v>
      </c>
    </row>
    <row r="55" spans="1:20" ht="18" customHeight="1">
      <c r="A55" s="8"/>
      <c r="C55" s="24" t="s">
        <v>21</v>
      </c>
      <c r="D55" s="24"/>
      <c r="E55" s="24"/>
      <c r="F55" s="24"/>
      <c r="G55" s="24"/>
      <c r="H55" s="24"/>
      <c r="I55" s="24"/>
      <c r="J55" s="24"/>
      <c r="K55" s="24"/>
      <c r="L55" s="24"/>
      <c r="M55" s="8"/>
      <c r="P55" s="24" t="s">
        <v>180</v>
      </c>
    </row>
    <row r="56" spans="1:20">
      <c r="A56" s="8"/>
      <c r="C56" s="24" t="s">
        <v>22</v>
      </c>
      <c r="D56" s="24"/>
      <c r="E56" s="24"/>
      <c r="F56" s="24"/>
      <c r="G56" s="24"/>
      <c r="H56" s="24"/>
      <c r="I56" s="24"/>
      <c r="J56" s="24"/>
      <c r="K56" s="24"/>
      <c r="L56" s="24"/>
      <c r="M56" s="8"/>
      <c r="P56" s="24" t="s">
        <v>23</v>
      </c>
    </row>
    <row r="57" spans="1:20">
      <c r="A57" s="8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8"/>
      <c r="P57" s="25"/>
      <c r="T57" s="26"/>
    </row>
    <row r="58" spans="1:20">
      <c r="A58" s="8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8"/>
      <c r="P58" s="25"/>
    </row>
    <row r="59" spans="1:20">
      <c r="A59" s="8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8"/>
      <c r="P59" s="25"/>
    </row>
    <row r="60" spans="1:20">
      <c r="A60" s="8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8"/>
      <c r="P60" s="25"/>
    </row>
    <row r="61" spans="1:20">
      <c r="A61" s="8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8"/>
      <c r="P61" s="25"/>
    </row>
    <row r="62" spans="1:20" ht="15" customHeight="1">
      <c r="A62" s="8"/>
      <c r="C62" s="27" t="str">
        <f>IF(C27="","",C27)</f>
        <v>BADRUDDIN, S.Ag.</v>
      </c>
      <c r="D62" s="27"/>
      <c r="E62" s="28"/>
      <c r="F62" s="28"/>
      <c r="G62" s="28"/>
      <c r="H62" s="28"/>
      <c r="I62" s="28"/>
      <c r="J62" s="28"/>
      <c r="K62" s="28"/>
      <c r="L62" s="8"/>
      <c r="M62" s="8"/>
      <c r="P62" s="27" t="str">
        <f>IF(P27="","",P27)</f>
        <v>DEDE GUNAWAN, S.Pd.</v>
      </c>
    </row>
    <row r="63" spans="1:20" ht="15" customHeight="1">
      <c r="A63" s="8"/>
      <c r="C63" s="27" t="str">
        <f>IF(C28="","",C28)</f>
        <v>NIP. 197405082014121002</v>
      </c>
      <c r="D63" s="27"/>
      <c r="E63" s="28"/>
      <c r="F63" s="28"/>
      <c r="G63" s="28"/>
      <c r="H63" s="28"/>
      <c r="I63" s="28"/>
      <c r="J63" s="28"/>
      <c r="K63" s="28"/>
      <c r="L63" s="8"/>
      <c r="M63" s="8"/>
      <c r="P63" s="27" t="str">
        <f>IF(P28="","",P28)</f>
        <v>NIP. 198507172020121003</v>
      </c>
    </row>
    <row r="72" spans="1:17" ht="17.25" customHeight="1">
      <c r="A72" s="64" t="s">
        <v>40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</row>
    <row r="73" spans="1:17" ht="17.25" customHeight="1">
      <c r="A73" s="64" t="s">
        <v>174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</row>
    <row r="74" spans="1:17" ht="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5" customHeight="1">
      <c r="C75" s="4" t="s">
        <v>0</v>
      </c>
      <c r="D75" s="5" t="s">
        <v>1</v>
      </c>
      <c r="F75" s="5"/>
      <c r="G75" s="5"/>
      <c r="H75" s="5"/>
      <c r="I75" s="5"/>
      <c r="J75" s="5"/>
      <c r="L75" s="6"/>
      <c r="M75" s="7"/>
      <c r="N75" s="4" t="s">
        <v>26</v>
      </c>
      <c r="O75" s="4" t="str">
        <f>O39</f>
        <v>: 07 Pengembangan Standar Pembiayaan</v>
      </c>
      <c r="P75" s="3"/>
    </row>
    <row r="76" spans="1:17" ht="15" customHeight="1">
      <c r="C76" s="4" t="s">
        <v>2</v>
      </c>
      <c r="D76" s="4" t="str">
        <f>D40</f>
        <v>: SD NEGERI LEBAKLEUNGSIR</v>
      </c>
      <c r="F76" s="4"/>
      <c r="G76" s="4"/>
      <c r="H76" s="4"/>
      <c r="I76" s="4"/>
      <c r="J76" s="4"/>
      <c r="L76" s="6"/>
      <c r="N76" s="4" t="s">
        <v>27</v>
      </c>
      <c r="O76" s="4" t="str">
        <f>O40</f>
        <v>: Pembayaran Honor Guru</v>
      </c>
      <c r="P76" s="3"/>
    </row>
    <row r="77" spans="1:17" ht="15" customHeight="1">
      <c r="C77" s="4" t="s">
        <v>3</v>
      </c>
      <c r="D77" s="4" t="str">
        <f>D41</f>
        <v>: Cikalongwetan</v>
      </c>
      <c r="F77" s="4"/>
      <c r="G77" s="4"/>
      <c r="H77" s="4"/>
      <c r="I77" s="4"/>
      <c r="J77" s="4"/>
      <c r="L77" s="6"/>
      <c r="N77" s="8" t="s">
        <v>28</v>
      </c>
      <c r="O77" s="4" t="str">
        <f>O41</f>
        <v>: 5.1.02.02.01.0013</v>
      </c>
      <c r="P77" s="3"/>
    </row>
    <row r="78" spans="1:17" ht="15" customHeight="1">
      <c r="C78" s="4" t="s">
        <v>5</v>
      </c>
      <c r="D78" s="4" t="str">
        <f>D42</f>
        <v>: Bandung Barat</v>
      </c>
      <c r="F78" s="4"/>
      <c r="G78" s="4"/>
      <c r="H78" s="4"/>
      <c r="I78" s="4"/>
      <c r="J78" s="4"/>
      <c r="L78" s="6"/>
      <c r="N78" s="4" t="s">
        <v>7</v>
      </c>
      <c r="O78" s="4" t="str">
        <f>O42</f>
        <v>: 12</v>
      </c>
      <c r="P78" s="3"/>
      <c r="Q78" s="8"/>
    </row>
    <row r="79" spans="1:17" ht="15" customHeight="1">
      <c r="N79" s="8"/>
      <c r="O79" s="8"/>
      <c r="P79" s="8"/>
    </row>
    <row r="80" spans="1:17" ht="18.5" customHeight="1">
      <c r="A80" s="62" t="s">
        <v>8</v>
      </c>
      <c r="B80" s="65" t="s">
        <v>9</v>
      </c>
      <c r="C80" s="66"/>
      <c r="D80" s="62" t="s">
        <v>99</v>
      </c>
      <c r="E80" s="62" t="s">
        <v>10</v>
      </c>
      <c r="F80" s="69" t="s">
        <v>72</v>
      </c>
      <c r="G80" s="70"/>
      <c r="H80" s="70"/>
      <c r="I80" s="71"/>
      <c r="J80" s="72" t="s">
        <v>14</v>
      </c>
      <c r="K80" s="72" t="s">
        <v>11</v>
      </c>
      <c r="L80" s="65" t="s">
        <v>12</v>
      </c>
      <c r="M80" s="66"/>
      <c r="N80" s="74" t="s">
        <v>31</v>
      </c>
      <c r="O80" s="72" t="s">
        <v>16</v>
      </c>
      <c r="P80" s="65" t="s">
        <v>17</v>
      </c>
      <c r="Q80" s="66"/>
    </row>
    <row r="81" spans="1:20" ht="34" customHeight="1">
      <c r="A81" s="63"/>
      <c r="B81" s="67"/>
      <c r="C81" s="68"/>
      <c r="D81" s="63"/>
      <c r="E81" s="63"/>
      <c r="F81" s="35" t="s">
        <v>41</v>
      </c>
      <c r="G81" s="35" t="s">
        <v>73</v>
      </c>
      <c r="H81" s="35" t="s">
        <v>74</v>
      </c>
      <c r="I81" s="35"/>
      <c r="J81" s="73"/>
      <c r="K81" s="73"/>
      <c r="L81" s="67"/>
      <c r="M81" s="68"/>
      <c r="N81" s="75"/>
      <c r="O81" s="73"/>
      <c r="P81" s="67"/>
      <c r="Q81" s="68"/>
    </row>
    <row r="82" spans="1:20" ht="31" customHeight="1">
      <c r="A82" s="11">
        <v>1</v>
      </c>
      <c r="B82" s="12" t="str">
        <f t="shared" ref="B82:B87" si="9">IF(B46="","",B46)</f>
        <v>RACHMAWATI</v>
      </c>
      <c r="C82" s="13"/>
      <c r="D82" s="42" t="str">
        <f t="shared" ref="D82:H87" si="10">IF(D46="","",D46)</f>
        <v>9563779680230043</v>
      </c>
      <c r="E82" s="32" t="str">
        <f t="shared" si="10"/>
        <v>Guru Kelas</v>
      </c>
      <c r="F82" s="37">
        <f t="shared" si="10"/>
        <v>650000</v>
      </c>
      <c r="G82" s="37">
        <f t="shared" si="10"/>
        <v>250000</v>
      </c>
      <c r="H82" s="37">
        <f t="shared" si="10"/>
        <v>100000</v>
      </c>
      <c r="I82" s="13"/>
      <c r="J82" s="16">
        <f t="shared" ref="J82:J87" si="11">IF(B82="","",SUM(F82:I82))</f>
        <v>1000000</v>
      </c>
      <c r="K82" s="38" t="str">
        <f t="shared" ref="K82:M87" si="12">IF(K46="","",K46)</f>
        <v>GTT</v>
      </c>
      <c r="L82" s="38">
        <f t="shared" si="12"/>
        <v>1</v>
      </c>
      <c r="M82" s="38" t="str">
        <f t="shared" si="12"/>
        <v>Bulan</v>
      </c>
      <c r="N82" s="17">
        <f>IFERROR(J82*0/100,"")</f>
        <v>0</v>
      </c>
      <c r="O82" s="16">
        <f>IFERROR(SUM(J82*L82)-N82,"")</f>
        <v>1000000</v>
      </c>
      <c r="P82" s="54">
        <v>1</v>
      </c>
      <c r="Q82" s="56">
        <v>2</v>
      </c>
    </row>
    <row r="83" spans="1:20" ht="31" customHeight="1">
      <c r="A83" s="11">
        <v>2</v>
      </c>
      <c r="B83" s="12" t="str">
        <f t="shared" si="9"/>
        <v/>
      </c>
      <c r="C83" s="13"/>
      <c r="D83" s="42" t="str">
        <f t="shared" si="10"/>
        <v/>
      </c>
      <c r="E83" s="32" t="str">
        <f t="shared" si="10"/>
        <v/>
      </c>
      <c r="F83" s="37" t="str">
        <f t="shared" si="10"/>
        <v/>
      </c>
      <c r="G83" s="37" t="str">
        <f t="shared" si="10"/>
        <v/>
      </c>
      <c r="H83" s="37" t="str">
        <f t="shared" si="10"/>
        <v/>
      </c>
      <c r="I83" s="13"/>
      <c r="J83" s="16" t="str">
        <f t="shared" si="11"/>
        <v/>
      </c>
      <c r="K83" s="38" t="str">
        <f t="shared" si="12"/>
        <v/>
      </c>
      <c r="L83" s="38" t="str">
        <f t="shared" si="12"/>
        <v/>
      </c>
      <c r="M83" s="38" t="str">
        <f t="shared" si="12"/>
        <v/>
      </c>
      <c r="N83" s="17" t="str">
        <f t="shared" ref="N83:N87" si="13">IFERROR(J83*0/100,"")</f>
        <v/>
      </c>
      <c r="O83" s="16" t="str">
        <f t="shared" ref="O83:O87" si="14">IFERROR(SUM(J83*L83)-N83,"")</f>
        <v/>
      </c>
      <c r="P83" s="55"/>
      <c r="Q83" s="57"/>
    </row>
    <row r="84" spans="1:20" ht="24" hidden="1" customHeight="1">
      <c r="A84" s="11">
        <v>3</v>
      </c>
      <c r="B84" s="12" t="str">
        <f t="shared" si="9"/>
        <v/>
      </c>
      <c r="C84" s="13"/>
      <c r="D84" s="42" t="str">
        <f t="shared" si="10"/>
        <v/>
      </c>
      <c r="E84" s="32" t="str">
        <f t="shared" si="10"/>
        <v/>
      </c>
      <c r="F84" s="37" t="str">
        <f t="shared" si="10"/>
        <v/>
      </c>
      <c r="G84" s="37" t="str">
        <f t="shared" si="10"/>
        <v/>
      </c>
      <c r="H84" s="37" t="str">
        <f t="shared" si="10"/>
        <v/>
      </c>
      <c r="I84" s="13"/>
      <c r="J84" s="16" t="str">
        <f t="shared" si="11"/>
        <v/>
      </c>
      <c r="K84" s="38" t="str">
        <f t="shared" si="12"/>
        <v/>
      </c>
      <c r="L84" s="38" t="str">
        <f t="shared" si="12"/>
        <v/>
      </c>
      <c r="M84" s="38" t="str">
        <f t="shared" si="12"/>
        <v/>
      </c>
      <c r="N84" s="17" t="str">
        <f t="shared" si="13"/>
        <v/>
      </c>
      <c r="O84" s="16" t="str">
        <f t="shared" si="14"/>
        <v/>
      </c>
      <c r="P84" s="54">
        <v>3</v>
      </c>
      <c r="Q84" s="56">
        <v>4</v>
      </c>
    </row>
    <row r="85" spans="1:20" ht="24" hidden="1" customHeight="1">
      <c r="A85" s="11">
        <v>4</v>
      </c>
      <c r="B85" s="12" t="str">
        <f t="shared" si="9"/>
        <v/>
      </c>
      <c r="C85" s="13"/>
      <c r="D85" s="42" t="str">
        <f t="shared" si="10"/>
        <v/>
      </c>
      <c r="E85" s="32" t="str">
        <f t="shared" si="10"/>
        <v/>
      </c>
      <c r="F85" s="37" t="str">
        <f t="shared" si="10"/>
        <v/>
      </c>
      <c r="G85" s="37" t="str">
        <f t="shared" si="10"/>
        <v/>
      </c>
      <c r="H85" s="37" t="str">
        <f t="shared" si="10"/>
        <v/>
      </c>
      <c r="I85" s="13"/>
      <c r="J85" s="16" t="str">
        <f t="shared" si="11"/>
        <v/>
      </c>
      <c r="K85" s="38" t="str">
        <f t="shared" si="12"/>
        <v/>
      </c>
      <c r="L85" s="38" t="str">
        <f t="shared" si="12"/>
        <v/>
      </c>
      <c r="M85" s="38" t="str">
        <f t="shared" si="12"/>
        <v/>
      </c>
      <c r="N85" s="17" t="str">
        <f t="shared" si="13"/>
        <v/>
      </c>
      <c r="O85" s="16" t="str">
        <f t="shared" si="14"/>
        <v/>
      </c>
      <c r="P85" s="55"/>
      <c r="Q85" s="57"/>
    </row>
    <row r="86" spans="1:20" ht="24" hidden="1" customHeight="1">
      <c r="A86" s="11">
        <v>5</v>
      </c>
      <c r="B86" s="12" t="str">
        <f t="shared" si="9"/>
        <v/>
      </c>
      <c r="C86" s="13"/>
      <c r="D86" s="42" t="str">
        <f t="shared" si="10"/>
        <v/>
      </c>
      <c r="E86" s="32" t="str">
        <f t="shared" si="10"/>
        <v/>
      </c>
      <c r="F86" s="37" t="str">
        <f t="shared" si="10"/>
        <v/>
      </c>
      <c r="G86" s="37" t="str">
        <f t="shared" si="10"/>
        <v/>
      </c>
      <c r="H86" s="37" t="str">
        <f t="shared" si="10"/>
        <v/>
      </c>
      <c r="I86" s="13"/>
      <c r="J86" s="16" t="str">
        <f t="shared" si="11"/>
        <v/>
      </c>
      <c r="K86" s="38" t="str">
        <f t="shared" si="12"/>
        <v/>
      </c>
      <c r="L86" s="38" t="str">
        <f t="shared" si="12"/>
        <v/>
      </c>
      <c r="M86" s="38" t="str">
        <f t="shared" si="12"/>
        <v/>
      </c>
      <c r="N86" s="17" t="str">
        <f t="shared" si="13"/>
        <v/>
      </c>
      <c r="O86" s="16" t="str">
        <f t="shared" si="14"/>
        <v/>
      </c>
      <c r="P86" s="58">
        <v>5</v>
      </c>
      <c r="Q86" s="59">
        <v>6</v>
      </c>
    </row>
    <row r="87" spans="1:20" ht="24" hidden="1" customHeight="1">
      <c r="A87" s="11">
        <v>6</v>
      </c>
      <c r="B87" s="12" t="str">
        <f t="shared" si="9"/>
        <v/>
      </c>
      <c r="C87" s="13"/>
      <c r="D87" s="42" t="str">
        <f t="shared" si="10"/>
        <v/>
      </c>
      <c r="E87" s="32" t="str">
        <f t="shared" si="10"/>
        <v/>
      </c>
      <c r="F87" s="37" t="str">
        <f t="shared" si="10"/>
        <v/>
      </c>
      <c r="G87" s="37" t="str">
        <f t="shared" si="10"/>
        <v/>
      </c>
      <c r="H87" s="37" t="str">
        <f t="shared" si="10"/>
        <v/>
      </c>
      <c r="I87" s="13"/>
      <c r="J87" s="16" t="str">
        <f t="shared" si="11"/>
        <v/>
      </c>
      <c r="K87" s="38" t="str">
        <f t="shared" si="12"/>
        <v/>
      </c>
      <c r="L87" s="38" t="str">
        <f t="shared" si="12"/>
        <v/>
      </c>
      <c r="M87" s="38" t="str">
        <f t="shared" si="12"/>
        <v/>
      </c>
      <c r="N87" s="17" t="str">
        <f t="shared" si="13"/>
        <v/>
      </c>
      <c r="O87" s="16" t="str">
        <f t="shared" si="14"/>
        <v/>
      </c>
      <c r="P87" s="58"/>
      <c r="Q87" s="59"/>
    </row>
    <row r="88" spans="1:20" s="21" customFormat="1" ht="22.5" customHeight="1">
      <c r="A88" s="60" t="s">
        <v>20</v>
      </c>
      <c r="B88" s="61"/>
      <c r="C88" s="61"/>
      <c r="D88" s="61"/>
      <c r="E88" s="61"/>
      <c r="F88" s="61"/>
      <c r="G88" s="61"/>
      <c r="H88" s="61"/>
      <c r="I88" s="36"/>
      <c r="J88" s="18">
        <f>SUM(J82:J87)</f>
        <v>1000000</v>
      </c>
      <c r="K88" s="36"/>
      <c r="L88" s="36"/>
      <c r="M88" s="36"/>
      <c r="N88" s="19">
        <f>SUM(N82:N87)</f>
        <v>0</v>
      </c>
      <c r="O88" s="18">
        <f>SUM(O82:O87)</f>
        <v>1000000</v>
      </c>
      <c r="P88" s="20"/>
      <c r="Q88" s="20"/>
      <c r="T88" s="22"/>
    </row>
    <row r="89" spans="1:20" ht="23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O89" s="23"/>
    </row>
    <row r="90" spans="1:20" ht="17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P90" s="24" t="s">
        <v>181</v>
      </c>
    </row>
    <row r="91" spans="1:20" ht="18" customHeight="1">
      <c r="A91" s="8"/>
      <c r="C91" s="24" t="s">
        <v>21</v>
      </c>
      <c r="D91" s="24"/>
      <c r="E91" s="24"/>
      <c r="F91" s="24"/>
      <c r="G91" s="24"/>
      <c r="H91" s="24"/>
      <c r="I91" s="24"/>
      <c r="J91" s="24"/>
      <c r="K91" s="24"/>
      <c r="L91" s="24"/>
      <c r="M91" s="8"/>
      <c r="P91" s="24" t="s">
        <v>188</v>
      </c>
    </row>
    <row r="92" spans="1:20">
      <c r="A92" s="8"/>
      <c r="C92" s="24" t="s">
        <v>22</v>
      </c>
      <c r="D92" s="24"/>
      <c r="E92" s="24"/>
      <c r="F92" s="24"/>
      <c r="G92" s="24"/>
      <c r="H92" s="24"/>
      <c r="I92" s="24"/>
      <c r="J92" s="24"/>
      <c r="K92" s="24"/>
      <c r="L92" s="24"/>
      <c r="M92" s="8"/>
      <c r="P92" s="24" t="s">
        <v>23</v>
      </c>
    </row>
    <row r="93" spans="1:20">
      <c r="A93" s="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8"/>
      <c r="P93" s="25"/>
      <c r="T93" s="26"/>
    </row>
    <row r="94" spans="1:20">
      <c r="A94" s="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8"/>
      <c r="P94" s="25"/>
    </row>
    <row r="95" spans="1:20">
      <c r="A95" s="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8"/>
      <c r="P95" s="25"/>
    </row>
    <row r="96" spans="1:20">
      <c r="A96" s="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8"/>
      <c r="P96" s="25"/>
    </row>
    <row r="97" spans="1:17">
      <c r="A97" s="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8"/>
      <c r="P97" s="25"/>
    </row>
    <row r="98" spans="1:17" ht="15" customHeight="1">
      <c r="A98" s="8"/>
      <c r="C98" s="27" t="str">
        <f>IF(C62="","",C62)</f>
        <v>BADRUDDIN, S.Ag.</v>
      </c>
      <c r="D98" s="27"/>
      <c r="E98" s="28"/>
      <c r="F98" s="28"/>
      <c r="G98" s="28"/>
      <c r="H98" s="28"/>
      <c r="I98" s="28"/>
      <c r="J98" s="28"/>
      <c r="K98" s="28"/>
      <c r="L98" s="8"/>
      <c r="M98" s="8"/>
      <c r="P98" s="27" t="str">
        <f>IF(P62="","",P62)</f>
        <v>DEDE GUNAWAN, S.Pd.</v>
      </c>
    </row>
    <row r="99" spans="1:17" ht="15" customHeight="1">
      <c r="A99" s="8"/>
      <c r="C99" s="27" t="str">
        <f>IF(C63="","",C63)</f>
        <v>NIP. 197405082014121002</v>
      </c>
      <c r="D99" s="27"/>
      <c r="E99" s="28"/>
      <c r="F99" s="28"/>
      <c r="G99" s="28"/>
      <c r="H99" s="28"/>
      <c r="I99" s="28"/>
      <c r="J99" s="28"/>
      <c r="K99" s="28"/>
      <c r="L99" s="8"/>
      <c r="M99" s="8"/>
      <c r="P99" s="27" t="str">
        <f>IF(P63="","",P63)</f>
        <v>NIP. 198507172020121003</v>
      </c>
    </row>
    <row r="108" spans="1:17" ht="17.25" customHeight="1">
      <c r="A108" s="64" t="s">
        <v>40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</row>
    <row r="109" spans="1:17" ht="17.25" customHeight="1">
      <c r="A109" s="64" t="s">
        <v>175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</row>
    <row r="110" spans="1:17" ht="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5" customHeight="1">
      <c r="C111" s="4" t="s">
        <v>0</v>
      </c>
      <c r="D111" s="5" t="s">
        <v>1</v>
      </c>
      <c r="F111" s="5"/>
      <c r="G111" s="5"/>
      <c r="H111" s="5"/>
      <c r="I111" s="5"/>
      <c r="J111" s="5"/>
      <c r="L111" s="6"/>
      <c r="M111" s="7"/>
      <c r="N111" s="4" t="s">
        <v>26</v>
      </c>
      <c r="O111" s="4" t="str">
        <f>O75</f>
        <v>: 07 Pengembangan Standar Pembiayaan</v>
      </c>
      <c r="P111" s="3"/>
    </row>
    <row r="112" spans="1:17" ht="15" customHeight="1">
      <c r="C112" s="4" t="s">
        <v>2</v>
      </c>
      <c r="D112" s="4" t="str">
        <f>D76</f>
        <v>: SD NEGERI LEBAKLEUNGSIR</v>
      </c>
      <c r="F112" s="4"/>
      <c r="G112" s="4"/>
      <c r="H112" s="4"/>
      <c r="I112" s="4"/>
      <c r="J112" s="4"/>
      <c r="L112" s="6"/>
      <c r="N112" s="4" t="s">
        <v>27</v>
      </c>
      <c r="O112" s="4" t="str">
        <f>O76</f>
        <v>: Pembayaran Honor Guru</v>
      </c>
      <c r="P112" s="3"/>
    </row>
    <row r="113" spans="1:20" ht="15" customHeight="1">
      <c r="C113" s="4" t="s">
        <v>3</v>
      </c>
      <c r="D113" s="4" t="str">
        <f>D77</f>
        <v>: Cikalongwetan</v>
      </c>
      <c r="F113" s="4"/>
      <c r="G113" s="4"/>
      <c r="H113" s="4"/>
      <c r="I113" s="4"/>
      <c r="J113" s="4"/>
      <c r="L113" s="6"/>
      <c r="N113" s="8" t="s">
        <v>28</v>
      </c>
      <c r="O113" s="4" t="str">
        <f>O77</f>
        <v>: 5.1.02.02.01.0013</v>
      </c>
      <c r="P113" s="3"/>
    </row>
    <row r="114" spans="1:20" ht="15" customHeight="1">
      <c r="C114" s="4" t="s">
        <v>5</v>
      </c>
      <c r="D114" s="4" t="str">
        <f>D78</f>
        <v>: Bandung Barat</v>
      </c>
      <c r="F114" s="4"/>
      <c r="G114" s="4"/>
      <c r="H114" s="4"/>
      <c r="I114" s="4"/>
      <c r="J114" s="4"/>
      <c r="L114" s="6"/>
      <c r="N114" s="4" t="s">
        <v>7</v>
      </c>
      <c r="O114" s="4" t="str">
        <f>O78</f>
        <v>: 12</v>
      </c>
      <c r="P114" s="3"/>
      <c r="Q114" s="8"/>
    </row>
    <row r="115" spans="1:20" ht="15" customHeight="1">
      <c r="N115" s="8"/>
      <c r="O115" s="8"/>
      <c r="P115" s="8"/>
    </row>
    <row r="116" spans="1:20" ht="18.5" customHeight="1">
      <c r="A116" s="62" t="s">
        <v>8</v>
      </c>
      <c r="B116" s="65" t="s">
        <v>9</v>
      </c>
      <c r="C116" s="66"/>
      <c r="D116" s="62" t="s">
        <v>99</v>
      </c>
      <c r="E116" s="62" t="s">
        <v>10</v>
      </c>
      <c r="F116" s="69" t="s">
        <v>72</v>
      </c>
      <c r="G116" s="70"/>
      <c r="H116" s="70"/>
      <c r="I116" s="71"/>
      <c r="J116" s="72" t="s">
        <v>14</v>
      </c>
      <c r="K116" s="72" t="s">
        <v>11</v>
      </c>
      <c r="L116" s="65" t="s">
        <v>12</v>
      </c>
      <c r="M116" s="66"/>
      <c r="N116" s="74" t="s">
        <v>31</v>
      </c>
      <c r="O116" s="72" t="s">
        <v>16</v>
      </c>
      <c r="P116" s="65" t="s">
        <v>17</v>
      </c>
      <c r="Q116" s="66"/>
    </row>
    <row r="117" spans="1:20" ht="34" customHeight="1">
      <c r="A117" s="63"/>
      <c r="B117" s="67"/>
      <c r="C117" s="68"/>
      <c r="D117" s="63"/>
      <c r="E117" s="63"/>
      <c r="F117" s="35" t="s">
        <v>41</v>
      </c>
      <c r="G117" s="35" t="s">
        <v>73</v>
      </c>
      <c r="H117" s="35" t="s">
        <v>74</v>
      </c>
      <c r="I117" s="35"/>
      <c r="J117" s="73"/>
      <c r="K117" s="73"/>
      <c r="L117" s="67"/>
      <c r="M117" s="68"/>
      <c r="N117" s="75"/>
      <c r="O117" s="73"/>
      <c r="P117" s="67"/>
      <c r="Q117" s="68"/>
    </row>
    <row r="118" spans="1:20" ht="31" customHeight="1">
      <c r="A118" s="11">
        <v>1</v>
      </c>
      <c r="B118" s="12" t="str">
        <f t="shared" ref="B118:B123" si="15">IF(B82="","",B82)</f>
        <v>RACHMAWATI</v>
      </c>
      <c r="C118" s="13"/>
      <c r="D118" s="42" t="str">
        <f t="shared" ref="D118:H123" si="16">IF(D82="","",D82)</f>
        <v>9563779680230043</v>
      </c>
      <c r="E118" s="32" t="str">
        <f t="shared" si="16"/>
        <v>Guru Kelas</v>
      </c>
      <c r="F118" s="37">
        <f t="shared" si="16"/>
        <v>650000</v>
      </c>
      <c r="G118" s="37">
        <f t="shared" si="16"/>
        <v>250000</v>
      </c>
      <c r="H118" s="37">
        <f t="shared" si="16"/>
        <v>100000</v>
      </c>
      <c r="I118" s="13"/>
      <c r="J118" s="16">
        <f t="shared" ref="J118:J123" si="17">IF(B118="","",SUM(F118:I118))</f>
        <v>1000000</v>
      </c>
      <c r="K118" s="38" t="str">
        <f t="shared" ref="K118:M123" si="18">IF(K82="","",K82)</f>
        <v>GTT</v>
      </c>
      <c r="L118" s="38">
        <f t="shared" si="18"/>
        <v>1</v>
      </c>
      <c r="M118" s="38" t="str">
        <f t="shared" si="18"/>
        <v>Bulan</v>
      </c>
      <c r="N118" s="17">
        <f>IFERROR(J118*0/100,"")</f>
        <v>0</v>
      </c>
      <c r="O118" s="16">
        <f>IFERROR(SUM(J118*L118)-N118,"")</f>
        <v>1000000</v>
      </c>
      <c r="P118" s="54">
        <v>1</v>
      </c>
      <c r="Q118" s="56">
        <v>2</v>
      </c>
    </row>
    <row r="119" spans="1:20" ht="31" customHeight="1">
      <c r="A119" s="11">
        <v>2</v>
      </c>
      <c r="B119" s="12" t="str">
        <f t="shared" si="15"/>
        <v/>
      </c>
      <c r="C119" s="13"/>
      <c r="D119" s="42" t="str">
        <f t="shared" si="16"/>
        <v/>
      </c>
      <c r="E119" s="32" t="str">
        <f t="shared" si="16"/>
        <v/>
      </c>
      <c r="F119" s="37" t="str">
        <f t="shared" si="16"/>
        <v/>
      </c>
      <c r="G119" s="37" t="str">
        <f t="shared" si="16"/>
        <v/>
      </c>
      <c r="H119" s="37" t="str">
        <f t="shared" si="16"/>
        <v/>
      </c>
      <c r="I119" s="13"/>
      <c r="J119" s="16" t="str">
        <f t="shared" si="17"/>
        <v/>
      </c>
      <c r="K119" s="38" t="str">
        <f t="shared" si="18"/>
        <v/>
      </c>
      <c r="L119" s="38" t="str">
        <f t="shared" si="18"/>
        <v/>
      </c>
      <c r="M119" s="38" t="str">
        <f t="shared" si="18"/>
        <v/>
      </c>
      <c r="N119" s="17" t="str">
        <f t="shared" ref="N119:N123" si="19">IFERROR(J119*0/100,"")</f>
        <v/>
      </c>
      <c r="O119" s="16" t="str">
        <f t="shared" ref="O119:O123" si="20">IFERROR(SUM(J119*L119)-N119,"")</f>
        <v/>
      </c>
      <c r="P119" s="55"/>
      <c r="Q119" s="57"/>
    </row>
    <row r="120" spans="1:20" ht="24" hidden="1" customHeight="1">
      <c r="A120" s="11">
        <v>3</v>
      </c>
      <c r="B120" s="12" t="str">
        <f t="shared" si="15"/>
        <v/>
      </c>
      <c r="C120" s="13"/>
      <c r="D120" s="42" t="str">
        <f t="shared" si="16"/>
        <v/>
      </c>
      <c r="E120" s="32" t="str">
        <f t="shared" si="16"/>
        <v/>
      </c>
      <c r="F120" s="37" t="str">
        <f t="shared" si="16"/>
        <v/>
      </c>
      <c r="G120" s="37" t="str">
        <f t="shared" si="16"/>
        <v/>
      </c>
      <c r="H120" s="37" t="str">
        <f t="shared" si="16"/>
        <v/>
      </c>
      <c r="I120" s="13"/>
      <c r="J120" s="16" t="str">
        <f t="shared" si="17"/>
        <v/>
      </c>
      <c r="K120" s="38" t="str">
        <f t="shared" si="18"/>
        <v/>
      </c>
      <c r="L120" s="38" t="str">
        <f t="shared" si="18"/>
        <v/>
      </c>
      <c r="M120" s="38" t="str">
        <f t="shared" si="18"/>
        <v/>
      </c>
      <c r="N120" s="17" t="str">
        <f t="shared" si="19"/>
        <v/>
      </c>
      <c r="O120" s="16" t="str">
        <f t="shared" si="20"/>
        <v/>
      </c>
      <c r="P120" s="54">
        <v>3</v>
      </c>
      <c r="Q120" s="56">
        <v>4</v>
      </c>
    </row>
    <row r="121" spans="1:20" ht="24" hidden="1" customHeight="1">
      <c r="A121" s="11">
        <v>4</v>
      </c>
      <c r="B121" s="12" t="str">
        <f t="shared" si="15"/>
        <v/>
      </c>
      <c r="C121" s="13"/>
      <c r="D121" s="42" t="str">
        <f t="shared" si="16"/>
        <v/>
      </c>
      <c r="E121" s="32" t="str">
        <f t="shared" si="16"/>
        <v/>
      </c>
      <c r="F121" s="37" t="str">
        <f t="shared" si="16"/>
        <v/>
      </c>
      <c r="G121" s="37" t="str">
        <f t="shared" si="16"/>
        <v/>
      </c>
      <c r="H121" s="37" t="str">
        <f t="shared" si="16"/>
        <v/>
      </c>
      <c r="I121" s="13"/>
      <c r="J121" s="16" t="str">
        <f t="shared" si="17"/>
        <v/>
      </c>
      <c r="K121" s="38" t="str">
        <f t="shared" si="18"/>
        <v/>
      </c>
      <c r="L121" s="38" t="str">
        <f t="shared" si="18"/>
        <v/>
      </c>
      <c r="M121" s="38" t="str">
        <f t="shared" si="18"/>
        <v/>
      </c>
      <c r="N121" s="17" t="str">
        <f t="shared" si="19"/>
        <v/>
      </c>
      <c r="O121" s="16" t="str">
        <f t="shared" si="20"/>
        <v/>
      </c>
      <c r="P121" s="55"/>
      <c r="Q121" s="57"/>
    </row>
    <row r="122" spans="1:20" ht="24" hidden="1" customHeight="1">
      <c r="A122" s="11">
        <v>5</v>
      </c>
      <c r="B122" s="12" t="str">
        <f t="shared" si="15"/>
        <v/>
      </c>
      <c r="C122" s="13"/>
      <c r="D122" s="42" t="str">
        <f t="shared" si="16"/>
        <v/>
      </c>
      <c r="E122" s="32" t="str">
        <f t="shared" si="16"/>
        <v/>
      </c>
      <c r="F122" s="37" t="str">
        <f t="shared" si="16"/>
        <v/>
      </c>
      <c r="G122" s="37" t="str">
        <f t="shared" si="16"/>
        <v/>
      </c>
      <c r="H122" s="37" t="str">
        <f t="shared" si="16"/>
        <v/>
      </c>
      <c r="I122" s="13"/>
      <c r="J122" s="16" t="str">
        <f t="shared" si="17"/>
        <v/>
      </c>
      <c r="K122" s="38" t="str">
        <f t="shared" si="18"/>
        <v/>
      </c>
      <c r="L122" s="38" t="str">
        <f t="shared" si="18"/>
        <v/>
      </c>
      <c r="M122" s="38" t="str">
        <f t="shared" si="18"/>
        <v/>
      </c>
      <c r="N122" s="17" t="str">
        <f t="shared" si="19"/>
        <v/>
      </c>
      <c r="O122" s="16" t="str">
        <f t="shared" si="20"/>
        <v/>
      </c>
      <c r="P122" s="58">
        <v>5</v>
      </c>
      <c r="Q122" s="59">
        <v>6</v>
      </c>
    </row>
    <row r="123" spans="1:20" ht="24" hidden="1" customHeight="1">
      <c r="A123" s="11">
        <v>6</v>
      </c>
      <c r="B123" s="12" t="str">
        <f t="shared" si="15"/>
        <v/>
      </c>
      <c r="C123" s="13"/>
      <c r="D123" s="42" t="str">
        <f t="shared" si="16"/>
        <v/>
      </c>
      <c r="E123" s="32" t="str">
        <f t="shared" si="16"/>
        <v/>
      </c>
      <c r="F123" s="37" t="str">
        <f t="shared" si="16"/>
        <v/>
      </c>
      <c r="G123" s="37" t="str">
        <f t="shared" si="16"/>
        <v/>
      </c>
      <c r="H123" s="37" t="str">
        <f t="shared" si="16"/>
        <v/>
      </c>
      <c r="I123" s="13"/>
      <c r="J123" s="16" t="str">
        <f t="shared" si="17"/>
        <v/>
      </c>
      <c r="K123" s="38" t="str">
        <f t="shared" si="18"/>
        <v/>
      </c>
      <c r="L123" s="38" t="str">
        <f t="shared" si="18"/>
        <v/>
      </c>
      <c r="M123" s="38" t="str">
        <f t="shared" si="18"/>
        <v/>
      </c>
      <c r="N123" s="17" t="str">
        <f t="shared" si="19"/>
        <v/>
      </c>
      <c r="O123" s="16" t="str">
        <f t="shared" si="20"/>
        <v/>
      </c>
      <c r="P123" s="58"/>
      <c r="Q123" s="59"/>
    </row>
    <row r="124" spans="1:20" s="21" customFormat="1" ht="22.5" customHeight="1">
      <c r="A124" s="60" t="s">
        <v>20</v>
      </c>
      <c r="B124" s="61"/>
      <c r="C124" s="61"/>
      <c r="D124" s="61"/>
      <c r="E124" s="61"/>
      <c r="F124" s="61"/>
      <c r="G124" s="61"/>
      <c r="H124" s="61"/>
      <c r="I124" s="36"/>
      <c r="J124" s="18">
        <f>SUM(J118:J123)</f>
        <v>1000000</v>
      </c>
      <c r="K124" s="36"/>
      <c r="L124" s="36"/>
      <c r="M124" s="36"/>
      <c r="N124" s="19">
        <f>SUM(N118:N123)</f>
        <v>0</v>
      </c>
      <c r="O124" s="18">
        <f>SUM(O118:O123)</f>
        <v>1000000</v>
      </c>
      <c r="P124" s="20"/>
      <c r="Q124" s="20"/>
      <c r="T124" s="22"/>
    </row>
    <row r="125" spans="1:20" ht="23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O125" s="23"/>
    </row>
    <row r="126" spans="1:20" ht="17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P126" s="24" t="s">
        <v>182</v>
      </c>
    </row>
    <row r="127" spans="1:20" ht="18" customHeight="1">
      <c r="A127" s="8"/>
      <c r="C127" s="24" t="s">
        <v>21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8"/>
      <c r="P127" s="24" t="s">
        <v>183</v>
      </c>
    </row>
    <row r="128" spans="1:20">
      <c r="A128" s="8"/>
      <c r="C128" s="24" t="s">
        <v>22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8"/>
      <c r="P128" s="24" t="s">
        <v>23</v>
      </c>
    </row>
    <row r="129" spans="1:20">
      <c r="A129" s="8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8"/>
      <c r="P129" s="25"/>
      <c r="T129" s="26"/>
    </row>
    <row r="130" spans="1:20">
      <c r="A130" s="8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8"/>
      <c r="P130" s="25"/>
    </row>
    <row r="131" spans="1:20">
      <c r="A131" s="8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8"/>
      <c r="P131" s="25"/>
    </row>
    <row r="132" spans="1:20">
      <c r="A132" s="8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8"/>
      <c r="P132" s="25"/>
    </row>
    <row r="133" spans="1:20">
      <c r="A133" s="8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8"/>
      <c r="P133" s="25"/>
    </row>
    <row r="134" spans="1:20" ht="15" customHeight="1">
      <c r="A134" s="8"/>
      <c r="C134" s="27" t="str">
        <f>C98</f>
        <v>BADRUDDIN, S.Ag.</v>
      </c>
      <c r="D134" s="27"/>
      <c r="E134" s="28"/>
      <c r="F134" s="28"/>
      <c r="G134" s="28"/>
      <c r="H134" s="28"/>
      <c r="I134" s="28"/>
      <c r="J134" s="28"/>
      <c r="K134" s="28"/>
      <c r="L134" s="8"/>
      <c r="M134" s="8"/>
      <c r="P134" s="27" t="str">
        <f>IF(P98="","",P98)</f>
        <v>DEDE GUNAWAN, S.Pd.</v>
      </c>
    </row>
    <row r="135" spans="1:20" ht="15" customHeight="1">
      <c r="A135" s="8"/>
      <c r="C135" s="27" t="str">
        <f>C99</f>
        <v>NIP. 197405082014121002</v>
      </c>
      <c r="D135" s="27"/>
      <c r="E135" s="28"/>
      <c r="F135" s="28"/>
      <c r="G135" s="28"/>
      <c r="H135" s="28"/>
      <c r="I135" s="28"/>
      <c r="J135" s="28"/>
      <c r="K135" s="28"/>
      <c r="L135" s="8"/>
      <c r="M135" s="8"/>
      <c r="P135" s="27" t="str">
        <f>IF(P99="","",P99)</f>
        <v>NIP. 198507172020121003</v>
      </c>
    </row>
    <row r="144" spans="1:20" ht="17.25" customHeight="1">
      <c r="A144" s="64" t="s">
        <v>40</v>
      </c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</row>
    <row r="145" spans="1:20" ht="17.25" customHeight="1">
      <c r="A145" s="64" t="s">
        <v>176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</row>
    <row r="146" spans="1:20" ht="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20" ht="15" customHeight="1">
      <c r="C147" s="4" t="s">
        <v>0</v>
      </c>
      <c r="D147" s="5" t="s">
        <v>1</v>
      </c>
      <c r="F147" s="5"/>
      <c r="G147" s="5"/>
      <c r="H147" s="5"/>
      <c r="I147" s="5"/>
      <c r="J147" s="5"/>
      <c r="L147" s="6"/>
      <c r="M147" s="7"/>
      <c r="N147" s="4" t="s">
        <v>26</v>
      </c>
      <c r="O147" s="4" t="str">
        <f>O111</f>
        <v>: 07 Pengembangan Standar Pembiayaan</v>
      </c>
      <c r="P147" s="3"/>
    </row>
    <row r="148" spans="1:20" ht="15" customHeight="1">
      <c r="C148" s="4" t="s">
        <v>2</v>
      </c>
      <c r="D148" s="4" t="str">
        <f>D112</f>
        <v>: SD NEGERI LEBAKLEUNGSIR</v>
      </c>
      <c r="F148" s="4"/>
      <c r="G148" s="4"/>
      <c r="H148" s="4"/>
      <c r="I148" s="4"/>
      <c r="J148" s="4"/>
      <c r="L148" s="6"/>
      <c r="N148" s="4" t="s">
        <v>27</v>
      </c>
      <c r="O148" s="4" t="str">
        <f>O112</f>
        <v>: Pembayaran Honor Guru</v>
      </c>
      <c r="P148" s="3"/>
    </row>
    <row r="149" spans="1:20" ht="15" customHeight="1">
      <c r="C149" s="4" t="s">
        <v>3</v>
      </c>
      <c r="D149" s="4" t="str">
        <f>D113</f>
        <v>: Cikalongwetan</v>
      </c>
      <c r="F149" s="4"/>
      <c r="G149" s="4"/>
      <c r="H149" s="4"/>
      <c r="I149" s="4"/>
      <c r="J149" s="4"/>
      <c r="L149" s="6"/>
      <c r="N149" s="8" t="s">
        <v>28</v>
      </c>
      <c r="O149" s="4" t="str">
        <f>O113</f>
        <v>: 5.1.02.02.01.0013</v>
      </c>
      <c r="P149" s="3"/>
    </row>
    <row r="150" spans="1:20" ht="15" customHeight="1">
      <c r="C150" s="4" t="s">
        <v>5</v>
      </c>
      <c r="D150" s="4" t="str">
        <f>D114</f>
        <v>: Bandung Barat</v>
      </c>
      <c r="F150" s="4"/>
      <c r="G150" s="4"/>
      <c r="H150" s="4"/>
      <c r="I150" s="4"/>
      <c r="J150" s="4"/>
      <c r="L150" s="6"/>
      <c r="N150" s="4" t="s">
        <v>7</v>
      </c>
      <c r="O150" s="4" t="str">
        <f>O114</f>
        <v>: 12</v>
      </c>
      <c r="P150" s="3"/>
      <c r="Q150" s="8"/>
    </row>
    <row r="151" spans="1:20" ht="15" customHeight="1">
      <c r="N151" s="8"/>
      <c r="O151" s="8"/>
      <c r="P151" s="8"/>
    </row>
    <row r="152" spans="1:20" ht="18.5" customHeight="1">
      <c r="A152" s="62" t="s">
        <v>8</v>
      </c>
      <c r="B152" s="65" t="s">
        <v>9</v>
      </c>
      <c r="C152" s="66"/>
      <c r="D152" s="62" t="s">
        <v>99</v>
      </c>
      <c r="E152" s="62" t="s">
        <v>10</v>
      </c>
      <c r="F152" s="69" t="s">
        <v>72</v>
      </c>
      <c r="G152" s="70"/>
      <c r="H152" s="70"/>
      <c r="I152" s="71"/>
      <c r="J152" s="72" t="s">
        <v>14</v>
      </c>
      <c r="K152" s="72" t="s">
        <v>11</v>
      </c>
      <c r="L152" s="65" t="s">
        <v>12</v>
      </c>
      <c r="M152" s="66"/>
      <c r="N152" s="74" t="s">
        <v>31</v>
      </c>
      <c r="O152" s="72" t="s">
        <v>16</v>
      </c>
      <c r="P152" s="65" t="s">
        <v>17</v>
      </c>
      <c r="Q152" s="66"/>
    </row>
    <row r="153" spans="1:20" ht="34" customHeight="1">
      <c r="A153" s="63"/>
      <c r="B153" s="67"/>
      <c r="C153" s="68"/>
      <c r="D153" s="63"/>
      <c r="E153" s="63"/>
      <c r="F153" s="35" t="s">
        <v>41</v>
      </c>
      <c r="G153" s="35" t="s">
        <v>73</v>
      </c>
      <c r="H153" s="35" t="s">
        <v>74</v>
      </c>
      <c r="I153" s="35"/>
      <c r="J153" s="73"/>
      <c r="K153" s="73"/>
      <c r="L153" s="67"/>
      <c r="M153" s="68"/>
      <c r="N153" s="75"/>
      <c r="O153" s="73"/>
      <c r="P153" s="67"/>
      <c r="Q153" s="68"/>
    </row>
    <row r="154" spans="1:20" ht="30.5" customHeight="1">
      <c r="A154" s="11">
        <v>1</v>
      </c>
      <c r="B154" s="12" t="str">
        <f t="shared" ref="B154:B159" si="21">IF(B118="","",B118)</f>
        <v>RACHMAWATI</v>
      </c>
      <c r="C154" s="13"/>
      <c r="D154" s="42" t="str">
        <f t="shared" ref="D154:H159" si="22">IF(D118="","",D118)</f>
        <v>9563779680230043</v>
      </c>
      <c r="E154" s="32" t="str">
        <f t="shared" si="22"/>
        <v>Guru Kelas</v>
      </c>
      <c r="F154" s="37">
        <f t="shared" si="22"/>
        <v>650000</v>
      </c>
      <c r="G154" s="37">
        <f t="shared" si="22"/>
        <v>250000</v>
      </c>
      <c r="H154" s="37">
        <f t="shared" si="22"/>
        <v>100000</v>
      </c>
      <c r="I154" s="13"/>
      <c r="J154" s="16">
        <f t="shared" ref="J154:J159" si="23">IF(B154="","",SUM(F154:I154))</f>
        <v>1000000</v>
      </c>
      <c r="K154" s="38" t="str">
        <f t="shared" ref="K154:M159" si="24">IF(K118="","",K118)</f>
        <v>GTT</v>
      </c>
      <c r="L154" s="38">
        <f t="shared" si="24"/>
        <v>1</v>
      </c>
      <c r="M154" s="38" t="str">
        <f t="shared" si="24"/>
        <v>Bulan</v>
      </c>
      <c r="N154" s="17">
        <f>IFERROR(J154*0/100,"")</f>
        <v>0</v>
      </c>
      <c r="O154" s="16">
        <f>IFERROR(SUM(J154*L154)-N154,"")</f>
        <v>1000000</v>
      </c>
      <c r="P154" s="54">
        <v>1</v>
      </c>
      <c r="Q154" s="56">
        <v>2</v>
      </c>
    </row>
    <row r="155" spans="1:20" ht="30.5" customHeight="1">
      <c r="A155" s="11">
        <v>2</v>
      </c>
      <c r="B155" s="12" t="str">
        <f t="shared" si="21"/>
        <v/>
      </c>
      <c r="C155" s="13"/>
      <c r="D155" s="42" t="str">
        <f t="shared" si="22"/>
        <v/>
      </c>
      <c r="E155" s="32" t="str">
        <f t="shared" si="22"/>
        <v/>
      </c>
      <c r="F155" s="37" t="str">
        <f t="shared" si="22"/>
        <v/>
      </c>
      <c r="G155" s="37" t="str">
        <f t="shared" si="22"/>
        <v/>
      </c>
      <c r="H155" s="37" t="str">
        <f t="shared" si="22"/>
        <v/>
      </c>
      <c r="I155" s="13"/>
      <c r="J155" s="16" t="str">
        <f t="shared" si="23"/>
        <v/>
      </c>
      <c r="K155" s="38" t="str">
        <f t="shared" si="24"/>
        <v/>
      </c>
      <c r="L155" s="38" t="str">
        <f t="shared" si="24"/>
        <v/>
      </c>
      <c r="M155" s="38" t="str">
        <f t="shared" si="24"/>
        <v/>
      </c>
      <c r="N155" s="17" t="str">
        <f t="shared" ref="N155:N159" si="25">IFERROR(J155*0/100,"")</f>
        <v/>
      </c>
      <c r="O155" s="16" t="str">
        <f t="shared" ref="O155:O159" si="26">IFERROR(SUM(J155*L155)-N155,"")</f>
        <v/>
      </c>
      <c r="P155" s="55"/>
      <c r="Q155" s="57"/>
    </row>
    <row r="156" spans="1:20" ht="24" hidden="1" customHeight="1">
      <c r="A156" s="11">
        <v>3</v>
      </c>
      <c r="B156" s="12" t="str">
        <f t="shared" si="21"/>
        <v/>
      </c>
      <c r="C156" s="13"/>
      <c r="D156" s="42" t="str">
        <f t="shared" si="22"/>
        <v/>
      </c>
      <c r="E156" s="32" t="str">
        <f t="shared" si="22"/>
        <v/>
      </c>
      <c r="F156" s="37" t="str">
        <f t="shared" si="22"/>
        <v/>
      </c>
      <c r="G156" s="37" t="str">
        <f t="shared" si="22"/>
        <v/>
      </c>
      <c r="H156" s="37" t="str">
        <f t="shared" si="22"/>
        <v/>
      </c>
      <c r="I156" s="13"/>
      <c r="J156" s="16" t="str">
        <f t="shared" si="23"/>
        <v/>
      </c>
      <c r="K156" s="38" t="str">
        <f t="shared" si="24"/>
        <v/>
      </c>
      <c r="L156" s="38" t="str">
        <f t="shared" si="24"/>
        <v/>
      </c>
      <c r="M156" s="38" t="str">
        <f t="shared" si="24"/>
        <v/>
      </c>
      <c r="N156" s="17" t="str">
        <f t="shared" si="25"/>
        <v/>
      </c>
      <c r="O156" s="16" t="str">
        <f t="shared" si="26"/>
        <v/>
      </c>
      <c r="P156" s="54">
        <v>3</v>
      </c>
      <c r="Q156" s="56">
        <v>4</v>
      </c>
    </row>
    <row r="157" spans="1:20" ht="24" hidden="1" customHeight="1">
      <c r="A157" s="11">
        <v>4</v>
      </c>
      <c r="B157" s="12" t="str">
        <f t="shared" si="21"/>
        <v/>
      </c>
      <c r="C157" s="13"/>
      <c r="D157" s="42" t="str">
        <f t="shared" si="22"/>
        <v/>
      </c>
      <c r="E157" s="32" t="str">
        <f t="shared" si="22"/>
        <v/>
      </c>
      <c r="F157" s="37" t="str">
        <f t="shared" si="22"/>
        <v/>
      </c>
      <c r="G157" s="37" t="str">
        <f t="shared" si="22"/>
        <v/>
      </c>
      <c r="H157" s="37" t="str">
        <f t="shared" si="22"/>
        <v/>
      </c>
      <c r="I157" s="13"/>
      <c r="J157" s="16" t="str">
        <f t="shared" si="23"/>
        <v/>
      </c>
      <c r="K157" s="38" t="str">
        <f t="shared" si="24"/>
        <v/>
      </c>
      <c r="L157" s="38" t="str">
        <f t="shared" si="24"/>
        <v/>
      </c>
      <c r="M157" s="38" t="str">
        <f t="shared" si="24"/>
        <v/>
      </c>
      <c r="N157" s="17" t="str">
        <f t="shared" si="25"/>
        <v/>
      </c>
      <c r="O157" s="16" t="str">
        <f t="shared" si="26"/>
        <v/>
      </c>
      <c r="P157" s="55"/>
      <c r="Q157" s="57"/>
    </row>
    <row r="158" spans="1:20" ht="24" hidden="1" customHeight="1">
      <c r="A158" s="11">
        <v>5</v>
      </c>
      <c r="B158" s="12" t="str">
        <f t="shared" si="21"/>
        <v/>
      </c>
      <c r="C158" s="13"/>
      <c r="D158" s="42" t="str">
        <f t="shared" si="22"/>
        <v/>
      </c>
      <c r="E158" s="32" t="str">
        <f t="shared" si="22"/>
        <v/>
      </c>
      <c r="F158" s="37" t="str">
        <f t="shared" si="22"/>
        <v/>
      </c>
      <c r="G158" s="37" t="str">
        <f t="shared" si="22"/>
        <v/>
      </c>
      <c r="H158" s="37" t="str">
        <f t="shared" si="22"/>
        <v/>
      </c>
      <c r="I158" s="13"/>
      <c r="J158" s="16" t="str">
        <f t="shared" si="23"/>
        <v/>
      </c>
      <c r="K158" s="38" t="str">
        <f t="shared" si="24"/>
        <v/>
      </c>
      <c r="L158" s="38" t="str">
        <f t="shared" si="24"/>
        <v/>
      </c>
      <c r="M158" s="38" t="str">
        <f t="shared" si="24"/>
        <v/>
      </c>
      <c r="N158" s="17" t="str">
        <f t="shared" si="25"/>
        <v/>
      </c>
      <c r="O158" s="16" t="str">
        <f t="shared" si="26"/>
        <v/>
      </c>
      <c r="P158" s="58">
        <v>5</v>
      </c>
      <c r="Q158" s="59">
        <v>6</v>
      </c>
    </row>
    <row r="159" spans="1:20" ht="24" hidden="1" customHeight="1">
      <c r="A159" s="11">
        <v>6</v>
      </c>
      <c r="B159" s="12" t="str">
        <f t="shared" si="21"/>
        <v/>
      </c>
      <c r="C159" s="13"/>
      <c r="D159" s="42" t="str">
        <f t="shared" si="22"/>
        <v/>
      </c>
      <c r="E159" s="32" t="str">
        <f t="shared" si="22"/>
        <v/>
      </c>
      <c r="F159" s="37" t="str">
        <f t="shared" si="22"/>
        <v/>
      </c>
      <c r="G159" s="37" t="str">
        <f t="shared" si="22"/>
        <v/>
      </c>
      <c r="H159" s="37" t="str">
        <f t="shared" si="22"/>
        <v/>
      </c>
      <c r="I159" s="13"/>
      <c r="J159" s="16" t="str">
        <f t="shared" si="23"/>
        <v/>
      </c>
      <c r="K159" s="38" t="str">
        <f t="shared" si="24"/>
        <v/>
      </c>
      <c r="L159" s="38" t="str">
        <f t="shared" si="24"/>
        <v/>
      </c>
      <c r="M159" s="38" t="str">
        <f t="shared" si="24"/>
        <v/>
      </c>
      <c r="N159" s="17" t="str">
        <f t="shared" si="25"/>
        <v/>
      </c>
      <c r="O159" s="16" t="str">
        <f t="shared" si="26"/>
        <v/>
      </c>
      <c r="P159" s="58"/>
      <c r="Q159" s="59"/>
    </row>
    <row r="160" spans="1:20" s="21" customFormat="1" ht="22.5" customHeight="1">
      <c r="A160" s="60" t="s">
        <v>20</v>
      </c>
      <c r="B160" s="61"/>
      <c r="C160" s="61"/>
      <c r="D160" s="61"/>
      <c r="E160" s="61"/>
      <c r="F160" s="61"/>
      <c r="G160" s="61"/>
      <c r="H160" s="61"/>
      <c r="I160" s="36"/>
      <c r="J160" s="18">
        <f>SUM(J154:J159)</f>
        <v>1000000</v>
      </c>
      <c r="K160" s="36"/>
      <c r="L160" s="36"/>
      <c r="M160" s="36"/>
      <c r="N160" s="19">
        <f>SUM(N154:N159)</f>
        <v>0</v>
      </c>
      <c r="O160" s="18">
        <f>SUM(O154:O159)</f>
        <v>1000000</v>
      </c>
      <c r="P160" s="20"/>
      <c r="Q160" s="20"/>
      <c r="T160" s="22"/>
    </row>
    <row r="161" spans="1:20" ht="23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O161" s="23"/>
    </row>
    <row r="162" spans="1:20" ht="17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P162" s="24" t="s">
        <v>186</v>
      </c>
    </row>
    <row r="163" spans="1:20" ht="18" customHeight="1">
      <c r="A163" s="8"/>
      <c r="C163" s="24" t="s">
        <v>21</v>
      </c>
      <c r="D163" s="24"/>
      <c r="E163" s="24"/>
      <c r="F163" s="24"/>
      <c r="G163" s="24"/>
      <c r="H163" s="24"/>
      <c r="I163" s="24"/>
      <c r="J163" s="24"/>
      <c r="K163" s="24"/>
      <c r="L163" s="24"/>
      <c r="M163" s="8"/>
      <c r="P163" s="24" t="s">
        <v>192</v>
      </c>
    </row>
    <row r="164" spans="1:20">
      <c r="A164" s="8"/>
      <c r="C164" s="24" t="s">
        <v>22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8"/>
      <c r="P164" s="24" t="s">
        <v>23</v>
      </c>
    </row>
    <row r="165" spans="1:20">
      <c r="A165" s="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8"/>
      <c r="P165" s="25"/>
      <c r="T165" s="26"/>
    </row>
    <row r="166" spans="1:20">
      <c r="A166" s="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8"/>
      <c r="P166" s="25"/>
    </row>
    <row r="167" spans="1:20">
      <c r="A167" s="8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8"/>
      <c r="P167" s="25"/>
    </row>
    <row r="168" spans="1:20">
      <c r="A168" s="8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8"/>
      <c r="P168" s="25"/>
    </row>
    <row r="169" spans="1:20">
      <c r="A169" s="8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8"/>
      <c r="P169" s="25"/>
    </row>
    <row r="170" spans="1:20" ht="15" customHeight="1">
      <c r="A170" s="8"/>
      <c r="C170" s="27" t="str">
        <f>IF(C134="","",C134)</f>
        <v>BADRUDDIN, S.Ag.</v>
      </c>
      <c r="D170" s="27"/>
      <c r="E170" s="28"/>
      <c r="F170" s="28"/>
      <c r="G170" s="28"/>
      <c r="H170" s="28"/>
      <c r="I170" s="28"/>
      <c r="J170" s="28"/>
      <c r="K170" s="28"/>
      <c r="L170" s="8"/>
      <c r="M170" s="8"/>
      <c r="P170" s="27" t="str">
        <f>IF(P134="","",P134)</f>
        <v>DEDE GUNAWAN, S.Pd.</v>
      </c>
    </row>
    <row r="171" spans="1:20" ht="15" customHeight="1">
      <c r="A171" s="8"/>
      <c r="C171" s="27" t="str">
        <f>IF(C135="","",C135)</f>
        <v>NIP. 197405082014121002</v>
      </c>
      <c r="D171" s="27"/>
      <c r="E171" s="28"/>
      <c r="F171" s="28"/>
      <c r="G171" s="28"/>
      <c r="H171" s="28"/>
      <c r="I171" s="28"/>
      <c r="J171" s="28"/>
      <c r="K171" s="28"/>
      <c r="L171" s="8"/>
      <c r="M171" s="8"/>
      <c r="P171" s="27" t="str">
        <f>IF(P135="","",P135)</f>
        <v>NIP. 198507172020121003</v>
      </c>
    </row>
    <row r="180" spans="1:17" ht="17.25" customHeight="1">
      <c r="A180" s="64" t="s">
        <v>40</v>
      </c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</row>
    <row r="181" spans="1:17" ht="17.25" customHeight="1">
      <c r="A181" s="64" t="s">
        <v>177</v>
      </c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</row>
    <row r="182" spans="1:17" ht="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" customHeight="1">
      <c r="C183" s="4" t="s">
        <v>0</v>
      </c>
      <c r="D183" s="5" t="s">
        <v>1</v>
      </c>
      <c r="F183" s="5"/>
      <c r="G183" s="5"/>
      <c r="H183" s="5"/>
      <c r="I183" s="5"/>
      <c r="J183" s="5"/>
      <c r="L183" s="6"/>
      <c r="M183" s="7"/>
      <c r="N183" s="4" t="s">
        <v>26</v>
      </c>
      <c r="O183" s="4" t="str">
        <f>O147</f>
        <v>: 07 Pengembangan Standar Pembiayaan</v>
      </c>
      <c r="P183" s="3"/>
    </row>
    <row r="184" spans="1:17" ht="15" customHeight="1">
      <c r="C184" s="4" t="s">
        <v>2</v>
      </c>
      <c r="D184" s="4" t="str">
        <f>D148</f>
        <v>: SD NEGERI LEBAKLEUNGSIR</v>
      </c>
      <c r="F184" s="4"/>
      <c r="G184" s="4"/>
      <c r="H184" s="4"/>
      <c r="I184" s="4"/>
      <c r="J184" s="4"/>
      <c r="L184" s="6"/>
      <c r="N184" s="4" t="s">
        <v>27</v>
      </c>
      <c r="O184" s="4" t="str">
        <f>O148</f>
        <v>: Pembayaran Honor Guru</v>
      </c>
      <c r="P184" s="3"/>
    </row>
    <row r="185" spans="1:17" ht="15" customHeight="1">
      <c r="C185" s="4" t="s">
        <v>3</v>
      </c>
      <c r="D185" s="4" t="str">
        <f>D149</f>
        <v>: Cikalongwetan</v>
      </c>
      <c r="F185" s="4"/>
      <c r="G185" s="4"/>
      <c r="H185" s="4"/>
      <c r="I185" s="4"/>
      <c r="J185" s="4"/>
      <c r="L185" s="6"/>
      <c r="N185" s="8" t="s">
        <v>28</v>
      </c>
      <c r="O185" s="4" t="str">
        <f>O149</f>
        <v>: 5.1.02.02.01.0013</v>
      </c>
      <c r="P185" s="3"/>
    </row>
    <row r="186" spans="1:17" ht="15" customHeight="1">
      <c r="C186" s="4" t="s">
        <v>5</v>
      </c>
      <c r="D186" s="4" t="str">
        <f>D150</f>
        <v>: Bandung Barat</v>
      </c>
      <c r="F186" s="4"/>
      <c r="G186" s="4"/>
      <c r="H186" s="4"/>
      <c r="I186" s="4"/>
      <c r="J186" s="4"/>
      <c r="L186" s="6"/>
      <c r="N186" s="4" t="s">
        <v>7</v>
      </c>
      <c r="O186" s="4" t="str">
        <f>O150</f>
        <v>: 12</v>
      </c>
      <c r="P186" s="3"/>
      <c r="Q186" s="8"/>
    </row>
    <row r="187" spans="1:17" ht="15" customHeight="1">
      <c r="N187" s="8"/>
      <c r="O187" s="8"/>
      <c r="P187" s="8"/>
    </row>
    <row r="188" spans="1:17" ht="18.5" customHeight="1">
      <c r="A188" s="62" t="s">
        <v>8</v>
      </c>
      <c r="B188" s="65" t="s">
        <v>9</v>
      </c>
      <c r="C188" s="66"/>
      <c r="D188" s="62" t="s">
        <v>99</v>
      </c>
      <c r="E188" s="62" t="s">
        <v>10</v>
      </c>
      <c r="F188" s="69" t="s">
        <v>72</v>
      </c>
      <c r="G188" s="70"/>
      <c r="H188" s="70"/>
      <c r="I188" s="71"/>
      <c r="J188" s="72" t="s">
        <v>14</v>
      </c>
      <c r="K188" s="72" t="s">
        <v>11</v>
      </c>
      <c r="L188" s="65" t="s">
        <v>12</v>
      </c>
      <c r="M188" s="66"/>
      <c r="N188" s="74" t="s">
        <v>31</v>
      </c>
      <c r="O188" s="72" t="s">
        <v>16</v>
      </c>
      <c r="P188" s="65" t="s">
        <v>17</v>
      </c>
      <c r="Q188" s="66"/>
    </row>
    <row r="189" spans="1:17" ht="34" customHeight="1">
      <c r="A189" s="63"/>
      <c r="B189" s="67"/>
      <c r="C189" s="68"/>
      <c r="D189" s="63"/>
      <c r="E189" s="63"/>
      <c r="F189" s="35" t="s">
        <v>41</v>
      </c>
      <c r="G189" s="35" t="s">
        <v>73</v>
      </c>
      <c r="H189" s="35" t="s">
        <v>74</v>
      </c>
      <c r="I189" s="35"/>
      <c r="J189" s="73"/>
      <c r="K189" s="73"/>
      <c r="L189" s="67"/>
      <c r="M189" s="68"/>
      <c r="N189" s="75"/>
      <c r="O189" s="73"/>
      <c r="P189" s="67"/>
      <c r="Q189" s="68"/>
    </row>
    <row r="190" spans="1:17" ht="30.5" customHeight="1">
      <c r="A190" s="11">
        <v>1</v>
      </c>
      <c r="B190" s="12" t="str">
        <f t="shared" ref="B190:B195" si="27">IF(B154="","",B154)</f>
        <v>RACHMAWATI</v>
      </c>
      <c r="C190" s="13"/>
      <c r="D190" s="42" t="str">
        <f t="shared" ref="D190:H195" si="28">IF(D154="","",D154)</f>
        <v>9563779680230043</v>
      </c>
      <c r="E190" s="32" t="str">
        <f t="shared" si="28"/>
        <v>Guru Kelas</v>
      </c>
      <c r="F190" s="37">
        <f t="shared" si="28"/>
        <v>650000</v>
      </c>
      <c r="G190" s="37">
        <f t="shared" si="28"/>
        <v>250000</v>
      </c>
      <c r="H190" s="37">
        <f t="shared" si="28"/>
        <v>100000</v>
      </c>
      <c r="I190" s="13"/>
      <c r="J190" s="16">
        <f t="shared" ref="J190:J195" si="29">IF(B190="","",SUM(F190:I190))</f>
        <v>1000000</v>
      </c>
      <c r="K190" s="38" t="str">
        <f t="shared" ref="K190:M195" si="30">IF(K154="","",K154)</f>
        <v>GTT</v>
      </c>
      <c r="L190" s="38">
        <f t="shared" si="30"/>
        <v>1</v>
      </c>
      <c r="M190" s="38" t="str">
        <f t="shared" si="30"/>
        <v>Bulan</v>
      </c>
      <c r="N190" s="17">
        <f>IFERROR(J190*0/100,"")</f>
        <v>0</v>
      </c>
      <c r="O190" s="16">
        <f>IFERROR(SUM(J190*L190)-N190,"")</f>
        <v>1000000</v>
      </c>
      <c r="P190" s="54">
        <v>1</v>
      </c>
      <c r="Q190" s="56">
        <v>2</v>
      </c>
    </row>
    <row r="191" spans="1:17" ht="30.5" customHeight="1">
      <c r="A191" s="11">
        <v>2</v>
      </c>
      <c r="B191" s="12" t="str">
        <f t="shared" si="27"/>
        <v/>
      </c>
      <c r="C191" s="13"/>
      <c r="D191" s="42" t="str">
        <f t="shared" si="28"/>
        <v/>
      </c>
      <c r="E191" s="32" t="str">
        <f t="shared" si="28"/>
        <v/>
      </c>
      <c r="F191" s="37" t="str">
        <f t="shared" si="28"/>
        <v/>
      </c>
      <c r="G191" s="37" t="str">
        <f t="shared" si="28"/>
        <v/>
      </c>
      <c r="H191" s="37" t="str">
        <f t="shared" si="28"/>
        <v/>
      </c>
      <c r="I191" s="13"/>
      <c r="J191" s="16" t="str">
        <f t="shared" si="29"/>
        <v/>
      </c>
      <c r="K191" s="38" t="str">
        <f t="shared" si="30"/>
        <v/>
      </c>
      <c r="L191" s="38" t="str">
        <f t="shared" si="30"/>
        <v/>
      </c>
      <c r="M191" s="38" t="str">
        <f t="shared" si="30"/>
        <v/>
      </c>
      <c r="N191" s="17" t="str">
        <f t="shared" ref="N191:N195" si="31">IFERROR(J191*0/100,"")</f>
        <v/>
      </c>
      <c r="O191" s="16" t="str">
        <f t="shared" ref="O191:O195" si="32">IFERROR(SUM(J191*L191)-N191,"")</f>
        <v/>
      </c>
      <c r="P191" s="55"/>
      <c r="Q191" s="57"/>
    </row>
    <row r="192" spans="1:17" ht="24" hidden="1" customHeight="1">
      <c r="A192" s="11">
        <v>3</v>
      </c>
      <c r="B192" s="12" t="str">
        <f t="shared" si="27"/>
        <v/>
      </c>
      <c r="C192" s="13"/>
      <c r="D192" s="42" t="str">
        <f t="shared" si="28"/>
        <v/>
      </c>
      <c r="E192" s="32" t="str">
        <f t="shared" si="28"/>
        <v/>
      </c>
      <c r="F192" s="37" t="str">
        <f t="shared" si="28"/>
        <v/>
      </c>
      <c r="G192" s="37" t="str">
        <f t="shared" si="28"/>
        <v/>
      </c>
      <c r="H192" s="37" t="str">
        <f t="shared" si="28"/>
        <v/>
      </c>
      <c r="I192" s="13"/>
      <c r="J192" s="16" t="str">
        <f t="shared" si="29"/>
        <v/>
      </c>
      <c r="K192" s="38" t="str">
        <f t="shared" si="30"/>
        <v/>
      </c>
      <c r="L192" s="38" t="str">
        <f t="shared" si="30"/>
        <v/>
      </c>
      <c r="M192" s="38" t="str">
        <f t="shared" si="30"/>
        <v/>
      </c>
      <c r="N192" s="17" t="str">
        <f t="shared" si="31"/>
        <v/>
      </c>
      <c r="O192" s="16" t="str">
        <f t="shared" si="32"/>
        <v/>
      </c>
      <c r="P192" s="54">
        <v>3</v>
      </c>
      <c r="Q192" s="56">
        <v>4</v>
      </c>
    </row>
    <row r="193" spans="1:20" ht="24" hidden="1" customHeight="1">
      <c r="A193" s="11">
        <v>4</v>
      </c>
      <c r="B193" s="12" t="str">
        <f t="shared" si="27"/>
        <v/>
      </c>
      <c r="C193" s="13"/>
      <c r="D193" s="42" t="str">
        <f t="shared" si="28"/>
        <v/>
      </c>
      <c r="E193" s="32" t="str">
        <f t="shared" si="28"/>
        <v/>
      </c>
      <c r="F193" s="37" t="str">
        <f t="shared" si="28"/>
        <v/>
      </c>
      <c r="G193" s="37" t="str">
        <f t="shared" si="28"/>
        <v/>
      </c>
      <c r="H193" s="37" t="str">
        <f t="shared" si="28"/>
        <v/>
      </c>
      <c r="I193" s="13"/>
      <c r="J193" s="16" t="str">
        <f t="shared" si="29"/>
        <v/>
      </c>
      <c r="K193" s="38" t="str">
        <f t="shared" si="30"/>
        <v/>
      </c>
      <c r="L193" s="38" t="str">
        <f t="shared" si="30"/>
        <v/>
      </c>
      <c r="M193" s="38" t="str">
        <f t="shared" si="30"/>
        <v/>
      </c>
      <c r="N193" s="17" t="str">
        <f t="shared" si="31"/>
        <v/>
      </c>
      <c r="O193" s="16" t="str">
        <f t="shared" si="32"/>
        <v/>
      </c>
      <c r="P193" s="55"/>
      <c r="Q193" s="57"/>
    </row>
    <row r="194" spans="1:20" ht="24" hidden="1" customHeight="1">
      <c r="A194" s="11">
        <v>5</v>
      </c>
      <c r="B194" s="12" t="str">
        <f t="shared" si="27"/>
        <v/>
      </c>
      <c r="C194" s="13"/>
      <c r="D194" s="42" t="str">
        <f t="shared" si="28"/>
        <v/>
      </c>
      <c r="E194" s="32" t="str">
        <f t="shared" si="28"/>
        <v/>
      </c>
      <c r="F194" s="37" t="str">
        <f t="shared" si="28"/>
        <v/>
      </c>
      <c r="G194" s="37" t="str">
        <f t="shared" si="28"/>
        <v/>
      </c>
      <c r="H194" s="37" t="str">
        <f t="shared" si="28"/>
        <v/>
      </c>
      <c r="I194" s="13"/>
      <c r="J194" s="16" t="str">
        <f t="shared" si="29"/>
        <v/>
      </c>
      <c r="K194" s="38" t="str">
        <f t="shared" si="30"/>
        <v/>
      </c>
      <c r="L194" s="38" t="str">
        <f t="shared" si="30"/>
        <v/>
      </c>
      <c r="M194" s="38" t="str">
        <f t="shared" si="30"/>
        <v/>
      </c>
      <c r="N194" s="17" t="str">
        <f t="shared" si="31"/>
        <v/>
      </c>
      <c r="O194" s="16" t="str">
        <f t="shared" si="32"/>
        <v/>
      </c>
      <c r="P194" s="58">
        <v>5</v>
      </c>
      <c r="Q194" s="59">
        <v>6</v>
      </c>
    </row>
    <row r="195" spans="1:20" ht="24" hidden="1" customHeight="1">
      <c r="A195" s="11">
        <v>6</v>
      </c>
      <c r="B195" s="12" t="str">
        <f t="shared" si="27"/>
        <v/>
      </c>
      <c r="C195" s="13"/>
      <c r="D195" s="42" t="str">
        <f t="shared" si="28"/>
        <v/>
      </c>
      <c r="E195" s="32" t="str">
        <f t="shared" si="28"/>
        <v/>
      </c>
      <c r="F195" s="37" t="str">
        <f t="shared" si="28"/>
        <v/>
      </c>
      <c r="G195" s="37" t="str">
        <f t="shared" si="28"/>
        <v/>
      </c>
      <c r="H195" s="37" t="str">
        <f t="shared" si="28"/>
        <v/>
      </c>
      <c r="I195" s="13"/>
      <c r="J195" s="16" t="str">
        <f t="shared" si="29"/>
        <v/>
      </c>
      <c r="K195" s="38" t="str">
        <f t="shared" si="30"/>
        <v/>
      </c>
      <c r="L195" s="38" t="str">
        <f t="shared" si="30"/>
        <v/>
      </c>
      <c r="M195" s="38" t="str">
        <f t="shared" si="30"/>
        <v/>
      </c>
      <c r="N195" s="17" t="str">
        <f t="shared" si="31"/>
        <v/>
      </c>
      <c r="O195" s="16" t="str">
        <f t="shared" si="32"/>
        <v/>
      </c>
      <c r="P195" s="58"/>
      <c r="Q195" s="59"/>
    </row>
    <row r="196" spans="1:20" s="21" customFormat="1" ht="22.5" customHeight="1">
      <c r="A196" s="60" t="s">
        <v>20</v>
      </c>
      <c r="B196" s="61"/>
      <c r="C196" s="61"/>
      <c r="D196" s="61"/>
      <c r="E196" s="61"/>
      <c r="F196" s="61"/>
      <c r="G196" s="61"/>
      <c r="H196" s="61"/>
      <c r="I196" s="36"/>
      <c r="J196" s="18">
        <f>SUM(J190:J195)</f>
        <v>1000000</v>
      </c>
      <c r="K196" s="36"/>
      <c r="L196" s="36"/>
      <c r="M196" s="36"/>
      <c r="N196" s="19">
        <f>SUM(N190:N195)</f>
        <v>0</v>
      </c>
      <c r="O196" s="18">
        <f>SUM(O190:O195)</f>
        <v>1000000</v>
      </c>
      <c r="P196" s="20"/>
      <c r="Q196" s="20"/>
      <c r="T196" s="22"/>
    </row>
    <row r="197" spans="1:20" ht="23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O197" s="23"/>
    </row>
    <row r="198" spans="1:20" ht="17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P198" s="24" t="s">
        <v>184</v>
      </c>
    </row>
    <row r="199" spans="1:20" ht="18" customHeight="1">
      <c r="A199" s="8"/>
      <c r="C199" s="24" t="s">
        <v>21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8"/>
      <c r="P199" s="24" t="s">
        <v>185</v>
      </c>
    </row>
    <row r="200" spans="1:20">
      <c r="A200" s="8"/>
      <c r="C200" s="24" t="s">
        <v>22</v>
      </c>
      <c r="D200" s="24"/>
      <c r="E200" s="24"/>
      <c r="F200" s="24"/>
      <c r="G200" s="24"/>
      <c r="H200" s="24"/>
      <c r="I200" s="24"/>
      <c r="J200" s="24"/>
      <c r="K200" s="24"/>
      <c r="L200" s="24"/>
      <c r="M200" s="8"/>
      <c r="P200" s="24" t="s">
        <v>23</v>
      </c>
    </row>
    <row r="201" spans="1:20">
      <c r="A201" s="8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8"/>
      <c r="P201" s="25"/>
      <c r="T201" s="26"/>
    </row>
    <row r="202" spans="1:20">
      <c r="A202" s="8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8"/>
      <c r="P202" s="25"/>
    </row>
    <row r="203" spans="1:20">
      <c r="A203" s="8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8"/>
      <c r="P203" s="25"/>
    </row>
    <row r="204" spans="1:20">
      <c r="A204" s="8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8"/>
      <c r="P204" s="25"/>
    </row>
    <row r="205" spans="1:20">
      <c r="A205" s="8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8"/>
      <c r="P205" s="25"/>
    </row>
    <row r="206" spans="1:20" ht="15" customHeight="1">
      <c r="A206" s="8"/>
      <c r="C206" s="27" t="str">
        <f>IF(C170="","",C170)</f>
        <v>BADRUDDIN, S.Ag.</v>
      </c>
      <c r="D206" s="27"/>
      <c r="E206" s="28"/>
      <c r="F206" s="28"/>
      <c r="G206" s="28"/>
      <c r="H206" s="28"/>
      <c r="I206" s="28"/>
      <c r="J206" s="28"/>
      <c r="K206" s="28"/>
      <c r="L206" s="8"/>
      <c r="M206" s="8"/>
      <c r="P206" s="27" t="str">
        <f>IF(P170="","",P170)</f>
        <v>DEDE GUNAWAN, S.Pd.</v>
      </c>
    </row>
    <row r="207" spans="1:20" ht="15" customHeight="1">
      <c r="A207" s="8"/>
      <c r="C207" s="27" t="str">
        <f>IF(C171="","",C171)</f>
        <v>NIP. 197405082014121002</v>
      </c>
      <c r="D207" s="27"/>
      <c r="E207" s="28"/>
      <c r="F207" s="28"/>
      <c r="G207" s="28"/>
      <c r="H207" s="28"/>
      <c r="I207" s="28"/>
      <c r="J207" s="28"/>
      <c r="K207" s="28"/>
      <c r="L207" s="8"/>
      <c r="M207" s="8"/>
      <c r="P207" s="27" t="str">
        <f>IF(P171="","",P171)</f>
        <v>NIP. 198507172020121003</v>
      </c>
    </row>
    <row r="216" spans="1:17" ht="17.25" customHeight="1">
      <c r="A216" s="64" t="s">
        <v>40</v>
      </c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</row>
    <row r="217" spans="1:17" ht="17.25" customHeight="1">
      <c r="A217" s="64" t="s">
        <v>125</v>
      </c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</row>
    <row r="218" spans="1:17" ht="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" customHeight="1">
      <c r="C219" s="4" t="s">
        <v>0</v>
      </c>
      <c r="D219" s="5" t="s">
        <v>1</v>
      </c>
      <c r="F219" s="5"/>
      <c r="G219" s="5"/>
      <c r="H219" s="5"/>
      <c r="I219" s="5"/>
      <c r="J219" s="5"/>
      <c r="L219" s="6"/>
      <c r="M219" s="7"/>
      <c r="N219" s="4" t="s">
        <v>26</v>
      </c>
      <c r="O219" s="4" t="str">
        <f>O183</f>
        <v>: 07 Pengembangan Standar Pembiayaan</v>
      </c>
      <c r="P219" s="3"/>
    </row>
    <row r="220" spans="1:17" ht="15" customHeight="1">
      <c r="C220" s="4" t="s">
        <v>2</v>
      </c>
      <c r="D220" s="4" t="str">
        <f>D184</f>
        <v>: SD NEGERI LEBAKLEUNGSIR</v>
      </c>
      <c r="F220" s="4"/>
      <c r="G220" s="4"/>
      <c r="H220" s="4"/>
      <c r="I220" s="4"/>
      <c r="J220" s="4"/>
      <c r="L220" s="6"/>
      <c r="N220" s="4" t="s">
        <v>27</v>
      </c>
      <c r="O220" s="4" t="str">
        <f>O184</f>
        <v>: Pembayaran Honor Guru</v>
      </c>
      <c r="P220" s="3"/>
    </row>
    <row r="221" spans="1:17" ht="15" customHeight="1">
      <c r="C221" s="4" t="s">
        <v>3</v>
      </c>
      <c r="D221" s="4" t="str">
        <f>D185</f>
        <v>: Cikalongwetan</v>
      </c>
      <c r="F221" s="4"/>
      <c r="G221" s="4"/>
      <c r="H221" s="4"/>
      <c r="I221" s="4"/>
      <c r="J221" s="4"/>
      <c r="L221" s="6"/>
      <c r="N221" s="8" t="s">
        <v>28</v>
      </c>
      <c r="O221" s="4" t="str">
        <f>O185</f>
        <v>: 5.1.02.02.01.0013</v>
      </c>
      <c r="P221" s="3"/>
    </row>
    <row r="222" spans="1:17" ht="15" customHeight="1">
      <c r="C222" s="4" t="s">
        <v>5</v>
      </c>
      <c r="D222" s="4" t="str">
        <f>D186</f>
        <v>: Bandung Barat</v>
      </c>
      <c r="F222" s="4"/>
      <c r="G222" s="4"/>
      <c r="H222" s="4"/>
      <c r="I222" s="4"/>
      <c r="J222" s="4"/>
      <c r="L222" s="6"/>
      <c r="N222" s="4" t="s">
        <v>7</v>
      </c>
      <c r="O222" s="4" t="str">
        <f>O186</f>
        <v>: 12</v>
      </c>
      <c r="P222" s="3"/>
      <c r="Q222" s="8"/>
    </row>
    <row r="223" spans="1:17" ht="15" customHeight="1">
      <c r="N223" s="8"/>
      <c r="O223" s="8"/>
      <c r="P223" s="8"/>
    </row>
    <row r="224" spans="1:17" ht="18.5" customHeight="1">
      <c r="A224" s="62" t="s">
        <v>8</v>
      </c>
      <c r="B224" s="65" t="s">
        <v>9</v>
      </c>
      <c r="C224" s="66"/>
      <c r="D224" s="62" t="s">
        <v>99</v>
      </c>
      <c r="E224" s="62" t="s">
        <v>10</v>
      </c>
      <c r="F224" s="69" t="s">
        <v>72</v>
      </c>
      <c r="G224" s="70"/>
      <c r="H224" s="70"/>
      <c r="I224" s="71"/>
      <c r="J224" s="72" t="s">
        <v>14</v>
      </c>
      <c r="K224" s="72" t="s">
        <v>11</v>
      </c>
      <c r="L224" s="65" t="s">
        <v>12</v>
      </c>
      <c r="M224" s="66"/>
      <c r="N224" s="74" t="s">
        <v>31</v>
      </c>
      <c r="O224" s="72" t="s">
        <v>16</v>
      </c>
      <c r="P224" s="65" t="s">
        <v>17</v>
      </c>
      <c r="Q224" s="66"/>
    </row>
    <row r="225" spans="1:20" ht="34" customHeight="1">
      <c r="A225" s="63"/>
      <c r="B225" s="67"/>
      <c r="C225" s="68"/>
      <c r="D225" s="63"/>
      <c r="E225" s="63"/>
      <c r="F225" s="35" t="s">
        <v>41</v>
      </c>
      <c r="G225" s="35" t="s">
        <v>73</v>
      </c>
      <c r="H225" s="35" t="s">
        <v>74</v>
      </c>
      <c r="I225" s="35"/>
      <c r="J225" s="73"/>
      <c r="K225" s="73"/>
      <c r="L225" s="67"/>
      <c r="M225" s="68"/>
      <c r="N225" s="75"/>
      <c r="O225" s="73"/>
      <c r="P225" s="67"/>
      <c r="Q225" s="68"/>
    </row>
    <row r="226" spans="1:20" ht="24" customHeight="1">
      <c r="A226" s="11">
        <v>1</v>
      </c>
      <c r="B226" s="12" t="s">
        <v>150</v>
      </c>
      <c r="C226" s="13"/>
      <c r="D226" s="42" t="s">
        <v>124</v>
      </c>
      <c r="E226" s="32" t="s">
        <v>52</v>
      </c>
      <c r="F226" s="37">
        <v>400000</v>
      </c>
      <c r="G226" s="37">
        <v>150000</v>
      </c>
      <c r="H226" s="37">
        <f>IF(H190="","",H190)</f>
        <v>100000</v>
      </c>
      <c r="I226" s="13"/>
      <c r="J226" s="16">
        <f t="shared" ref="J226:J231" si="33">IF(B226="","",SUM(F226:I226))</f>
        <v>650000</v>
      </c>
      <c r="K226" s="38" t="str">
        <f t="shared" ref="K226:M227" si="34">IF(K190="","",K190)</f>
        <v>GTT</v>
      </c>
      <c r="L226" s="38">
        <f t="shared" si="34"/>
        <v>1</v>
      </c>
      <c r="M226" s="38" t="str">
        <f t="shared" si="34"/>
        <v>Bulan</v>
      </c>
      <c r="N226" s="17">
        <f>IFERROR(J226*0/100,"")</f>
        <v>0</v>
      </c>
      <c r="O226" s="16">
        <f>IFERROR(SUM(J226*L226)-N226,"")</f>
        <v>650000</v>
      </c>
      <c r="P226" s="54">
        <v>1</v>
      </c>
      <c r="Q226" s="56">
        <v>2</v>
      </c>
    </row>
    <row r="227" spans="1:20" ht="24" customHeight="1">
      <c r="A227" s="11">
        <v>2</v>
      </c>
      <c r="B227" s="12" t="str">
        <f>IF(B191="","",B191)</f>
        <v/>
      </c>
      <c r="C227" s="13"/>
      <c r="D227" s="42" t="s">
        <v>100</v>
      </c>
      <c r="E227" s="32" t="s">
        <v>151</v>
      </c>
      <c r="F227" s="37">
        <v>250000</v>
      </c>
      <c r="G227" s="37" t="str">
        <f>IF(G191="","",G191)</f>
        <v/>
      </c>
      <c r="H227" s="37" t="str">
        <f>IF(H191="","",H191)</f>
        <v/>
      </c>
      <c r="I227" s="13"/>
      <c r="J227" s="16" t="str">
        <f t="shared" si="33"/>
        <v/>
      </c>
      <c r="K227" s="38" t="str">
        <f t="shared" si="34"/>
        <v/>
      </c>
      <c r="L227" s="38" t="str">
        <f t="shared" si="34"/>
        <v/>
      </c>
      <c r="M227" s="38" t="str">
        <f t="shared" si="34"/>
        <v/>
      </c>
      <c r="N227" s="17" t="str">
        <f t="shared" ref="N227:N231" si="35">IFERROR(J227*0/100,"")</f>
        <v/>
      </c>
      <c r="O227" s="16" t="str">
        <f t="shared" ref="O227:O231" si="36">IFERROR(SUM(J227*L227)-N227,"")</f>
        <v/>
      </c>
      <c r="P227" s="55"/>
      <c r="Q227" s="57"/>
    </row>
    <row r="228" spans="1:20" ht="24" customHeight="1">
      <c r="A228" s="11">
        <v>3</v>
      </c>
      <c r="B228" s="12"/>
      <c r="C228" s="13"/>
      <c r="D228" s="42"/>
      <c r="E228" s="32"/>
      <c r="F228" s="37"/>
      <c r="G228" s="37"/>
      <c r="H228" s="37"/>
      <c r="I228" s="13"/>
      <c r="J228" s="16" t="str">
        <f t="shared" si="33"/>
        <v/>
      </c>
      <c r="K228" s="38"/>
      <c r="L228" s="38"/>
      <c r="M228" s="38"/>
      <c r="N228" s="17" t="str">
        <f t="shared" si="35"/>
        <v/>
      </c>
      <c r="O228" s="16" t="str">
        <f t="shared" si="36"/>
        <v/>
      </c>
      <c r="P228" s="54">
        <v>3</v>
      </c>
      <c r="Q228" s="56">
        <v>4</v>
      </c>
    </row>
    <row r="229" spans="1:20" ht="24" customHeight="1">
      <c r="A229" s="11">
        <v>4</v>
      </c>
      <c r="B229" s="12"/>
      <c r="C229" s="13"/>
      <c r="D229" s="42"/>
      <c r="E229" s="32"/>
      <c r="F229" s="37"/>
      <c r="G229" s="37"/>
      <c r="H229" s="37"/>
      <c r="I229" s="13"/>
      <c r="J229" s="16" t="str">
        <f t="shared" si="33"/>
        <v/>
      </c>
      <c r="K229" s="38"/>
      <c r="L229" s="38"/>
      <c r="M229" s="38"/>
      <c r="N229" s="17" t="str">
        <f t="shared" si="35"/>
        <v/>
      </c>
      <c r="O229" s="16" t="str">
        <f t="shared" si="36"/>
        <v/>
      </c>
      <c r="P229" s="55"/>
      <c r="Q229" s="57"/>
    </row>
    <row r="230" spans="1:20" ht="24" hidden="1" customHeight="1">
      <c r="A230" s="11">
        <v>5</v>
      </c>
      <c r="B230" s="12" t="str">
        <f>IF(B194="","",B194)</f>
        <v/>
      </c>
      <c r="C230" s="13"/>
      <c r="D230" s="42" t="str">
        <f t="shared" ref="D230:H231" si="37">IF(D194="","",D194)</f>
        <v/>
      </c>
      <c r="E230" s="32" t="str">
        <f t="shared" si="37"/>
        <v/>
      </c>
      <c r="F230" s="37" t="str">
        <f t="shared" si="37"/>
        <v/>
      </c>
      <c r="G230" s="37" t="str">
        <f t="shared" si="37"/>
        <v/>
      </c>
      <c r="H230" s="37" t="str">
        <f t="shared" si="37"/>
        <v/>
      </c>
      <c r="I230" s="13"/>
      <c r="J230" s="16" t="str">
        <f t="shared" si="33"/>
        <v/>
      </c>
      <c r="K230" s="38" t="str">
        <f t="shared" ref="K230:M231" si="38">IF(K194="","",K194)</f>
        <v/>
      </c>
      <c r="L230" s="38" t="str">
        <f t="shared" si="38"/>
        <v/>
      </c>
      <c r="M230" s="38" t="str">
        <f t="shared" si="38"/>
        <v/>
      </c>
      <c r="N230" s="17" t="str">
        <f t="shared" si="35"/>
        <v/>
      </c>
      <c r="O230" s="16" t="str">
        <f t="shared" si="36"/>
        <v/>
      </c>
      <c r="P230" s="58">
        <v>5</v>
      </c>
      <c r="Q230" s="59">
        <v>6</v>
      </c>
    </row>
    <row r="231" spans="1:20" ht="24" hidden="1" customHeight="1">
      <c r="A231" s="11">
        <v>6</v>
      </c>
      <c r="B231" s="12" t="str">
        <f>IF(B195="","",B195)</f>
        <v/>
      </c>
      <c r="C231" s="13"/>
      <c r="D231" s="42" t="str">
        <f t="shared" si="37"/>
        <v/>
      </c>
      <c r="E231" s="32" t="str">
        <f t="shared" si="37"/>
        <v/>
      </c>
      <c r="F231" s="37" t="str">
        <f t="shared" si="37"/>
        <v/>
      </c>
      <c r="G231" s="37" t="str">
        <f t="shared" si="37"/>
        <v/>
      </c>
      <c r="H231" s="37" t="str">
        <f t="shared" si="37"/>
        <v/>
      </c>
      <c r="I231" s="13"/>
      <c r="J231" s="16" t="str">
        <f t="shared" si="33"/>
        <v/>
      </c>
      <c r="K231" s="38" t="str">
        <f t="shared" si="38"/>
        <v/>
      </c>
      <c r="L231" s="38" t="str">
        <f t="shared" si="38"/>
        <v/>
      </c>
      <c r="M231" s="38" t="str">
        <f t="shared" si="38"/>
        <v/>
      </c>
      <c r="N231" s="17" t="str">
        <f t="shared" si="35"/>
        <v/>
      </c>
      <c r="O231" s="16" t="str">
        <f t="shared" si="36"/>
        <v/>
      </c>
      <c r="P231" s="58"/>
      <c r="Q231" s="59"/>
    </row>
    <row r="232" spans="1:20" s="21" customFormat="1" ht="22.5" customHeight="1">
      <c r="A232" s="60" t="s">
        <v>20</v>
      </c>
      <c r="B232" s="61"/>
      <c r="C232" s="61"/>
      <c r="D232" s="61"/>
      <c r="E232" s="61"/>
      <c r="F232" s="61"/>
      <c r="G232" s="61"/>
      <c r="H232" s="61"/>
      <c r="I232" s="36"/>
      <c r="J232" s="18">
        <f>SUM(J226:J231)</f>
        <v>650000</v>
      </c>
      <c r="K232" s="36"/>
      <c r="L232" s="36"/>
      <c r="M232" s="36"/>
      <c r="N232" s="19">
        <f>SUM(N226:N231)</f>
        <v>0</v>
      </c>
      <c r="O232" s="18">
        <f>SUM(O226:O231)</f>
        <v>650000</v>
      </c>
      <c r="P232" s="20"/>
      <c r="Q232" s="20"/>
      <c r="T232" s="22"/>
    </row>
    <row r="233" spans="1:20" ht="23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O233" s="23"/>
    </row>
    <row r="234" spans="1:20" ht="17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P234" s="24" t="s">
        <v>126</v>
      </c>
    </row>
    <row r="235" spans="1:20" ht="18" customHeight="1">
      <c r="A235" s="8"/>
      <c r="C235" s="24" t="s">
        <v>21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8"/>
      <c r="P235" s="24" t="s">
        <v>157</v>
      </c>
    </row>
    <row r="236" spans="1:20">
      <c r="A236" s="8"/>
      <c r="C236" s="24" t="s">
        <v>22</v>
      </c>
      <c r="D236" s="24"/>
      <c r="E236" s="24"/>
      <c r="F236" s="24"/>
      <c r="G236" s="24"/>
      <c r="H236" s="24"/>
      <c r="I236" s="24"/>
      <c r="J236" s="24"/>
      <c r="K236" s="24"/>
      <c r="L236" s="24"/>
      <c r="M236" s="8"/>
      <c r="P236" s="24" t="s">
        <v>23</v>
      </c>
    </row>
    <row r="237" spans="1:20">
      <c r="A237" s="8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8"/>
      <c r="P237" s="25"/>
      <c r="T237" s="26"/>
    </row>
    <row r="238" spans="1:20">
      <c r="A238" s="8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8"/>
      <c r="P238" s="25"/>
    </row>
    <row r="239" spans="1:20">
      <c r="A239" s="8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8"/>
      <c r="P239" s="25"/>
    </row>
    <row r="240" spans="1:20">
      <c r="A240" s="8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8"/>
      <c r="P240" s="25"/>
    </row>
    <row r="241" spans="1:17">
      <c r="A241" s="8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8"/>
      <c r="P241" s="25"/>
    </row>
    <row r="242" spans="1:17" ht="15" customHeight="1">
      <c r="A242" s="8"/>
      <c r="C242" s="27" t="str">
        <f>IF(C206="","",C206)</f>
        <v>BADRUDDIN, S.Ag.</v>
      </c>
      <c r="D242" s="27"/>
      <c r="E242" s="28"/>
      <c r="F242" s="28"/>
      <c r="G242" s="28"/>
      <c r="H242" s="28"/>
      <c r="I242" s="28"/>
      <c r="J242" s="28"/>
      <c r="K242" s="28"/>
      <c r="L242" s="8"/>
      <c r="M242" s="8"/>
      <c r="P242" s="27" t="s">
        <v>76</v>
      </c>
    </row>
    <row r="243" spans="1:17" ht="15" customHeight="1">
      <c r="A243" s="8"/>
      <c r="C243" s="27" t="str">
        <f>IF(C207="","",C207)</f>
        <v>NIP. 197405082014121002</v>
      </c>
      <c r="D243" s="27"/>
      <c r="E243" s="28"/>
      <c r="F243" s="28"/>
      <c r="G243" s="28"/>
      <c r="H243" s="28"/>
      <c r="I243" s="28"/>
      <c r="J243" s="28"/>
      <c r="K243" s="28"/>
      <c r="L243" s="8"/>
      <c r="M243" s="8"/>
      <c r="P243" s="27" t="s">
        <v>77</v>
      </c>
    </row>
    <row r="256" spans="1:17" ht="17.25" customHeight="1">
      <c r="A256" s="64" t="s">
        <v>40</v>
      </c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</row>
    <row r="257" spans="1:20" ht="17.25" customHeight="1">
      <c r="A257" s="64" t="s">
        <v>127</v>
      </c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</row>
    <row r="258" spans="1:20" ht="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20" ht="15" customHeight="1">
      <c r="C259" s="4" t="s">
        <v>0</v>
      </c>
      <c r="D259" s="5" t="s">
        <v>1</v>
      </c>
      <c r="F259" s="5"/>
      <c r="G259" s="5"/>
      <c r="H259" s="5"/>
      <c r="I259" s="5"/>
      <c r="J259" s="5"/>
      <c r="L259" s="6"/>
      <c r="M259" s="7"/>
      <c r="N259" s="4" t="s">
        <v>26</v>
      </c>
      <c r="O259" s="4" t="str">
        <f>O219</f>
        <v>: 07 Pengembangan Standar Pembiayaan</v>
      </c>
      <c r="P259" s="3"/>
    </row>
    <row r="260" spans="1:20" ht="15" customHeight="1">
      <c r="C260" s="4" t="s">
        <v>2</v>
      </c>
      <c r="D260" s="4" t="str">
        <f>D220</f>
        <v>: SD NEGERI LEBAKLEUNGSIR</v>
      </c>
      <c r="F260" s="4"/>
      <c r="G260" s="4"/>
      <c r="H260" s="4"/>
      <c r="I260" s="4"/>
      <c r="J260" s="4"/>
      <c r="L260" s="6"/>
      <c r="N260" s="4" t="s">
        <v>27</v>
      </c>
      <c r="O260" s="4" t="str">
        <f t="shared" ref="O260:O262" si="39">O220</f>
        <v>: Pembayaran Honor Guru</v>
      </c>
      <c r="P260" s="3"/>
    </row>
    <row r="261" spans="1:20" ht="15" customHeight="1">
      <c r="C261" s="4" t="s">
        <v>3</v>
      </c>
      <c r="D261" s="4" t="str">
        <f>D221</f>
        <v>: Cikalongwetan</v>
      </c>
      <c r="F261" s="4"/>
      <c r="G261" s="4"/>
      <c r="H261" s="4"/>
      <c r="I261" s="4"/>
      <c r="J261" s="4"/>
      <c r="L261" s="6"/>
      <c r="N261" s="8" t="s">
        <v>28</v>
      </c>
      <c r="O261" s="4" t="str">
        <f t="shared" si="39"/>
        <v>: 5.1.02.02.01.0013</v>
      </c>
      <c r="P261" s="3"/>
    </row>
    <row r="262" spans="1:20" ht="15" customHeight="1">
      <c r="C262" s="4" t="s">
        <v>5</v>
      </c>
      <c r="D262" s="4" t="str">
        <f>D222</f>
        <v>: Bandung Barat</v>
      </c>
      <c r="F262" s="4"/>
      <c r="G262" s="4"/>
      <c r="H262" s="4"/>
      <c r="I262" s="4"/>
      <c r="J262" s="4"/>
      <c r="L262" s="6"/>
      <c r="N262" s="4" t="s">
        <v>7</v>
      </c>
      <c r="O262" s="4" t="str">
        <f t="shared" si="39"/>
        <v>: 12</v>
      </c>
      <c r="P262" s="3"/>
      <c r="Q262" s="8"/>
    </row>
    <row r="263" spans="1:20" ht="15" customHeight="1">
      <c r="N263" s="8"/>
      <c r="O263" s="8"/>
      <c r="P263" s="8"/>
    </row>
    <row r="264" spans="1:20" ht="18.5" customHeight="1">
      <c r="A264" s="62" t="s">
        <v>8</v>
      </c>
      <c r="B264" s="65" t="s">
        <v>9</v>
      </c>
      <c r="C264" s="66"/>
      <c r="D264" s="62" t="s">
        <v>99</v>
      </c>
      <c r="E264" s="62" t="s">
        <v>10</v>
      </c>
      <c r="F264" s="69" t="s">
        <v>72</v>
      </c>
      <c r="G264" s="70"/>
      <c r="H264" s="70"/>
      <c r="I264" s="71"/>
      <c r="J264" s="72" t="s">
        <v>14</v>
      </c>
      <c r="K264" s="72" t="s">
        <v>11</v>
      </c>
      <c r="L264" s="65" t="s">
        <v>12</v>
      </c>
      <c r="M264" s="66"/>
      <c r="N264" s="74" t="s">
        <v>31</v>
      </c>
      <c r="O264" s="72" t="s">
        <v>16</v>
      </c>
      <c r="P264" s="65" t="s">
        <v>17</v>
      </c>
      <c r="Q264" s="66"/>
    </row>
    <row r="265" spans="1:20" ht="34" customHeight="1">
      <c r="A265" s="63"/>
      <c r="B265" s="67"/>
      <c r="C265" s="68"/>
      <c r="D265" s="63"/>
      <c r="E265" s="63"/>
      <c r="F265" s="35" t="s">
        <v>41</v>
      </c>
      <c r="G265" s="35" t="s">
        <v>73</v>
      </c>
      <c r="H265" s="35" t="s">
        <v>74</v>
      </c>
      <c r="I265" s="35"/>
      <c r="J265" s="73"/>
      <c r="K265" s="73"/>
      <c r="L265" s="67"/>
      <c r="M265" s="68"/>
      <c r="N265" s="75"/>
      <c r="O265" s="73"/>
      <c r="P265" s="67"/>
      <c r="Q265" s="68"/>
    </row>
    <row r="266" spans="1:20" ht="24" customHeight="1">
      <c r="A266" s="11">
        <v>1</v>
      </c>
      <c r="B266" s="12" t="str">
        <f t="shared" ref="B266:B271" si="40">IF(B226="","",B226)</f>
        <v>RISNA MARSELA HARTINI, S.Pd.</v>
      </c>
      <c r="C266" s="13"/>
      <c r="D266" s="42" t="str">
        <f>IF(D226="","",D226)</f>
        <v>1753780681230012</v>
      </c>
      <c r="E266" s="32" t="str">
        <f>IF(E226="","",E226)</f>
        <v>Guru Kelas</v>
      </c>
      <c r="F266" s="37">
        <f>IF(F226="","",F226)</f>
        <v>400000</v>
      </c>
      <c r="G266" s="37">
        <f>IF(G226="","",G226)</f>
        <v>150000</v>
      </c>
      <c r="H266" s="37">
        <f>IF(H226="","",H226)</f>
        <v>100000</v>
      </c>
      <c r="I266" s="13"/>
      <c r="J266" s="16">
        <f t="shared" ref="J266:J271" si="41">IF(B266="","",SUM(F266:I266))</f>
        <v>650000</v>
      </c>
      <c r="K266" s="38" t="str">
        <f t="shared" ref="K266:M267" si="42">IF(K226="","",K226)</f>
        <v>GTT</v>
      </c>
      <c r="L266" s="38">
        <f t="shared" si="42"/>
        <v>1</v>
      </c>
      <c r="M266" s="38" t="str">
        <f t="shared" si="42"/>
        <v>Bulan</v>
      </c>
      <c r="N266" s="17">
        <f>IFERROR(J266*0/100,"")</f>
        <v>0</v>
      </c>
      <c r="O266" s="16">
        <f>IFERROR(SUM(J266*L266)-N266,"")</f>
        <v>650000</v>
      </c>
      <c r="P266" s="54">
        <v>1</v>
      </c>
      <c r="Q266" s="56">
        <v>2</v>
      </c>
    </row>
    <row r="267" spans="1:20" ht="24" customHeight="1">
      <c r="A267" s="11">
        <v>2</v>
      </c>
      <c r="B267" s="12" t="str">
        <f t="shared" si="40"/>
        <v/>
      </c>
      <c r="C267" s="13"/>
      <c r="D267" s="42" t="str">
        <f>IF(D227="","",D227)</f>
        <v>2338750653110043</v>
      </c>
      <c r="E267" s="32" t="str">
        <f>IF(E227="","",E227)</f>
        <v>Guru Mapel</v>
      </c>
      <c r="F267" s="37">
        <f t="shared" ref="F267:H267" si="43">IF(F227="","",F227)</f>
        <v>250000</v>
      </c>
      <c r="G267" s="37" t="str">
        <f t="shared" si="43"/>
        <v/>
      </c>
      <c r="H267" s="37" t="str">
        <f t="shared" si="43"/>
        <v/>
      </c>
      <c r="I267" s="13"/>
      <c r="J267" s="16" t="str">
        <f t="shared" si="41"/>
        <v/>
      </c>
      <c r="K267" s="38" t="str">
        <f t="shared" si="42"/>
        <v/>
      </c>
      <c r="L267" s="38" t="str">
        <f t="shared" si="42"/>
        <v/>
      </c>
      <c r="M267" s="38" t="str">
        <f t="shared" si="42"/>
        <v/>
      </c>
      <c r="N267" s="17" t="str">
        <f t="shared" ref="N267:N271" si="44">IFERROR(J267*0/100,"")</f>
        <v/>
      </c>
      <c r="O267" s="16" t="str">
        <f t="shared" ref="O267:O271" si="45">IFERROR(SUM(J267*L267)-N267,"")</f>
        <v/>
      </c>
      <c r="P267" s="55"/>
      <c r="Q267" s="57"/>
    </row>
    <row r="268" spans="1:20" ht="24" customHeight="1">
      <c r="A268" s="11">
        <v>3</v>
      </c>
      <c r="B268" s="12" t="str">
        <f t="shared" si="40"/>
        <v/>
      </c>
      <c r="C268" s="13"/>
      <c r="D268" s="42" t="str">
        <f>IF(D228="","",D228)</f>
        <v/>
      </c>
      <c r="E268" s="32" t="str">
        <f t="shared" ref="E268:F268" si="46">IF(E228="","",E228)</f>
        <v/>
      </c>
      <c r="F268" s="37" t="str">
        <f t="shared" si="46"/>
        <v/>
      </c>
      <c r="G268" s="37" t="s">
        <v>34</v>
      </c>
      <c r="H268" s="37" t="s">
        <v>34</v>
      </c>
      <c r="I268" s="13"/>
      <c r="J268" s="16" t="str">
        <f t="shared" si="41"/>
        <v/>
      </c>
      <c r="K268" s="38" t="str">
        <f t="shared" ref="K268:M268" si="47">IF(K228="","",K228)</f>
        <v/>
      </c>
      <c r="L268" s="38" t="str">
        <f t="shared" si="47"/>
        <v/>
      </c>
      <c r="M268" s="38" t="str">
        <f t="shared" si="47"/>
        <v/>
      </c>
      <c r="N268" s="17" t="str">
        <f t="shared" si="44"/>
        <v/>
      </c>
      <c r="O268" s="16" t="str">
        <f t="shared" si="45"/>
        <v/>
      </c>
      <c r="P268" s="54">
        <v>3</v>
      </c>
      <c r="Q268" s="56">
        <v>4</v>
      </c>
    </row>
    <row r="269" spans="1:20" ht="24" customHeight="1">
      <c r="A269" s="11">
        <v>4</v>
      </c>
      <c r="B269" s="12" t="str">
        <f t="shared" si="40"/>
        <v/>
      </c>
      <c r="C269" s="13"/>
      <c r="D269" s="42" t="str">
        <f>IF(D229="","",D229)</f>
        <v/>
      </c>
      <c r="E269" s="32" t="str">
        <f t="shared" ref="E269:H269" si="48">IF(E229="","",E229)</f>
        <v/>
      </c>
      <c r="F269" s="37" t="str">
        <f t="shared" si="48"/>
        <v/>
      </c>
      <c r="G269" s="37" t="str">
        <f t="shared" si="48"/>
        <v/>
      </c>
      <c r="H269" s="37" t="str">
        <f t="shared" si="48"/>
        <v/>
      </c>
      <c r="I269" s="13"/>
      <c r="J269" s="16" t="str">
        <f t="shared" si="41"/>
        <v/>
      </c>
      <c r="K269" s="38" t="str">
        <f t="shared" ref="K269:M269" si="49">IF(K229="","",K229)</f>
        <v/>
      </c>
      <c r="L269" s="38" t="str">
        <f t="shared" si="49"/>
        <v/>
      </c>
      <c r="M269" s="38" t="str">
        <f t="shared" si="49"/>
        <v/>
      </c>
      <c r="N269" s="17" t="str">
        <f t="shared" si="44"/>
        <v/>
      </c>
      <c r="O269" s="16" t="str">
        <f t="shared" si="45"/>
        <v/>
      </c>
      <c r="P269" s="55"/>
      <c r="Q269" s="57"/>
    </row>
    <row r="270" spans="1:20" ht="24" hidden="1" customHeight="1">
      <c r="A270" s="11">
        <v>5</v>
      </c>
      <c r="B270" s="12" t="str">
        <f t="shared" si="40"/>
        <v/>
      </c>
      <c r="C270" s="13"/>
      <c r="D270" s="42" t="str">
        <f>IF(D230="","",D230)</f>
        <v/>
      </c>
      <c r="E270" s="32" t="str">
        <f t="shared" ref="E270:H270" si="50">IF(E230="","",E230)</f>
        <v/>
      </c>
      <c r="F270" s="37" t="str">
        <f t="shared" si="50"/>
        <v/>
      </c>
      <c r="G270" s="37" t="str">
        <f t="shared" si="50"/>
        <v/>
      </c>
      <c r="H270" s="37" t="str">
        <f t="shared" si="50"/>
        <v/>
      </c>
      <c r="I270" s="13"/>
      <c r="J270" s="16" t="str">
        <f t="shared" si="41"/>
        <v/>
      </c>
      <c r="K270" s="38" t="str">
        <f t="shared" ref="K270:M270" si="51">IF(K230="","",K230)</f>
        <v/>
      </c>
      <c r="L270" s="38" t="str">
        <f t="shared" si="51"/>
        <v/>
      </c>
      <c r="M270" s="38" t="str">
        <f t="shared" si="51"/>
        <v/>
      </c>
      <c r="N270" s="17" t="str">
        <f t="shared" si="44"/>
        <v/>
      </c>
      <c r="O270" s="16" t="str">
        <f t="shared" si="45"/>
        <v/>
      </c>
      <c r="P270" s="58">
        <v>5</v>
      </c>
      <c r="Q270" s="59">
        <v>6</v>
      </c>
    </row>
    <row r="271" spans="1:20" ht="24" hidden="1" customHeight="1">
      <c r="A271" s="11">
        <v>6</v>
      </c>
      <c r="B271" s="12" t="str">
        <f t="shared" si="40"/>
        <v/>
      </c>
      <c r="C271" s="13"/>
      <c r="D271" s="42" t="str">
        <f>IF(D231="","",D231)</f>
        <v/>
      </c>
      <c r="E271" s="32" t="str">
        <f t="shared" ref="E271:H271" si="52">IF(E231="","",E231)</f>
        <v/>
      </c>
      <c r="F271" s="37" t="str">
        <f t="shared" si="52"/>
        <v/>
      </c>
      <c r="G271" s="37" t="str">
        <f t="shared" si="52"/>
        <v/>
      </c>
      <c r="H271" s="37" t="str">
        <f t="shared" si="52"/>
        <v/>
      </c>
      <c r="I271" s="13"/>
      <c r="J271" s="16" t="str">
        <f t="shared" si="41"/>
        <v/>
      </c>
      <c r="K271" s="38" t="str">
        <f t="shared" ref="K271:M271" si="53">IF(K231="","",K231)</f>
        <v/>
      </c>
      <c r="L271" s="38" t="str">
        <f t="shared" si="53"/>
        <v/>
      </c>
      <c r="M271" s="38" t="str">
        <f t="shared" si="53"/>
        <v/>
      </c>
      <c r="N271" s="17" t="str">
        <f t="shared" si="44"/>
        <v/>
      </c>
      <c r="O271" s="16" t="str">
        <f t="shared" si="45"/>
        <v/>
      </c>
      <c r="P271" s="58"/>
      <c r="Q271" s="59"/>
    </row>
    <row r="272" spans="1:20" s="21" customFormat="1" ht="22.5" customHeight="1">
      <c r="A272" s="60" t="s">
        <v>20</v>
      </c>
      <c r="B272" s="61"/>
      <c r="C272" s="61"/>
      <c r="D272" s="61"/>
      <c r="E272" s="61"/>
      <c r="F272" s="61"/>
      <c r="G272" s="61"/>
      <c r="H272" s="61"/>
      <c r="I272" s="36"/>
      <c r="J272" s="18">
        <f>SUM(J266:J271)</f>
        <v>650000</v>
      </c>
      <c r="K272" s="36"/>
      <c r="L272" s="36"/>
      <c r="M272" s="36"/>
      <c r="N272" s="19">
        <f>SUM(N266:N271)</f>
        <v>0</v>
      </c>
      <c r="O272" s="18">
        <f>SUM(O266:O271)</f>
        <v>650000</v>
      </c>
      <c r="P272" s="20"/>
      <c r="Q272" s="20"/>
      <c r="T272" s="22"/>
    </row>
    <row r="273" spans="1:20" ht="23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O273" s="23"/>
    </row>
    <row r="274" spans="1:20" ht="17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P274" s="24" t="s">
        <v>128</v>
      </c>
    </row>
    <row r="275" spans="1:20" ht="18" customHeight="1">
      <c r="A275" s="8"/>
      <c r="C275" s="24" t="s">
        <v>21</v>
      </c>
      <c r="D275" s="24"/>
      <c r="E275" s="24"/>
      <c r="F275" s="24"/>
      <c r="G275" s="24"/>
      <c r="H275" s="24"/>
      <c r="I275" s="24"/>
      <c r="J275" s="24"/>
      <c r="K275" s="24"/>
      <c r="L275" s="24"/>
      <c r="M275" s="8"/>
      <c r="P275" s="24" t="s">
        <v>157</v>
      </c>
    </row>
    <row r="276" spans="1:20">
      <c r="A276" s="8"/>
      <c r="C276" s="24" t="s">
        <v>22</v>
      </c>
      <c r="D276" s="24"/>
      <c r="E276" s="24"/>
      <c r="F276" s="24"/>
      <c r="G276" s="24"/>
      <c r="H276" s="24"/>
      <c r="I276" s="24"/>
      <c r="J276" s="24"/>
      <c r="K276" s="24"/>
      <c r="L276" s="24"/>
      <c r="M276" s="8"/>
      <c r="P276" s="24" t="s">
        <v>23</v>
      </c>
    </row>
    <row r="277" spans="1:20">
      <c r="A277" s="8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8"/>
      <c r="P277" s="25"/>
      <c r="T277" s="26"/>
    </row>
    <row r="278" spans="1:20">
      <c r="A278" s="8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8"/>
      <c r="P278" s="25"/>
    </row>
    <row r="279" spans="1:20">
      <c r="A279" s="8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8"/>
      <c r="P279" s="25"/>
    </row>
    <row r="280" spans="1:20">
      <c r="A280" s="8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8"/>
      <c r="P280" s="25"/>
    </row>
    <row r="281" spans="1:20">
      <c r="A281" s="8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8"/>
      <c r="P281" s="25"/>
    </row>
    <row r="282" spans="1:20" ht="15" customHeight="1">
      <c r="A282" s="8"/>
      <c r="C282" s="27" t="str">
        <f>IF(C242="","",C242)</f>
        <v>BADRUDDIN, S.Ag.</v>
      </c>
      <c r="D282" s="27"/>
      <c r="E282" s="28"/>
      <c r="F282" s="28"/>
      <c r="G282" s="28"/>
      <c r="H282" s="28"/>
      <c r="I282" s="28"/>
      <c r="J282" s="28"/>
      <c r="K282" s="28"/>
      <c r="L282" s="8"/>
      <c r="M282" s="8"/>
      <c r="P282" s="27" t="s">
        <v>76</v>
      </c>
    </row>
    <row r="283" spans="1:20" ht="15" customHeight="1">
      <c r="A283" s="8"/>
      <c r="C283" s="27" t="str">
        <f>IF(C243="","",C243)</f>
        <v>NIP. 197405082014121002</v>
      </c>
      <c r="D283" s="27"/>
      <c r="E283" s="28"/>
      <c r="F283" s="28"/>
      <c r="G283" s="28"/>
      <c r="H283" s="28"/>
      <c r="I283" s="28"/>
      <c r="J283" s="28"/>
      <c r="K283" s="28"/>
      <c r="L283" s="8"/>
      <c r="M283" s="8"/>
      <c r="P283" s="27" t="s">
        <v>77</v>
      </c>
    </row>
    <row r="296" spans="1:17" ht="17.25" customHeight="1">
      <c r="A296" s="64" t="s">
        <v>40</v>
      </c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</row>
    <row r="297" spans="1:17" ht="17.25" customHeight="1">
      <c r="A297" s="64" t="s">
        <v>129</v>
      </c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</row>
    <row r="298" spans="1:17" ht="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" customHeight="1">
      <c r="C299" s="4" t="s">
        <v>0</v>
      </c>
      <c r="D299" s="5" t="s">
        <v>1</v>
      </c>
      <c r="F299" s="5"/>
      <c r="G299" s="5"/>
      <c r="H299" s="5"/>
      <c r="I299" s="5"/>
      <c r="J299" s="5"/>
      <c r="L299" s="6"/>
      <c r="M299" s="7"/>
      <c r="N299" s="4" t="s">
        <v>26</v>
      </c>
      <c r="O299" s="4" t="str">
        <f>O259</f>
        <v>: 07 Pengembangan Standar Pembiayaan</v>
      </c>
      <c r="P299" s="3"/>
    </row>
    <row r="300" spans="1:17" ht="15" customHeight="1">
      <c r="C300" s="4" t="s">
        <v>2</v>
      </c>
      <c r="D300" s="4" t="str">
        <f>D260</f>
        <v>: SD NEGERI LEBAKLEUNGSIR</v>
      </c>
      <c r="F300" s="4"/>
      <c r="G300" s="4"/>
      <c r="H300" s="4"/>
      <c r="I300" s="4"/>
      <c r="J300" s="4"/>
      <c r="L300" s="6"/>
      <c r="N300" s="4" t="s">
        <v>27</v>
      </c>
      <c r="O300" s="4" t="str">
        <f t="shared" ref="O300:O302" si="54">O260</f>
        <v>: Pembayaran Honor Guru</v>
      </c>
      <c r="P300" s="3"/>
    </row>
    <row r="301" spans="1:17" ht="15" customHeight="1">
      <c r="C301" s="4" t="s">
        <v>3</v>
      </c>
      <c r="D301" s="4" t="str">
        <f>D261</f>
        <v>: Cikalongwetan</v>
      </c>
      <c r="F301" s="4"/>
      <c r="G301" s="4"/>
      <c r="H301" s="4"/>
      <c r="I301" s="4"/>
      <c r="J301" s="4"/>
      <c r="L301" s="6"/>
      <c r="N301" s="8" t="s">
        <v>28</v>
      </c>
      <c r="O301" s="4" t="str">
        <f t="shared" si="54"/>
        <v>: 5.1.02.02.01.0013</v>
      </c>
      <c r="P301" s="3"/>
    </row>
    <row r="302" spans="1:17" ht="15" customHeight="1">
      <c r="C302" s="4" t="s">
        <v>5</v>
      </c>
      <c r="D302" s="4" t="str">
        <f>D262</f>
        <v>: Bandung Barat</v>
      </c>
      <c r="F302" s="4"/>
      <c r="G302" s="4"/>
      <c r="H302" s="4"/>
      <c r="I302" s="4"/>
      <c r="J302" s="4"/>
      <c r="L302" s="6"/>
      <c r="N302" s="4" t="s">
        <v>7</v>
      </c>
      <c r="O302" s="4" t="str">
        <f t="shared" si="54"/>
        <v>: 12</v>
      </c>
      <c r="P302" s="3"/>
      <c r="Q302" s="8"/>
    </row>
    <row r="303" spans="1:17" ht="15" customHeight="1">
      <c r="N303" s="8"/>
      <c r="O303" s="8"/>
      <c r="P303" s="8"/>
    </row>
    <row r="304" spans="1:17" ht="18.5" customHeight="1">
      <c r="A304" s="62" t="s">
        <v>8</v>
      </c>
      <c r="B304" s="65" t="s">
        <v>9</v>
      </c>
      <c r="C304" s="66"/>
      <c r="D304" s="62" t="s">
        <v>99</v>
      </c>
      <c r="E304" s="62" t="s">
        <v>10</v>
      </c>
      <c r="F304" s="69" t="s">
        <v>72</v>
      </c>
      <c r="G304" s="70"/>
      <c r="H304" s="70"/>
      <c r="I304" s="71"/>
      <c r="J304" s="72" t="s">
        <v>14</v>
      </c>
      <c r="K304" s="72" t="s">
        <v>11</v>
      </c>
      <c r="L304" s="65" t="s">
        <v>12</v>
      </c>
      <c r="M304" s="66"/>
      <c r="N304" s="74" t="s">
        <v>31</v>
      </c>
      <c r="O304" s="72" t="s">
        <v>16</v>
      </c>
      <c r="P304" s="65" t="s">
        <v>17</v>
      </c>
      <c r="Q304" s="66"/>
    </row>
    <row r="305" spans="1:20" ht="34" customHeight="1">
      <c r="A305" s="63"/>
      <c r="B305" s="67"/>
      <c r="C305" s="68"/>
      <c r="D305" s="63"/>
      <c r="E305" s="63"/>
      <c r="F305" s="35" t="s">
        <v>41</v>
      </c>
      <c r="G305" s="35" t="s">
        <v>73</v>
      </c>
      <c r="H305" s="35" t="s">
        <v>74</v>
      </c>
      <c r="I305" s="35"/>
      <c r="J305" s="73"/>
      <c r="K305" s="73"/>
      <c r="L305" s="67"/>
      <c r="M305" s="68"/>
      <c r="N305" s="75"/>
      <c r="O305" s="73"/>
      <c r="P305" s="67"/>
      <c r="Q305" s="68"/>
    </row>
    <row r="306" spans="1:20" ht="24" customHeight="1">
      <c r="A306" s="11">
        <v>1</v>
      </c>
      <c r="B306" s="12" t="str">
        <f t="shared" ref="B306:B311" si="55">IF(B266="","",B266)</f>
        <v>RISNA MARSELA HARTINI, S.Pd.</v>
      </c>
      <c r="C306" s="13"/>
      <c r="D306" s="42" t="str">
        <f>IF(D266="","",D266)</f>
        <v>1753780681230012</v>
      </c>
      <c r="E306" s="32" t="str">
        <f>IF(E266="","",E266)</f>
        <v>Guru Kelas</v>
      </c>
      <c r="F306" s="37">
        <f>IF(F266="","",F266)</f>
        <v>400000</v>
      </c>
      <c r="G306" s="37">
        <f>IF(G266="","",G266)</f>
        <v>150000</v>
      </c>
      <c r="H306" s="37">
        <f>IF(H266="","",H266)</f>
        <v>100000</v>
      </c>
      <c r="I306" s="13"/>
      <c r="J306" s="16">
        <f t="shared" ref="J306:J311" si="56">IF(B306="","",SUM(F306:I306))</f>
        <v>650000</v>
      </c>
      <c r="K306" s="38" t="str">
        <f t="shared" ref="K306:M311" si="57">IF(K266="","",K266)</f>
        <v>GTT</v>
      </c>
      <c r="L306" s="38">
        <f t="shared" si="57"/>
        <v>1</v>
      </c>
      <c r="M306" s="38" t="str">
        <f t="shared" si="57"/>
        <v>Bulan</v>
      </c>
      <c r="N306" s="17">
        <f>IFERROR(J306*0/100,"")</f>
        <v>0</v>
      </c>
      <c r="O306" s="16">
        <f>IFERROR(SUM(J306*L306)-N306,"")</f>
        <v>650000</v>
      </c>
      <c r="P306" s="54">
        <v>1</v>
      </c>
      <c r="Q306" s="56">
        <v>2</v>
      </c>
    </row>
    <row r="307" spans="1:20" ht="24" customHeight="1">
      <c r="A307" s="11">
        <v>2</v>
      </c>
      <c r="B307" s="12" t="str">
        <f t="shared" si="55"/>
        <v/>
      </c>
      <c r="C307" s="13"/>
      <c r="D307" s="42" t="str">
        <f>IF(D267="","",D267)</f>
        <v>2338750653110043</v>
      </c>
      <c r="E307" s="32" t="str">
        <f>IF(E267="","",E267)</f>
        <v>Guru Mapel</v>
      </c>
      <c r="F307" s="37">
        <f t="shared" ref="F307:H307" si="58">IF(F267="","",F267)</f>
        <v>250000</v>
      </c>
      <c r="G307" s="37" t="str">
        <f t="shared" si="58"/>
        <v/>
      </c>
      <c r="H307" s="37" t="str">
        <f t="shared" si="58"/>
        <v/>
      </c>
      <c r="I307" s="13"/>
      <c r="J307" s="16" t="str">
        <f t="shared" si="56"/>
        <v/>
      </c>
      <c r="K307" s="38" t="str">
        <f t="shared" si="57"/>
        <v/>
      </c>
      <c r="L307" s="38" t="str">
        <f t="shared" si="57"/>
        <v/>
      </c>
      <c r="M307" s="38" t="str">
        <f t="shared" si="57"/>
        <v/>
      </c>
      <c r="N307" s="17" t="str">
        <f t="shared" ref="N307:N311" si="59">IFERROR(J307*0/100,"")</f>
        <v/>
      </c>
      <c r="O307" s="16" t="str">
        <f t="shared" ref="O307:O311" si="60">IFERROR(SUM(J307*L307)-N307,"")</f>
        <v/>
      </c>
      <c r="P307" s="55"/>
      <c r="Q307" s="57"/>
    </row>
    <row r="308" spans="1:20" ht="24" customHeight="1">
      <c r="A308" s="11">
        <v>3</v>
      </c>
      <c r="B308" s="12" t="str">
        <f t="shared" si="55"/>
        <v/>
      </c>
      <c r="C308" s="13"/>
      <c r="D308" s="42" t="str">
        <f>IF(D268="","",D268)</f>
        <v/>
      </c>
      <c r="E308" s="32" t="str">
        <f t="shared" ref="E308:H308" si="61">IF(E268="","",E268)</f>
        <v/>
      </c>
      <c r="F308" s="37" t="str">
        <f t="shared" si="61"/>
        <v/>
      </c>
      <c r="G308" s="37" t="str">
        <f t="shared" si="61"/>
        <v>-</v>
      </c>
      <c r="H308" s="37" t="str">
        <f t="shared" si="61"/>
        <v>-</v>
      </c>
      <c r="I308" s="13"/>
      <c r="J308" s="16" t="str">
        <f t="shared" si="56"/>
        <v/>
      </c>
      <c r="K308" s="38" t="str">
        <f t="shared" si="57"/>
        <v/>
      </c>
      <c r="L308" s="38" t="str">
        <f t="shared" si="57"/>
        <v/>
      </c>
      <c r="M308" s="38" t="str">
        <f t="shared" si="57"/>
        <v/>
      </c>
      <c r="N308" s="17" t="str">
        <f t="shared" si="59"/>
        <v/>
      </c>
      <c r="O308" s="16" t="str">
        <f t="shared" si="60"/>
        <v/>
      </c>
      <c r="P308" s="54">
        <v>3</v>
      </c>
      <c r="Q308" s="56">
        <v>4</v>
      </c>
    </row>
    <row r="309" spans="1:20" ht="24" customHeight="1">
      <c r="A309" s="11">
        <v>4</v>
      </c>
      <c r="B309" s="12" t="str">
        <f t="shared" si="55"/>
        <v/>
      </c>
      <c r="C309" s="13"/>
      <c r="D309" s="42" t="str">
        <f>IF(D269="","",D269)</f>
        <v/>
      </c>
      <c r="E309" s="32" t="str">
        <f t="shared" ref="E309:H309" si="62">IF(E269="","",E269)</f>
        <v/>
      </c>
      <c r="F309" s="37" t="str">
        <f t="shared" si="62"/>
        <v/>
      </c>
      <c r="G309" s="37" t="str">
        <f t="shared" si="62"/>
        <v/>
      </c>
      <c r="H309" s="37" t="str">
        <f t="shared" si="62"/>
        <v/>
      </c>
      <c r="I309" s="13"/>
      <c r="J309" s="16" t="str">
        <f t="shared" si="56"/>
        <v/>
      </c>
      <c r="K309" s="38" t="str">
        <f t="shared" si="57"/>
        <v/>
      </c>
      <c r="L309" s="38" t="str">
        <f t="shared" si="57"/>
        <v/>
      </c>
      <c r="M309" s="38" t="str">
        <f t="shared" si="57"/>
        <v/>
      </c>
      <c r="N309" s="17" t="str">
        <f t="shared" si="59"/>
        <v/>
      </c>
      <c r="O309" s="16" t="str">
        <f t="shared" si="60"/>
        <v/>
      </c>
      <c r="P309" s="55"/>
      <c r="Q309" s="57"/>
    </row>
    <row r="310" spans="1:20" ht="24" hidden="1" customHeight="1">
      <c r="A310" s="11">
        <v>5</v>
      </c>
      <c r="B310" s="12" t="str">
        <f t="shared" si="55"/>
        <v/>
      </c>
      <c r="C310" s="13"/>
      <c r="D310" s="42" t="str">
        <f>IF(D270="","",D270)</f>
        <v/>
      </c>
      <c r="E310" s="32" t="str">
        <f t="shared" ref="E310:H310" si="63">IF(E270="","",E270)</f>
        <v/>
      </c>
      <c r="F310" s="37" t="str">
        <f t="shared" si="63"/>
        <v/>
      </c>
      <c r="G310" s="37" t="str">
        <f t="shared" si="63"/>
        <v/>
      </c>
      <c r="H310" s="37" t="str">
        <f t="shared" si="63"/>
        <v/>
      </c>
      <c r="I310" s="13"/>
      <c r="J310" s="16" t="str">
        <f t="shared" si="56"/>
        <v/>
      </c>
      <c r="K310" s="38" t="str">
        <f t="shared" si="57"/>
        <v/>
      </c>
      <c r="L310" s="38" t="str">
        <f t="shared" si="57"/>
        <v/>
      </c>
      <c r="M310" s="38" t="str">
        <f t="shared" si="57"/>
        <v/>
      </c>
      <c r="N310" s="17" t="str">
        <f t="shared" si="59"/>
        <v/>
      </c>
      <c r="O310" s="16" t="str">
        <f t="shared" si="60"/>
        <v/>
      </c>
      <c r="P310" s="58">
        <v>5</v>
      </c>
      <c r="Q310" s="59">
        <v>6</v>
      </c>
    </row>
    <row r="311" spans="1:20" ht="24" hidden="1" customHeight="1">
      <c r="A311" s="11">
        <v>6</v>
      </c>
      <c r="B311" s="12" t="str">
        <f t="shared" si="55"/>
        <v/>
      </c>
      <c r="C311" s="13"/>
      <c r="D311" s="42" t="str">
        <f>IF(D271="","",D271)</f>
        <v/>
      </c>
      <c r="E311" s="32" t="str">
        <f t="shared" ref="E311:H311" si="64">IF(E271="","",E271)</f>
        <v/>
      </c>
      <c r="F311" s="37" t="str">
        <f t="shared" si="64"/>
        <v/>
      </c>
      <c r="G311" s="37" t="str">
        <f t="shared" si="64"/>
        <v/>
      </c>
      <c r="H311" s="37" t="str">
        <f t="shared" si="64"/>
        <v/>
      </c>
      <c r="I311" s="13"/>
      <c r="J311" s="16" t="str">
        <f t="shared" si="56"/>
        <v/>
      </c>
      <c r="K311" s="38" t="str">
        <f t="shared" si="57"/>
        <v/>
      </c>
      <c r="L311" s="38" t="str">
        <f t="shared" si="57"/>
        <v/>
      </c>
      <c r="M311" s="38" t="str">
        <f t="shared" si="57"/>
        <v/>
      </c>
      <c r="N311" s="17" t="str">
        <f t="shared" si="59"/>
        <v/>
      </c>
      <c r="O311" s="16" t="str">
        <f t="shared" si="60"/>
        <v/>
      </c>
      <c r="P311" s="58"/>
      <c r="Q311" s="59"/>
    </row>
    <row r="312" spans="1:20" s="21" customFormat="1" ht="22.5" customHeight="1">
      <c r="A312" s="60" t="s">
        <v>20</v>
      </c>
      <c r="B312" s="61"/>
      <c r="C312" s="61"/>
      <c r="D312" s="61"/>
      <c r="E312" s="61"/>
      <c r="F312" s="61"/>
      <c r="G312" s="61"/>
      <c r="H312" s="61"/>
      <c r="I312" s="36"/>
      <c r="J312" s="18">
        <f>SUM(J306:J311)</f>
        <v>650000</v>
      </c>
      <c r="K312" s="36"/>
      <c r="L312" s="36"/>
      <c r="M312" s="36"/>
      <c r="N312" s="19">
        <f>SUM(N306:N311)</f>
        <v>0</v>
      </c>
      <c r="O312" s="18">
        <f>SUM(O306:O311)</f>
        <v>650000</v>
      </c>
      <c r="P312" s="20"/>
      <c r="Q312" s="20"/>
      <c r="T312" s="22"/>
    </row>
    <row r="313" spans="1:20" ht="23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O313" s="23"/>
    </row>
    <row r="314" spans="1:20" ht="17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P314" s="24" t="s">
        <v>130</v>
      </c>
    </row>
    <row r="315" spans="1:20" ht="18" customHeight="1">
      <c r="A315" s="8"/>
      <c r="C315" s="24" t="s">
        <v>21</v>
      </c>
      <c r="D315" s="24"/>
      <c r="E315" s="24"/>
      <c r="F315" s="24"/>
      <c r="G315" s="24"/>
      <c r="H315" s="24"/>
      <c r="I315" s="24"/>
      <c r="J315" s="24"/>
      <c r="K315" s="24"/>
      <c r="L315" s="24"/>
      <c r="M315" s="8"/>
      <c r="P315" s="24" t="s">
        <v>131</v>
      </c>
    </row>
    <row r="316" spans="1:20">
      <c r="A316" s="8"/>
      <c r="C316" s="24" t="s">
        <v>22</v>
      </c>
      <c r="D316" s="24"/>
      <c r="E316" s="24"/>
      <c r="F316" s="24"/>
      <c r="G316" s="24"/>
      <c r="H316" s="24"/>
      <c r="I316" s="24"/>
      <c r="J316" s="24"/>
      <c r="K316" s="24"/>
      <c r="L316" s="24"/>
      <c r="M316" s="8"/>
      <c r="P316" s="24" t="s">
        <v>23</v>
      </c>
    </row>
    <row r="317" spans="1:20">
      <c r="A317" s="8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8"/>
      <c r="P317" s="25"/>
      <c r="T317" s="26"/>
    </row>
    <row r="318" spans="1:20">
      <c r="A318" s="8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8"/>
      <c r="P318" s="25"/>
    </row>
    <row r="319" spans="1:20">
      <c r="A319" s="8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8"/>
      <c r="P319" s="25"/>
    </row>
    <row r="320" spans="1:20">
      <c r="A320" s="8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8"/>
      <c r="P320" s="25"/>
    </row>
    <row r="321" spans="1:17">
      <c r="A321" s="8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8"/>
      <c r="P321" s="25"/>
    </row>
    <row r="322" spans="1:17" ht="15" customHeight="1">
      <c r="A322" s="8"/>
      <c r="C322" s="27" t="str">
        <f>IF(C282="","",C282)</f>
        <v>BADRUDDIN, S.Ag.</v>
      </c>
      <c r="D322" s="27"/>
      <c r="E322" s="28"/>
      <c r="F322" s="28"/>
      <c r="G322" s="28"/>
      <c r="H322" s="28"/>
      <c r="I322" s="28"/>
      <c r="J322" s="28"/>
      <c r="K322" s="28"/>
      <c r="L322" s="8"/>
      <c r="M322" s="8"/>
      <c r="P322" s="27" t="s">
        <v>76</v>
      </c>
    </row>
    <row r="323" spans="1:17" ht="15" customHeight="1">
      <c r="A323" s="8"/>
      <c r="C323" s="27" t="str">
        <f>IF(C283="","",C283)</f>
        <v>NIP. 197405082014121002</v>
      </c>
      <c r="D323" s="27"/>
      <c r="E323" s="28"/>
      <c r="F323" s="28"/>
      <c r="G323" s="28"/>
      <c r="H323" s="28"/>
      <c r="I323" s="28"/>
      <c r="J323" s="28"/>
      <c r="K323" s="28"/>
      <c r="L323" s="8"/>
      <c r="M323" s="8"/>
      <c r="P323" s="27" t="s">
        <v>77</v>
      </c>
    </row>
    <row r="336" spans="1:17" ht="17.25" customHeight="1">
      <c r="A336" s="64" t="s">
        <v>40</v>
      </c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</row>
    <row r="337" spans="1:20" ht="17.25" customHeight="1">
      <c r="A337" s="64" t="s">
        <v>132</v>
      </c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</row>
    <row r="338" spans="1:20" ht="1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20" ht="15" customHeight="1">
      <c r="C339" s="4" t="s">
        <v>0</v>
      </c>
      <c r="D339" s="5" t="s">
        <v>1</v>
      </c>
      <c r="F339" s="5"/>
      <c r="G339" s="5"/>
      <c r="H339" s="5"/>
      <c r="I339" s="5"/>
      <c r="J339" s="5"/>
      <c r="L339" s="6"/>
      <c r="M339" s="7"/>
      <c r="N339" s="4" t="s">
        <v>26</v>
      </c>
      <c r="O339" s="4" t="str">
        <f>O299</f>
        <v>: 07 Pengembangan Standar Pembiayaan</v>
      </c>
      <c r="P339" s="3"/>
    </row>
    <row r="340" spans="1:20" ht="15" customHeight="1">
      <c r="C340" s="4" t="s">
        <v>2</v>
      </c>
      <c r="D340" s="4" t="str">
        <f>D300</f>
        <v>: SD NEGERI LEBAKLEUNGSIR</v>
      </c>
      <c r="F340" s="4"/>
      <c r="G340" s="4"/>
      <c r="H340" s="4"/>
      <c r="I340" s="4"/>
      <c r="J340" s="4"/>
      <c r="L340" s="6"/>
      <c r="N340" s="4" t="s">
        <v>27</v>
      </c>
      <c r="O340" s="4" t="str">
        <f t="shared" ref="O340:O342" si="65">O300</f>
        <v>: Pembayaran Honor Guru</v>
      </c>
      <c r="P340" s="3"/>
    </row>
    <row r="341" spans="1:20" ht="15" customHeight="1">
      <c r="C341" s="4" t="s">
        <v>3</v>
      </c>
      <c r="D341" s="4" t="str">
        <f>D301</f>
        <v>: Cikalongwetan</v>
      </c>
      <c r="F341" s="4"/>
      <c r="G341" s="4"/>
      <c r="H341" s="4"/>
      <c r="I341" s="4"/>
      <c r="J341" s="4"/>
      <c r="L341" s="6"/>
      <c r="N341" s="8" t="s">
        <v>28</v>
      </c>
      <c r="O341" s="4" t="str">
        <f t="shared" si="65"/>
        <v>: 5.1.02.02.01.0013</v>
      </c>
      <c r="P341" s="3"/>
    </row>
    <row r="342" spans="1:20" ht="15" customHeight="1">
      <c r="C342" s="4" t="s">
        <v>5</v>
      </c>
      <c r="D342" s="4" t="str">
        <f>D302</f>
        <v>: Bandung Barat</v>
      </c>
      <c r="F342" s="4"/>
      <c r="G342" s="4"/>
      <c r="H342" s="4"/>
      <c r="I342" s="4"/>
      <c r="J342" s="4"/>
      <c r="L342" s="6"/>
      <c r="N342" s="4" t="s">
        <v>7</v>
      </c>
      <c r="O342" s="4" t="str">
        <f t="shared" si="65"/>
        <v>: 12</v>
      </c>
      <c r="P342" s="3"/>
      <c r="Q342" s="8"/>
    </row>
    <row r="343" spans="1:20" ht="15" customHeight="1">
      <c r="N343" s="8"/>
      <c r="O343" s="8"/>
      <c r="P343" s="8"/>
    </row>
    <row r="344" spans="1:20" ht="18.5" customHeight="1">
      <c r="A344" s="62" t="s">
        <v>8</v>
      </c>
      <c r="B344" s="65" t="s">
        <v>9</v>
      </c>
      <c r="C344" s="66"/>
      <c r="D344" s="62" t="s">
        <v>99</v>
      </c>
      <c r="E344" s="62" t="s">
        <v>10</v>
      </c>
      <c r="F344" s="69" t="s">
        <v>72</v>
      </c>
      <c r="G344" s="70"/>
      <c r="H344" s="70"/>
      <c r="I344" s="71"/>
      <c r="J344" s="72" t="s">
        <v>14</v>
      </c>
      <c r="K344" s="72" t="s">
        <v>11</v>
      </c>
      <c r="L344" s="65" t="s">
        <v>12</v>
      </c>
      <c r="M344" s="66"/>
      <c r="N344" s="74" t="s">
        <v>31</v>
      </c>
      <c r="O344" s="72" t="s">
        <v>16</v>
      </c>
      <c r="P344" s="65" t="s">
        <v>17</v>
      </c>
      <c r="Q344" s="66"/>
    </row>
    <row r="345" spans="1:20" ht="34" customHeight="1">
      <c r="A345" s="63"/>
      <c r="B345" s="67"/>
      <c r="C345" s="68"/>
      <c r="D345" s="63"/>
      <c r="E345" s="63"/>
      <c r="F345" s="35" t="s">
        <v>41</v>
      </c>
      <c r="G345" s="35" t="s">
        <v>73</v>
      </c>
      <c r="H345" s="35" t="s">
        <v>74</v>
      </c>
      <c r="I345" s="35"/>
      <c r="J345" s="73"/>
      <c r="K345" s="73"/>
      <c r="L345" s="67"/>
      <c r="M345" s="68"/>
      <c r="N345" s="75"/>
      <c r="O345" s="73"/>
      <c r="P345" s="67"/>
      <c r="Q345" s="68"/>
    </row>
    <row r="346" spans="1:20" ht="24" customHeight="1">
      <c r="A346" s="11">
        <v>1</v>
      </c>
      <c r="B346" s="12" t="str">
        <f t="shared" ref="B346:B351" si="66">IF(B306="","",B306)</f>
        <v>RISNA MARSELA HARTINI, S.Pd.</v>
      </c>
      <c r="C346" s="13"/>
      <c r="D346" s="42" t="str">
        <f>IF(D306="","",D306)</f>
        <v>1753780681230012</v>
      </c>
      <c r="E346" s="32" t="str">
        <f>IF(E306="","",E306)</f>
        <v>Guru Kelas</v>
      </c>
      <c r="F346" s="37">
        <f>IF(F306="","",F306)</f>
        <v>400000</v>
      </c>
      <c r="G346" s="37">
        <f>IF(G306="","",G306)</f>
        <v>150000</v>
      </c>
      <c r="H346" s="37">
        <f>IF(H306="","",H306)</f>
        <v>100000</v>
      </c>
      <c r="I346" s="13"/>
      <c r="J346" s="16">
        <f t="shared" ref="J346:J351" si="67">IF(B346="","",SUM(F346:I346))</f>
        <v>650000</v>
      </c>
      <c r="K346" s="38" t="str">
        <f t="shared" ref="K346:M347" si="68">IF(K306="","",K306)</f>
        <v>GTT</v>
      </c>
      <c r="L346" s="38">
        <f t="shared" si="68"/>
        <v>1</v>
      </c>
      <c r="M346" s="38" t="str">
        <f t="shared" si="68"/>
        <v>Bulan</v>
      </c>
      <c r="N346" s="17">
        <f>IFERROR(J346*0/100,"")</f>
        <v>0</v>
      </c>
      <c r="O346" s="16">
        <f>IFERROR(SUM(J346*L346)-N346,"")</f>
        <v>650000</v>
      </c>
      <c r="P346" s="54">
        <v>1</v>
      </c>
      <c r="Q346" s="56">
        <v>2</v>
      </c>
    </row>
    <row r="347" spans="1:20" ht="24" customHeight="1">
      <c r="A347" s="11">
        <v>2</v>
      </c>
      <c r="B347" s="12" t="str">
        <f t="shared" si="66"/>
        <v/>
      </c>
      <c r="C347" s="13"/>
      <c r="D347" s="42" t="str">
        <f>IF(D307="","",D307)</f>
        <v>2338750653110043</v>
      </c>
      <c r="E347" s="32" t="str">
        <f>IF(E307="","",E307)</f>
        <v>Guru Mapel</v>
      </c>
      <c r="F347" s="37">
        <f t="shared" ref="F347:H347" si="69">IF(F307="","",F307)</f>
        <v>250000</v>
      </c>
      <c r="G347" s="37" t="str">
        <f t="shared" si="69"/>
        <v/>
      </c>
      <c r="H347" s="37" t="str">
        <f t="shared" si="69"/>
        <v/>
      </c>
      <c r="I347" s="13"/>
      <c r="J347" s="16" t="str">
        <f t="shared" si="67"/>
        <v/>
      </c>
      <c r="K347" s="38" t="str">
        <f t="shared" si="68"/>
        <v/>
      </c>
      <c r="L347" s="38" t="str">
        <f t="shared" si="68"/>
        <v/>
      </c>
      <c r="M347" s="38" t="str">
        <f t="shared" si="68"/>
        <v/>
      </c>
      <c r="N347" s="17" t="str">
        <f t="shared" ref="N347:N351" si="70">IFERROR(J347*0/100,"")</f>
        <v/>
      </c>
      <c r="O347" s="16" t="str">
        <f t="shared" ref="O347:O351" si="71">IFERROR(SUM(J347*L347)-N347,"")</f>
        <v/>
      </c>
      <c r="P347" s="55"/>
      <c r="Q347" s="57"/>
    </row>
    <row r="348" spans="1:20" ht="24" customHeight="1">
      <c r="A348" s="11">
        <v>3</v>
      </c>
      <c r="B348" s="12" t="str">
        <f t="shared" si="66"/>
        <v/>
      </c>
      <c r="C348" s="13"/>
      <c r="D348" s="42" t="str">
        <f>IF(D308="","",D308)</f>
        <v/>
      </c>
      <c r="E348" s="32" t="str">
        <f t="shared" ref="E348:H348" si="72">IF(E308="","",E308)</f>
        <v/>
      </c>
      <c r="F348" s="37" t="str">
        <f t="shared" si="72"/>
        <v/>
      </c>
      <c r="G348" s="37" t="str">
        <f t="shared" si="72"/>
        <v>-</v>
      </c>
      <c r="H348" s="37" t="str">
        <f t="shared" si="72"/>
        <v>-</v>
      </c>
      <c r="I348" s="13"/>
      <c r="J348" s="16" t="str">
        <f t="shared" si="67"/>
        <v/>
      </c>
      <c r="K348" s="38" t="str">
        <f t="shared" ref="K348:M348" si="73">IF(K308="","",K308)</f>
        <v/>
      </c>
      <c r="L348" s="38" t="str">
        <f t="shared" si="73"/>
        <v/>
      </c>
      <c r="M348" s="38" t="str">
        <f t="shared" si="73"/>
        <v/>
      </c>
      <c r="N348" s="17" t="str">
        <f t="shared" si="70"/>
        <v/>
      </c>
      <c r="O348" s="16" t="str">
        <f t="shared" si="71"/>
        <v/>
      </c>
      <c r="P348" s="54">
        <v>3</v>
      </c>
      <c r="Q348" s="56">
        <v>4</v>
      </c>
    </row>
    <row r="349" spans="1:20" ht="24" customHeight="1">
      <c r="A349" s="11">
        <v>4</v>
      </c>
      <c r="B349" s="12" t="str">
        <f t="shared" si="66"/>
        <v/>
      </c>
      <c r="C349" s="13"/>
      <c r="D349" s="42" t="str">
        <f>IF(D309="","",D309)</f>
        <v/>
      </c>
      <c r="E349" s="32" t="str">
        <f t="shared" ref="E349:H349" si="74">IF(E309="","",E309)</f>
        <v/>
      </c>
      <c r="F349" s="37" t="str">
        <f t="shared" si="74"/>
        <v/>
      </c>
      <c r="G349" s="37" t="str">
        <f t="shared" si="74"/>
        <v/>
      </c>
      <c r="H349" s="37" t="str">
        <f t="shared" si="74"/>
        <v/>
      </c>
      <c r="I349" s="13"/>
      <c r="J349" s="16" t="str">
        <f t="shared" si="67"/>
        <v/>
      </c>
      <c r="K349" s="38" t="str">
        <f t="shared" ref="K349:M349" si="75">IF(K309="","",K309)</f>
        <v/>
      </c>
      <c r="L349" s="38" t="str">
        <f t="shared" si="75"/>
        <v/>
      </c>
      <c r="M349" s="38" t="str">
        <f t="shared" si="75"/>
        <v/>
      </c>
      <c r="N349" s="17" t="str">
        <f t="shared" si="70"/>
        <v/>
      </c>
      <c r="O349" s="16" t="str">
        <f t="shared" si="71"/>
        <v/>
      </c>
      <c r="P349" s="55"/>
      <c r="Q349" s="57"/>
    </row>
    <row r="350" spans="1:20" ht="24" hidden="1" customHeight="1">
      <c r="A350" s="11">
        <v>5</v>
      </c>
      <c r="B350" s="12" t="str">
        <f t="shared" si="66"/>
        <v/>
      </c>
      <c r="C350" s="13"/>
      <c r="D350" s="42" t="str">
        <f>IF(D310="","",D310)</f>
        <v/>
      </c>
      <c r="E350" s="32" t="str">
        <f t="shared" ref="E350:H350" si="76">IF(E310="","",E310)</f>
        <v/>
      </c>
      <c r="F350" s="37" t="str">
        <f t="shared" si="76"/>
        <v/>
      </c>
      <c r="G350" s="37" t="str">
        <f t="shared" si="76"/>
        <v/>
      </c>
      <c r="H350" s="37" t="str">
        <f t="shared" si="76"/>
        <v/>
      </c>
      <c r="I350" s="13"/>
      <c r="J350" s="16" t="str">
        <f t="shared" si="67"/>
        <v/>
      </c>
      <c r="K350" s="38" t="str">
        <f t="shared" ref="K350:M350" si="77">IF(K310="","",K310)</f>
        <v/>
      </c>
      <c r="L350" s="38" t="str">
        <f t="shared" si="77"/>
        <v/>
      </c>
      <c r="M350" s="38" t="str">
        <f t="shared" si="77"/>
        <v/>
      </c>
      <c r="N350" s="17" t="str">
        <f t="shared" si="70"/>
        <v/>
      </c>
      <c r="O350" s="16" t="str">
        <f t="shared" si="71"/>
        <v/>
      </c>
      <c r="P350" s="58">
        <v>5</v>
      </c>
      <c r="Q350" s="59">
        <v>6</v>
      </c>
    </row>
    <row r="351" spans="1:20" ht="24" hidden="1" customHeight="1">
      <c r="A351" s="11">
        <v>6</v>
      </c>
      <c r="B351" s="12" t="str">
        <f t="shared" si="66"/>
        <v/>
      </c>
      <c r="C351" s="13"/>
      <c r="D351" s="42" t="str">
        <f>IF(D311="","",D311)</f>
        <v/>
      </c>
      <c r="E351" s="32" t="str">
        <f t="shared" ref="E351:H351" si="78">IF(E311="","",E311)</f>
        <v/>
      </c>
      <c r="F351" s="37" t="str">
        <f t="shared" si="78"/>
        <v/>
      </c>
      <c r="G351" s="37" t="str">
        <f t="shared" si="78"/>
        <v/>
      </c>
      <c r="H351" s="37" t="str">
        <f t="shared" si="78"/>
        <v/>
      </c>
      <c r="I351" s="13"/>
      <c r="J351" s="16" t="str">
        <f t="shared" si="67"/>
        <v/>
      </c>
      <c r="K351" s="38" t="str">
        <f t="shared" ref="K351:M351" si="79">IF(K311="","",K311)</f>
        <v/>
      </c>
      <c r="L351" s="38" t="str">
        <f t="shared" si="79"/>
        <v/>
      </c>
      <c r="M351" s="38" t="str">
        <f t="shared" si="79"/>
        <v/>
      </c>
      <c r="N351" s="17" t="str">
        <f t="shared" si="70"/>
        <v/>
      </c>
      <c r="O351" s="16" t="str">
        <f t="shared" si="71"/>
        <v/>
      </c>
      <c r="P351" s="58"/>
      <c r="Q351" s="59"/>
    </row>
    <row r="352" spans="1:20" s="21" customFormat="1" ht="22.5" customHeight="1">
      <c r="A352" s="60" t="s">
        <v>20</v>
      </c>
      <c r="B352" s="61"/>
      <c r="C352" s="61"/>
      <c r="D352" s="61"/>
      <c r="E352" s="61"/>
      <c r="F352" s="61"/>
      <c r="G352" s="61"/>
      <c r="H352" s="61"/>
      <c r="I352" s="36"/>
      <c r="J352" s="18">
        <f>SUM(J346:J351)</f>
        <v>650000</v>
      </c>
      <c r="K352" s="36"/>
      <c r="L352" s="36"/>
      <c r="M352" s="36"/>
      <c r="N352" s="19">
        <f>SUM(N346:N351)</f>
        <v>0</v>
      </c>
      <c r="O352" s="18">
        <f>SUM(O346:O351)</f>
        <v>650000</v>
      </c>
      <c r="P352" s="20"/>
      <c r="Q352" s="20"/>
      <c r="T352" s="22"/>
    </row>
    <row r="353" spans="1:20" ht="23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O353" s="23"/>
    </row>
    <row r="354" spans="1:20" ht="17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P354" s="24" t="s">
        <v>133</v>
      </c>
    </row>
    <row r="355" spans="1:20" ht="18" customHeight="1">
      <c r="A355" s="8"/>
      <c r="C355" s="24" t="s">
        <v>21</v>
      </c>
      <c r="D355" s="24"/>
      <c r="E355" s="24"/>
      <c r="F355" s="24"/>
      <c r="G355" s="24"/>
      <c r="H355" s="24"/>
      <c r="I355" s="24"/>
      <c r="J355" s="24"/>
      <c r="K355" s="24"/>
      <c r="L355" s="24"/>
      <c r="M355" s="8"/>
      <c r="P355" s="24" t="s">
        <v>134</v>
      </c>
    </row>
    <row r="356" spans="1:20">
      <c r="A356" s="8"/>
      <c r="C356" s="24" t="s">
        <v>22</v>
      </c>
      <c r="D356" s="24"/>
      <c r="E356" s="24"/>
      <c r="F356" s="24"/>
      <c r="G356" s="24"/>
      <c r="H356" s="24"/>
      <c r="I356" s="24"/>
      <c r="J356" s="24"/>
      <c r="K356" s="24"/>
      <c r="L356" s="24"/>
      <c r="M356" s="8"/>
      <c r="P356" s="24" t="s">
        <v>23</v>
      </c>
    </row>
    <row r="357" spans="1:20">
      <c r="A357" s="8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8"/>
      <c r="P357" s="25"/>
      <c r="T357" s="26"/>
    </row>
    <row r="358" spans="1:20">
      <c r="A358" s="8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8"/>
      <c r="P358" s="25"/>
    </row>
    <row r="359" spans="1:20">
      <c r="A359" s="8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8"/>
      <c r="P359" s="25"/>
    </row>
    <row r="360" spans="1:20">
      <c r="A360" s="8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8"/>
      <c r="P360" s="25"/>
    </row>
    <row r="361" spans="1:20">
      <c r="A361" s="8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8"/>
      <c r="P361" s="25"/>
    </row>
    <row r="362" spans="1:20" ht="15" customHeight="1">
      <c r="A362" s="8"/>
      <c r="C362" s="27" t="str">
        <f>IF(C322="","",C322)</f>
        <v>BADRUDDIN, S.Ag.</v>
      </c>
      <c r="D362" s="27"/>
      <c r="E362" s="28"/>
      <c r="F362" s="28"/>
      <c r="G362" s="28"/>
      <c r="H362" s="28"/>
      <c r="I362" s="28"/>
      <c r="J362" s="28"/>
      <c r="K362" s="28"/>
      <c r="L362" s="8"/>
      <c r="M362" s="8"/>
      <c r="P362" s="27" t="s">
        <v>76</v>
      </c>
    </row>
    <row r="363" spans="1:20" ht="15" customHeight="1">
      <c r="A363" s="8"/>
      <c r="C363" s="27" t="str">
        <f>IF(C323="","",C323)</f>
        <v>NIP. 197405082014121002</v>
      </c>
      <c r="D363" s="27"/>
      <c r="E363" s="28"/>
      <c r="F363" s="28"/>
      <c r="G363" s="28"/>
      <c r="H363" s="28"/>
      <c r="I363" s="28"/>
      <c r="J363" s="28"/>
      <c r="K363" s="28"/>
      <c r="L363" s="8"/>
      <c r="M363" s="8"/>
      <c r="P363" s="27" t="s">
        <v>77</v>
      </c>
    </row>
    <row r="376" spans="1:17" ht="17.25" customHeight="1">
      <c r="A376" s="64" t="s">
        <v>40</v>
      </c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</row>
    <row r="377" spans="1:17" ht="17.25" customHeight="1">
      <c r="A377" s="64" t="s">
        <v>135</v>
      </c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</row>
    <row r="378" spans="1:17" ht="1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" customHeight="1">
      <c r="C379" s="4" t="s">
        <v>0</v>
      </c>
      <c r="D379" s="5" t="s">
        <v>1</v>
      </c>
      <c r="F379" s="5"/>
      <c r="G379" s="5"/>
      <c r="H379" s="5"/>
      <c r="I379" s="5"/>
      <c r="J379" s="5"/>
      <c r="L379" s="6"/>
      <c r="M379" s="7"/>
      <c r="N379" s="4" t="s">
        <v>26</v>
      </c>
      <c r="O379" s="4" t="str">
        <f>O339</f>
        <v>: 07 Pengembangan Standar Pembiayaan</v>
      </c>
      <c r="P379" s="3"/>
    </row>
    <row r="380" spans="1:17" ht="15" customHeight="1">
      <c r="C380" s="4" t="s">
        <v>2</v>
      </c>
      <c r="D380" s="4" t="str">
        <f>D340</f>
        <v>: SD NEGERI LEBAKLEUNGSIR</v>
      </c>
      <c r="F380" s="4"/>
      <c r="G380" s="4"/>
      <c r="H380" s="4"/>
      <c r="I380" s="4"/>
      <c r="J380" s="4"/>
      <c r="L380" s="6"/>
      <c r="N380" s="4" t="s">
        <v>27</v>
      </c>
      <c r="O380" s="4" t="str">
        <f t="shared" ref="O380:O382" si="80">O340</f>
        <v>: Pembayaran Honor Guru</v>
      </c>
      <c r="P380" s="3"/>
    </row>
    <row r="381" spans="1:17" ht="15" customHeight="1">
      <c r="C381" s="4" t="s">
        <v>3</v>
      </c>
      <c r="D381" s="4" t="str">
        <f>D341</f>
        <v>: Cikalongwetan</v>
      </c>
      <c r="F381" s="4"/>
      <c r="G381" s="4"/>
      <c r="H381" s="4"/>
      <c r="I381" s="4"/>
      <c r="J381" s="4"/>
      <c r="L381" s="6"/>
      <c r="N381" s="8" t="s">
        <v>28</v>
      </c>
      <c r="O381" s="4" t="str">
        <f t="shared" si="80"/>
        <v>: 5.1.02.02.01.0013</v>
      </c>
      <c r="P381" s="3"/>
    </row>
    <row r="382" spans="1:17" ht="15" customHeight="1">
      <c r="C382" s="4" t="s">
        <v>5</v>
      </c>
      <c r="D382" s="4" t="str">
        <f>D342</f>
        <v>: Bandung Barat</v>
      </c>
      <c r="F382" s="4"/>
      <c r="G382" s="4"/>
      <c r="H382" s="4"/>
      <c r="I382" s="4"/>
      <c r="J382" s="4"/>
      <c r="L382" s="6"/>
      <c r="N382" s="4" t="s">
        <v>7</v>
      </c>
      <c r="O382" s="4" t="str">
        <f t="shared" si="80"/>
        <v>: 12</v>
      </c>
      <c r="P382" s="3"/>
      <c r="Q382" s="8"/>
    </row>
    <row r="383" spans="1:17" ht="15" customHeight="1">
      <c r="N383" s="8"/>
      <c r="O383" s="8"/>
      <c r="P383" s="8"/>
    </row>
    <row r="384" spans="1:17" ht="18.5" customHeight="1">
      <c r="A384" s="62" t="s">
        <v>8</v>
      </c>
      <c r="B384" s="65" t="s">
        <v>9</v>
      </c>
      <c r="C384" s="66"/>
      <c r="D384" s="62" t="s">
        <v>99</v>
      </c>
      <c r="E384" s="62" t="s">
        <v>10</v>
      </c>
      <c r="F384" s="69" t="s">
        <v>72</v>
      </c>
      <c r="G384" s="70"/>
      <c r="H384" s="70"/>
      <c r="I384" s="71"/>
      <c r="J384" s="72" t="s">
        <v>14</v>
      </c>
      <c r="K384" s="72" t="s">
        <v>11</v>
      </c>
      <c r="L384" s="65" t="s">
        <v>12</v>
      </c>
      <c r="M384" s="66"/>
      <c r="N384" s="74" t="s">
        <v>31</v>
      </c>
      <c r="O384" s="72" t="s">
        <v>16</v>
      </c>
      <c r="P384" s="65" t="s">
        <v>17</v>
      </c>
      <c r="Q384" s="66"/>
    </row>
    <row r="385" spans="1:20" ht="34" customHeight="1">
      <c r="A385" s="63"/>
      <c r="B385" s="67"/>
      <c r="C385" s="68"/>
      <c r="D385" s="63"/>
      <c r="E385" s="63"/>
      <c r="F385" s="35" t="s">
        <v>41</v>
      </c>
      <c r="G385" s="35" t="s">
        <v>73</v>
      </c>
      <c r="H385" s="35" t="s">
        <v>74</v>
      </c>
      <c r="I385" s="35"/>
      <c r="J385" s="73"/>
      <c r="K385" s="73"/>
      <c r="L385" s="67"/>
      <c r="M385" s="68"/>
      <c r="N385" s="75"/>
      <c r="O385" s="73"/>
      <c r="P385" s="67"/>
      <c r="Q385" s="68"/>
    </row>
    <row r="386" spans="1:20" ht="24" customHeight="1">
      <c r="A386" s="11">
        <v>1</v>
      </c>
      <c r="B386" s="12" t="str">
        <f t="shared" ref="B386:B391" si="81">IF(B346="","",B346)</f>
        <v>RISNA MARSELA HARTINI, S.Pd.</v>
      </c>
      <c r="C386" s="13"/>
      <c r="D386" s="42" t="str">
        <f>IF(D346="","",D346)</f>
        <v>1753780681230012</v>
      </c>
      <c r="E386" s="32" t="str">
        <f>IF(E346="","",E346)</f>
        <v>Guru Kelas</v>
      </c>
      <c r="F386" s="37">
        <f>IF(F346="","",F346)</f>
        <v>400000</v>
      </c>
      <c r="G386" s="37">
        <f>IF(G346="","",G346)</f>
        <v>150000</v>
      </c>
      <c r="H386" s="37">
        <f>IF(H346="","",H346)</f>
        <v>100000</v>
      </c>
      <c r="I386" s="13"/>
      <c r="J386" s="16">
        <f t="shared" ref="J386:J391" si="82">IF(B386="","",SUM(F386:I386))</f>
        <v>650000</v>
      </c>
      <c r="K386" s="38" t="str">
        <f t="shared" ref="K386:M387" si="83">IF(K346="","",K346)</f>
        <v>GTT</v>
      </c>
      <c r="L386" s="38">
        <f t="shared" si="83"/>
        <v>1</v>
      </c>
      <c r="M386" s="38" t="str">
        <f t="shared" si="83"/>
        <v>Bulan</v>
      </c>
      <c r="N386" s="17">
        <f>IFERROR(J386*0/100,"")</f>
        <v>0</v>
      </c>
      <c r="O386" s="16">
        <f>IFERROR(SUM(J386*L386)-N386,"")</f>
        <v>650000</v>
      </c>
      <c r="P386" s="54">
        <v>1</v>
      </c>
      <c r="Q386" s="56">
        <v>2</v>
      </c>
    </row>
    <row r="387" spans="1:20" ht="24" customHeight="1">
      <c r="A387" s="11">
        <v>2</v>
      </c>
      <c r="B387" s="12" t="str">
        <f t="shared" si="81"/>
        <v/>
      </c>
      <c r="C387" s="13"/>
      <c r="D387" s="42" t="str">
        <f>IF(D347="","",D347)</f>
        <v>2338750653110043</v>
      </c>
      <c r="E387" s="32" t="str">
        <f>IF(E347="","",E347)</f>
        <v>Guru Mapel</v>
      </c>
      <c r="F387" s="37">
        <f t="shared" ref="F387:H387" si="84">IF(F347="","",F347)</f>
        <v>250000</v>
      </c>
      <c r="G387" s="37" t="str">
        <f t="shared" si="84"/>
        <v/>
      </c>
      <c r="H387" s="37" t="str">
        <f t="shared" si="84"/>
        <v/>
      </c>
      <c r="I387" s="13"/>
      <c r="J387" s="16" t="str">
        <f t="shared" si="82"/>
        <v/>
      </c>
      <c r="K387" s="38" t="str">
        <f t="shared" si="83"/>
        <v/>
      </c>
      <c r="L387" s="38" t="str">
        <f t="shared" si="83"/>
        <v/>
      </c>
      <c r="M387" s="38" t="str">
        <f t="shared" si="83"/>
        <v/>
      </c>
      <c r="N387" s="17" t="str">
        <f t="shared" ref="N387:N391" si="85">IFERROR(J387*0/100,"")</f>
        <v/>
      </c>
      <c r="O387" s="16" t="str">
        <f t="shared" ref="O387:O391" si="86">IFERROR(SUM(J387*L387)-N387,"")</f>
        <v/>
      </c>
      <c r="P387" s="55"/>
      <c r="Q387" s="57"/>
    </row>
    <row r="388" spans="1:20" ht="24" customHeight="1">
      <c r="A388" s="11">
        <v>3</v>
      </c>
      <c r="B388" s="12" t="str">
        <f t="shared" si="81"/>
        <v/>
      </c>
      <c r="C388" s="13"/>
      <c r="D388" s="42" t="str">
        <f>IF(D348="","",D348)</f>
        <v/>
      </c>
      <c r="E388" s="32" t="str">
        <f t="shared" ref="E388:H388" si="87">IF(E348="","",E348)</f>
        <v/>
      </c>
      <c r="F388" s="37" t="str">
        <f t="shared" si="87"/>
        <v/>
      </c>
      <c r="G388" s="37" t="str">
        <f t="shared" si="87"/>
        <v>-</v>
      </c>
      <c r="H388" s="37" t="str">
        <f t="shared" si="87"/>
        <v>-</v>
      </c>
      <c r="I388" s="13"/>
      <c r="J388" s="16" t="str">
        <f t="shared" si="82"/>
        <v/>
      </c>
      <c r="K388" s="38" t="str">
        <f t="shared" ref="K388:M388" si="88">IF(K348="","",K348)</f>
        <v/>
      </c>
      <c r="L388" s="38" t="str">
        <f t="shared" si="88"/>
        <v/>
      </c>
      <c r="M388" s="38" t="str">
        <f t="shared" si="88"/>
        <v/>
      </c>
      <c r="N388" s="17" t="str">
        <f t="shared" si="85"/>
        <v/>
      </c>
      <c r="O388" s="16" t="str">
        <f t="shared" si="86"/>
        <v/>
      </c>
      <c r="P388" s="54">
        <v>3</v>
      </c>
      <c r="Q388" s="56">
        <v>4</v>
      </c>
    </row>
    <row r="389" spans="1:20" ht="24" customHeight="1">
      <c r="A389" s="11">
        <v>4</v>
      </c>
      <c r="B389" s="12" t="str">
        <f t="shared" si="81"/>
        <v/>
      </c>
      <c r="C389" s="13"/>
      <c r="D389" s="42" t="str">
        <f>IF(D349="","",D349)</f>
        <v/>
      </c>
      <c r="E389" s="32" t="str">
        <f t="shared" ref="E389:H389" si="89">IF(E349="","",E349)</f>
        <v/>
      </c>
      <c r="F389" s="37" t="str">
        <f t="shared" si="89"/>
        <v/>
      </c>
      <c r="G389" s="37" t="str">
        <f t="shared" si="89"/>
        <v/>
      </c>
      <c r="H389" s="37" t="str">
        <f t="shared" si="89"/>
        <v/>
      </c>
      <c r="I389" s="13"/>
      <c r="J389" s="16" t="str">
        <f t="shared" si="82"/>
        <v/>
      </c>
      <c r="K389" s="38" t="str">
        <f t="shared" ref="K389:M389" si="90">IF(K349="","",K349)</f>
        <v/>
      </c>
      <c r="L389" s="38" t="str">
        <f t="shared" si="90"/>
        <v/>
      </c>
      <c r="M389" s="38" t="str">
        <f t="shared" si="90"/>
        <v/>
      </c>
      <c r="N389" s="17" t="str">
        <f t="shared" si="85"/>
        <v/>
      </c>
      <c r="O389" s="16" t="str">
        <f t="shared" si="86"/>
        <v/>
      </c>
      <c r="P389" s="55"/>
      <c r="Q389" s="57"/>
    </row>
    <row r="390" spans="1:20" ht="24" hidden="1" customHeight="1">
      <c r="A390" s="11">
        <v>5</v>
      </c>
      <c r="B390" s="12" t="str">
        <f t="shared" si="81"/>
        <v/>
      </c>
      <c r="C390" s="13"/>
      <c r="D390" s="42" t="str">
        <f>IF(D350="","",D350)</f>
        <v/>
      </c>
      <c r="E390" s="32" t="str">
        <f t="shared" ref="E390:H390" si="91">IF(E350="","",E350)</f>
        <v/>
      </c>
      <c r="F390" s="37" t="str">
        <f t="shared" si="91"/>
        <v/>
      </c>
      <c r="G390" s="37" t="str">
        <f t="shared" si="91"/>
        <v/>
      </c>
      <c r="H390" s="37" t="str">
        <f t="shared" si="91"/>
        <v/>
      </c>
      <c r="I390" s="13"/>
      <c r="J390" s="16" t="str">
        <f t="shared" si="82"/>
        <v/>
      </c>
      <c r="K390" s="38" t="str">
        <f t="shared" ref="K390:M390" si="92">IF(K350="","",K350)</f>
        <v/>
      </c>
      <c r="L390" s="38" t="str">
        <f t="shared" si="92"/>
        <v/>
      </c>
      <c r="M390" s="38" t="str">
        <f t="shared" si="92"/>
        <v/>
      </c>
      <c r="N390" s="17" t="str">
        <f t="shared" si="85"/>
        <v/>
      </c>
      <c r="O390" s="16" t="str">
        <f t="shared" si="86"/>
        <v/>
      </c>
      <c r="P390" s="58">
        <v>5</v>
      </c>
      <c r="Q390" s="59">
        <v>6</v>
      </c>
    </row>
    <row r="391" spans="1:20" ht="24" hidden="1" customHeight="1">
      <c r="A391" s="11">
        <v>6</v>
      </c>
      <c r="B391" s="12" t="str">
        <f t="shared" si="81"/>
        <v/>
      </c>
      <c r="C391" s="13"/>
      <c r="D391" s="42" t="str">
        <f>IF(D351="","",D351)</f>
        <v/>
      </c>
      <c r="E391" s="32" t="str">
        <f t="shared" ref="E391:H391" si="93">IF(E351="","",E351)</f>
        <v/>
      </c>
      <c r="F391" s="37" t="str">
        <f t="shared" si="93"/>
        <v/>
      </c>
      <c r="G391" s="37" t="str">
        <f t="shared" si="93"/>
        <v/>
      </c>
      <c r="H391" s="37" t="str">
        <f t="shared" si="93"/>
        <v/>
      </c>
      <c r="I391" s="13"/>
      <c r="J391" s="16" t="str">
        <f t="shared" si="82"/>
        <v/>
      </c>
      <c r="K391" s="38" t="str">
        <f t="shared" ref="K391:M391" si="94">IF(K351="","",K351)</f>
        <v/>
      </c>
      <c r="L391" s="38" t="str">
        <f t="shared" si="94"/>
        <v/>
      </c>
      <c r="M391" s="38" t="str">
        <f t="shared" si="94"/>
        <v/>
      </c>
      <c r="N391" s="17" t="str">
        <f t="shared" si="85"/>
        <v/>
      </c>
      <c r="O391" s="16" t="str">
        <f t="shared" si="86"/>
        <v/>
      </c>
      <c r="P391" s="58"/>
      <c r="Q391" s="59"/>
    </row>
    <row r="392" spans="1:20" s="21" customFormat="1" ht="22.5" customHeight="1">
      <c r="A392" s="60" t="s">
        <v>20</v>
      </c>
      <c r="B392" s="61"/>
      <c r="C392" s="61"/>
      <c r="D392" s="61"/>
      <c r="E392" s="61"/>
      <c r="F392" s="61"/>
      <c r="G392" s="61"/>
      <c r="H392" s="61"/>
      <c r="I392" s="36"/>
      <c r="J392" s="18">
        <f>SUM(J386:J391)</f>
        <v>650000</v>
      </c>
      <c r="K392" s="36"/>
      <c r="L392" s="36"/>
      <c r="M392" s="36"/>
      <c r="N392" s="19">
        <f>SUM(N386:N391)</f>
        <v>0</v>
      </c>
      <c r="O392" s="18">
        <f>SUM(O386:O391)</f>
        <v>650000</v>
      </c>
      <c r="P392" s="20"/>
      <c r="Q392" s="20"/>
      <c r="T392" s="22"/>
    </row>
    <row r="393" spans="1:20" ht="23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O393" s="23"/>
    </row>
    <row r="394" spans="1:20" ht="17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P394" s="24" t="s">
        <v>136</v>
      </c>
    </row>
    <row r="395" spans="1:20" ht="18" customHeight="1">
      <c r="A395" s="8"/>
      <c r="C395" s="24" t="s">
        <v>21</v>
      </c>
      <c r="D395" s="24"/>
      <c r="E395" s="24"/>
      <c r="F395" s="24"/>
      <c r="G395" s="24"/>
      <c r="H395" s="24"/>
      <c r="I395" s="24"/>
      <c r="J395" s="24"/>
      <c r="K395" s="24"/>
      <c r="L395" s="24"/>
      <c r="M395" s="8"/>
      <c r="P395" s="24" t="s">
        <v>137</v>
      </c>
    </row>
    <row r="396" spans="1:20">
      <c r="A396" s="8"/>
      <c r="C396" s="24" t="s">
        <v>22</v>
      </c>
      <c r="D396" s="24"/>
      <c r="E396" s="24"/>
      <c r="F396" s="24"/>
      <c r="G396" s="24"/>
      <c r="H396" s="24"/>
      <c r="I396" s="24"/>
      <c r="J396" s="24"/>
      <c r="K396" s="24"/>
      <c r="L396" s="24"/>
      <c r="M396" s="8"/>
      <c r="P396" s="24" t="s">
        <v>23</v>
      </c>
    </row>
    <row r="397" spans="1:20">
      <c r="A397" s="8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8"/>
      <c r="P397" s="25"/>
      <c r="T397" s="26"/>
    </row>
    <row r="398" spans="1:20">
      <c r="A398" s="8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8"/>
      <c r="P398" s="25"/>
    </row>
    <row r="399" spans="1:20">
      <c r="A399" s="8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8"/>
      <c r="P399" s="25"/>
    </row>
    <row r="400" spans="1:20">
      <c r="A400" s="8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8"/>
      <c r="P400" s="25"/>
    </row>
    <row r="401" spans="1:17">
      <c r="A401" s="8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8"/>
      <c r="P401" s="25"/>
    </row>
    <row r="402" spans="1:17" ht="15" customHeight="1">
      <c r="A402" s="8"/>
      <c r="C402" s="27" t="str">
        <f>IF(C362="","",C362)</f>
        <v>BADRUDDIN, S.Ag.</v>
      </c>
      <c r="D402" s="27"/>
      <c r="E402" s="28"/>
      <c r="F402" s="28"/>
      <c r="G402" s="28"/>
      <c r="H402" s="28"/>
      <c r="I402" s="28"/>
      <c r="J402" s="28"/>
      <c r="K402" s="28"/>
      <c r="L402" s="8"/>
      <c r="M402" s="8"/>
      <c r="P402" s="27" t="s">
        <v>76</v>
      </c>
    </row>
    <row r="403" spans="1:17" ht="15" customHeight="1">
      <c r="A403" s="8"/>
      <c r="C403" s="27" t="str">
        <f>IF(C363="","",C363)</f>
        <v>NIP. 197405082014121002</v>
      </c>
      <c r="D403" s="27"/>
      <c r="E403" s="28"/>
      <c r="F403" s="28"/>
      <c r="G403" s="28"/>
      <c r="H403" s="28"/>
      <c r="I403" s="28"/>
      <c r="J403" s="28"/>
      <c r="K403" s="28"/>
      <c r="L403" s="8"/>
      <c r="M403" s="8"/>
      <c r="P403" s="27" t="s">
        <v>77</v>
      </c>
    </row>
    <row r="416" spans="1:17" ht="17.25" customHeight="1">
      <c r="A416" s="64" t="s">
        <v>40</v>
      </c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</row>
    <row r="417" spans="1:20" ht="17.25" customHeight="1">
      <c r="A417" s="64" t="s">
        <v>138</v>
      </c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</row>
    <row r="418" spans="1:20" ht="1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20" ht="15" customHeight="1">
      <c r="C419" s="4" t="s">
        <v>0</v>
      </c>
      <c r="D419" s="5" t="s">
        <v>1</v>
      </c>
      <c r="F419" s="5"/>
      <c r="G419" s="5"/>
      <c r="H419" s="5"/>
      <c r="I419" s="5"/>
      <c r="J419" s="5"/>
      <c r="L419" s="6"/>
      <c r="M419" s="7"/>
      <c r="N419" s="4" t="s">
        <v>26</v>
      </c>
      <c r="O419" s="4" t="str">
        <f>O379</f>
        <v>: 07 Pengembangan Standar Pembiayaan</v>
      </c>
      <c r="P419" s="3"/>
    </row>
    <row r="420" spans="1:20" ht="15" customHeight="1">
      <c r="C420" s="4" t="s">
        <v>2</v>
      </c>
      <c r="D420" s="4" t="str">
        <f>D380</f>
        <v>: SD NEGERI LEBAKLEUNGSIR</v>
      </c>
      <c r="F420" s="4"/>
      <c r="G420" s="4"/>
      <c r="H420" s="4"/>
      <c r="I420" s="4"/>
      <c r="J420" s="4"/>
      <c r="L420" s="6"/>
      <c r="N420" s="4" t="s">
        <v>27</v>
      </c>
      <c r="O420" s="4" t="str">
        <f t="shared" ref="O420:O422" si="95">O380</f>
        <v>: Pembayaran Honor Guru</v>
      </c>
      <c r="P420" s="3"/>
    </row>
    <row r="421" spans="1:20" ht="15" customHeight="1">
      <c r="C421" s="4" t="s">
        <v>3</v>
      </c>
      <c r="D421" s="4" t="str">
        <f>D381</f>
        <v>: Cikalongwetan</v>
      </c>
      <c r="F421" s="4"/>
      <c r="G421" s="4"/>
      <c r="H421" s="4"/>
      <c r="I421" s="4"/>
      <c r="J421" s="4"/>
      <c r="L421" s="6"/>
      <c r="N421" s="8" t="s">
        <v>28</v>
      </c>
      <c r="O421" s="4" t="str">
        <f t="shared" si="95"/>
        <v>: 5.1.02.02.01.0013</v>
      </c>
      <c r="P421" s="3"/>
    </row>
    <row r="422" spans="1:20" ht="15" customHeight="1">
      <c r="C422" s="4" t="s">
        <v>5</v>
      </c>
      <c r="D422" s="4" t="str">
        <f>D382</f>
        <v>: Bandung Barat</v>
      </c>
      <c r="F422" s="4"/>
      <c r="G422" s="4"/>
      <c r="H422" s="4"/>
      <c r="I422" s="4"/>
      <c r="J422" s="4"/>
      <c r="L422" s="6"/>
      <c r="N422" s="4" t="s">
        <v>7</v>
      </c>
      <c r="O422" s="4" t="str">
        <f t="shared" si="95"/>
        <v>: 12</v>
      </c>
      <c r="P422" s="3"/>
      <c r="Q422" s="8"/>
    </row>
    <row r="423" spans="1:20" ht="15" customHeight="1">
      <c r="N423" s="8"/>
      <c r="O423" s="8"/>
      <c r="P423" s="8"/>
    </row>
    <row r="424" spans="1:20" ht="18.5" customHeight="1">
      <c r="A424" s="62" t="s">
        <v>8</v>
      </c>
      <c r="B424" s="65" t="s">
        <v>9</v>
      </c>
      <c r="C424" s="66"/>
      <c r="D424" s="62" t="s">
        <v>99</v>
      </c>
      <c r="E424" s="62" t="s">
        <v>10</v>
      </c>
      <c r="F424" s="69" t="s">
        <v>72</v>
      </c>
      <c r="G424" s="70"/>
      <c r="H424" s="70"/>
      <c r="I424" s="71"/>
      <c r="J424" s="72" t="s">
        <v>14</v>
      </c>
      <c r="K424" s="72" t="s">
        <v>11</v>
      </c>
      <c r="L424" s="65" t="s">
        <v>12</v>
      </c>
      <c r="M424" s="66"/>
      <c r="N424" s="74" t="s">
        <v>31</v>
      </c>
      <c r="O424" s="72" t="s">
        <v>16</v>
      </c>
      <c r="P424" s="65" t="s">
        <v>17</v>
      </c>
      <c r="Q424" s="66"/>
    </row>
    <row r="425" spans="1:20" ht="34" customHeight="1">
      <c r="A425" s="63"/>
      <c r="B425" s="67"/>
      <c r="C425" s="68"/>
      <c r="D425" s="63"/>
      <c r="E425" s="63"/>
      <c r="F425" s="35" t="s">
        <v>41</v>
      </c>
      <c r="G425" s="35" t="s">
        <v>73</v>
      </c>
      <c r="H425" s="35" t="s">
        <v>74</v>
      </c>
      <c r="I425" s="35"/>
      <c r="J425" s="73"/>
      <c r="K425" s="73"/>
      <c r="L425" s="67"/>
      <c r="M425" s="68"/>
      <c r="N425" s="75"/>
      <c r="O425" s="73"/>
      <c r="P425" s="67"/>
      <c r="Q425" s="68"/>
    </row>
    <row r="426" spans="1:20" ht="24" customHeight="1">
      <c r="A426" s="11">
        <v>1</v>
      </c>
      <c r="B426" s="12" t="str">
        <f t="shared" ref="B426:B431" si="96">IF(B386="","",B386)</f>
        <v>RISNA MARSELA HARTINI, S.Pd.</v>
      </c>
      <c r="C426" s="13"/>
      <c r="D426" s="42" t="str">
        <f>IF(D386="","",D386)</f>
        <v>1753780681230012</v>
      </c>
      <c r="E426" s="32" t="str">
        <f>IF(E386="","",E386)</f>
        <v>Guru Kelas</v>
      </c>
      <c r="F426" s="37">
        <f>IF(F386="","",F386)</f>
        <v>400000</v>
      </c>
      <c r="G426" s="37">
        <f>IF(G386="","",G386)</f>
        <v>150000</v>
      </c>
      <c r="H426" s="37">
        <f>IF(H386="","",H386)</f>
        <v>100000</v>
      </c>
      <c r="I426" s="13"/>
      <c r="J426" s="16">
        <f t="shared" ref="J426:J431" si="97">IF(B426="","",SUM(F426:I426))</f>
        <v>650000</v>
      </c>
      <c r="K426" s="38" t="str">
        <f t="shared" ref="K426:M427" si="98">IF(K386="","",K386)</f>
        <v>GTT</v>
      </c>
      <c r="L426" s="38">
        <f t="shared" si="98"/>
        <v>1</v>
      </c>
      <c r="M426" s="38" t="str">
        <f t="shared" si="98"/>
        <v>Bulan</v>
      </c>
      <c r="N426" s="17">
        <f>IFERROR(J426*0/100,"")</f>
        <v>0</v>
      </c>
      <c r="O426" s="16">
        <f>IFERROR(SUM(J426*L426)-N426,"")</f>
        <v>650000</v>
      </c>
      <c r="P426" s="54">
        <v>1</v>
      </c>
      <c r="Q426" s="56">
        <v>2</v>
      </c>
    </row>
    <row r="427" spans="1:20" ht="24" customHeight="1">
      <c r="A427" s="11">
        <v>2</v>
      </c>
      <c r="B427" s="12" t="str">
        <f t="shared" si="96"/>
        <v/>
      </c>
      <c r="C427" s="13"/>
      <c r="D427" s="42" t="str">
        <f>IF(D387="","",D387)</f>
        <v>2338750653110043</v>
      </c>
      <c r="E427" s="32" t="str">
        <f>IF(E387="","",E387)</f>
        <v>Guru Mapel</v>
      </c>
      <c r="F427" s="37">
        <f t="shared" ref="F427:H427" si="99">IF(F387="","",F387)</f>
        <v>250000</v>
      </c>
      <c r="G427" s="37" t="str">
        <f t="shared" si="99"/>
        <v/>
      </c>
      <c r="H427" s="37" t="str">
        <f t="shared" si="99"/>
        <v/>
      </c>
      <c r="I427" s="13"/>
      <c r="J427" s="16" t="str">
        <f t="shared" si="97"/>
        <v/>
      </c>
      <c r="K427" s="38" t="str">
        <f t="shared" si="98"/>
        <v/>
      </c>
      <c r="L427" s="38" t="str">
        <f t="shared" si="98"/>
        <v/>
      </c>
      <c r="M427" s="38" t="str">
        <f t="shared" si="98"/>
        <v/>
      </c>
      <c r="N427" s="17" t="str">
        <f t="shared" ref="N427:N431" si="100">IFERROR(J427*0/100,"")</f>
        <v/>
      </c>
      <c r="O427" s="16" t="str">
        <f t="shared" ref="O427:O431" si="101">IFERROR(SUM(J427*L427)-N427,"")</f>
        <v/>
      </c>
      <c r="P427" s="55"/>
      <c r="Q427" s="57"/>
    </row>
    <row r="428" spans="1:20" ht="24" customHeight="1">
      <c r="A428" s="11">
        <v>3</v>
      </c>
      <c r="B428" s="12" t="str">
        <f t="shared" si="96"/>
        <v/>
      </c>
      <c r="C428" s="13"/>
      <c r="D428" s="42" t="str">
        <f>IF(D388="","",D388)</f>
        <v/>
      </c>
      <c r="E428" s="32" t="str">
        <f t="shared" ref="E428:H428" si="102">IF(E388="","",E388)</f>
        <v/>
      </c>
      <c r="F428" s="37" t="str">
        <f t="shared" si="102"/>
        <v/>
      </c>
      <c r="G428" s="37" t="str">
        <f t="shared" si="102"/>
        <v>-</v>
      </c>
      <c r="H428" s="37" t="str">
        <f t="shared" si="102"/>
        <v>-</v>
      </c>
      <c r="I428" s="13"/>
      <c r="J428" s="16" t="str">
        <f t="shared" si="97"/>
        <v/>
      </c>
      <c r="K428" s="38" t="str">
        <f t="shared" ref="K428:M428" si="103">IF(K388="","",K388)</f>
        <v/>
      </c>
      <c r="L428" s="38" t="str">
        <f t="shared" si="103"/>
        <v/>
      </c>
      <c r="M428" s="38" t="str">
        <f t="shared" si="103"/>
        <v/>
      </c>
      <c r="N428" s="17" t="str">
        <f t="shared" si="100"/>
        <v/>
      </c>
      <c r="O428" s="16" t="str">
        <f t="shared" si="101"/>
        <v/>
      </c>
      <c r="P428" s="54">
        <v>3</v>
      </c>
      <c r="Q428" s="56">
        <v>4</v>
      </c>
    </row>
    <row r="429" spans="1:20" ht="24" customHeight="1">
      <c r="A429" s="11">
        <v>4</v>
      </c>
      <c r="B429" s="12" t="str">
        <f t="shared" si="96"/>
        <v/>
      </c>
      <c r="C429" s="13"/>
      <c r="D429" s="42" t="str">
        <f>IF(D389="","",D389)</f>
        <v/>
      </c>
      <c r="E429" s="32" t="str">
        <f t="shared" ref="E429:H429" si="104">IF(E389="","",E389)</f>
        <v/>
      </c>
      <c r="F429" s="37" t="str">
        <f t="shared" si="104"/>
        <v/>
      </c>
      <c r="G429" s="37" t="str">
        <f t="shared" si="104"/>
        <v/>
      </c>
      <c r="H429" s="37" t="str">
        <f t="shared" si="104"/>
        <v/>
      </c>
      <c r="I429" s="13"/>
      <c r="J429" s="16" t="str">
        <f t="shared" si="97"/>
        <v/>
      </c>
      <c r="K429" s="38" t="str">
        <f t="shared" ref="K429:M429" si="105">IF(K389="","",K389)</f>
        <v/>
      </c>
      <c r="L429" s="38" t="str">
        <f t="shared" si="105"/>
        <v/>
      </c>
      <c r="M429" s="38" t="str">
        <f t="shared" si="105"/>
        <v/>
      </c>
      <c r="N429" s="17" t="str">
        <f t="shared" si="100"/>
        <v/>
      </c>
      <c r="O429" s="16" t="str">
        <f t="shared" si="101"/>
        <v/>
      </c>
      <c r="P429" s="55"/>
      <c r="Q429" s="57"/>
    </row>
    <row r="430" spans="1:20" ht="24" hidden="1" customHeight="1">
      <c r="A430" s="11">
        <v>5</v>
      </c>
      <c r="B430" s="12" t="str">
        <f t="shared" si="96"/>
        <v/>
      </c>
      <c r="C430" s="13"/>
      <c r="D430" s="42" t="str">
        <f>IF(D390="","",D390)</f>
        <v/>
      </c>
      <c r="E430" s="32" t="str">
        <f t="shared" ref="E430:H430" si="106">IF(E390="","",E390)</f>
        <v/>
      </c>
      <c r="F430" s="37" t="str">
        <f t="shared" si="106"/>
        <v/>
      </c>
      <c r="G430" s="37" t="str">
        <f t="shared" si="106"/>
        <v/>
      </c>
      <c r="H430" s="37" t="str">
        <f t="shared" si="106"/>
        <v/>
      </c>
      <c r="I430" s="13"/>
      <c r="J430" s="16" t="str">
        <f t="shared" si="97"/>
        <v/>
      </c>
      <c r="K430" s="38" t="str">
        <f t="shared" ref="K430:M430" si="107">IF(K390="","",K390)</f>
        <v/>
      </c>
      <c r="L430" s="38" t="str">
        <f t="shared" si="107"/>
        <v/>
      </c>
      <c r="M430" s="38" t="str">
        <f t="shared" si="107"/>
        <v/>
      </c>
      <c r="N430" s="17" t="str">
        <f t="shared" si="100"/>
        <v/>
      </c>
      <c r="O430" s="16" t="str">
        <f t="shared" si="101"/>
        <v/>
      </c>
      <c r="P430" s="58">
        <v>5</v>
      </c>
      <c r="Q430" s="59">
        <v>6</v>
      </c>
    </row>
    <row r="431" spans="1:20" ht="24" hidden="1" customHeight="1">
      <c r="A431" s="11">
        <v>6</v>
      </c>
      <c r="B431" s="12" t="str">
        <f t="shared" si="96"/>
        <v/>
      </c>
      <c r="C431" s="13"/>
      <c r="D431" s="42" t="str">
        <f>IF(D391="","",D391)</f>
        <v/>
      </c>
      <c r="E431" s="32" t="str">
        <f t="shared" ref="E431:H431" si="108">IF(E391="","",E391)</f>
        <v/>
      </c>
      <c r="F431" s="37" t="str">
        <f t="shared" si="108"/>
        <v/>
      </c>
      <c r="G431" s="37" t="str">
        <f t="shared" si="108"/>
        <v/>
      </c>
      <c r="H431" s="37" t="str">
        <f t="shared" si="108"/>
        <v/>
      </c>
      <c r="I431" s="13"/>
      <c r="J431" s="16" t="str">
        <f t="shared" si="97"/>
        <v/>
      </c>
      <c r="K431" s="38" t="str">
        <f t="shared" ref="K431:M431" si="109">IF(K391="","",K391)</f>
        <v/>
      </c>
      <c r="L431" s="38" t="str">
        <f t="shared" si="109"/>
        <v/>
      </c>
      <c r="M431" s="38" t="str">
        <f t="shared" si="109"/>
        <v/>
      </c>
      <c r="N431" s="17" t="str">
        <f t="shared" si="100"/>
        <v/>
      </c>
      <c r="O431" s="16" t="str">
        <f t="shared" si="101"/>
        <v/>
      </c>
      <c r="P431" s="58"/>
      <c r="Q431" s="59"/>
    </row>
    <row r="432" spans="1:20" s="21" customFormat="1" ht="22.5" customHeight="1">
      <c r="A432" s="60" t="s">
        <v>20</v>
      </c>
      <c r="B432" s="61"/>
      <c r="C432" s="61"/>
      <c r="D432" s="61"/>
      <c r="E432" s="61"/>
      <c r="F432" s="61"/>
      <c r="G432" s="61"/>
      <c r="H432" s="61"/>
      <c r="I432" s="36"/>
      <c r="J432" s="18">
        <f>SUM(J426:J431)</f>
        <v>650000</v>
      </c>
      <c r="K432" s="36"/>
      <c r="L432" s="36"/>
      <c r="M432" s="36"/>
      <c r="N432" s="19">
        <f>SUM(N426:N431)</f>
        <v>0</v>
      </c>
      <c r="O432" s="18">
        <f>SUM(O426:O431)</f>
        <v>650000</v>
      </c>
      <c r="P432" s="20"/>
      <c r="Q432" s="20"/>
      <c r="T432" s="22"/>
    </row>
    <row r="433" spans="1:20" ht="23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O433" s="23"/>
    </row>
    <row r="434" spans="1:20" ht="17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P434" s="24" t="s">
        <v>139</v>
      </c>
    </row>
    <row r="435" spans="1:20" ht="18" customHeight="1">
      <c r="A435" s="8"/>
      <c r="C435" s="24" t="s">
        <v>21</v>
      </c>
      <c r="D435" s="24"/>
      <c r="E435" s="24"/>
      <c r="F435" s="24"/>
      <c r="G435" s="24"/>
      <c r="H435" s="24"/>
      <c r="I435" s="24"/>
      <c r="J435" s="24"/>
      <c r="K435" s="24"/>
      <c r="L435" s="24"/>
      <c r="M435" s="8"/>
      <c r="P435" s="24" t="s">
        <v>140</v>
      </c>
    </row>
    <row r="436" spans="1:20">
      <c r="A436" s="8"/>
      <c r="C436" s="24" t="s">
        <v>22</v>
      </c>
      <c r="D436" s="24"/>
      <c r="E436" s="24"/>
      <c r="F436" s="24"/>
      <c r="G436" s="24"/>
      <c r="H436" s="24"/>
      <c r="I436" s="24"/>
      <c r="J436" s="24"/>
      <c r="K436" s="24"/>
      <c r="L436" s="24"/>
      <c r="M436" s="8"/>
      <c r="P436" s="24" t="s">
        <v>23</v>
      </c>
    </row>
    <row r="437" spans="1:20">
      <c r="A437" s="8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8"/>
      <c r="P437" s="25"/>
      <c r="T437" s="26"/>
    </row>
    <row r="438" spans="1:20">
      <c r="A438" s="8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8"/>
      <c r="P438" s="25"/>
    </row>
    <row r="439" spans="1:20">
      <c r="A439" s="8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8"/>
      <c r="P439" s="25"/>
    </row>
    <row r="440" spans="1:20">
      <c r="A440" s="8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8"/>
      <c r="P440" s="25"/>
    </row>
    <row r="441" spans="1:20">
      <c r="A441" s="8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8"/>
      <c r="P441" s="25"/>
    </row>
    <row r="442" spans="1:20" ht="15" customHeight="1">
      <c r="A442" s="8"/>
      <c r="C442" s="27" t="str">
        <f>IF(C402="","",C402)</f>
        <v>BADRUDDIN, S.Ag.</v>
      </c>
      <c r="D442" s="27"/>
      <c r="E442" s="28"/>
      <c r="F442" s="28"/>
      <c r="G442" s="28"/>
      <c r="H442" s="28"/>
      <c r="I442" s="28"/>
      <c r="J442" s="28"/>
      <c r="K442" s="28"/>
      <c r="L442" s="8"/>
      <c r="M442" s="8"/>
      <c r="P442" s="27" t="s">
        <v>76</v>
      </c>
    </row>
    <row r="443" spans="1:20" ht="15" customHeight="1">
      <c r="A443" s="8"/>
      <c r="C443" s="27" t="str">
        <f>IF(C403="","",C403)</f>
        <v>NIP. 197405082014121002</v>
      </c>
      <c r="D443" s="27"/>
      <c r="E443" s="28"/>
      <c r="F443" s="28"/>
      <c r="G443" s="28"/>
      <c r="H443" s="28"/>
      <c r="I443" s="28"/>
      <c r="J443" s="28"/>
      <c r="K443" s="28"/>
      <c r="L443" s="8"/>
      <c r="M443" s="8"/>
      <c r="P443" s="27" t="s">
        <v>77</v>
      </c>
    </row>
  </sheetData>
  <mergeCells count="239">
    <mergeCell ref="A384:A385"/>
    <mergeCell ref="B384:C385"/>
    <mergeCell ref="E384:E385"/>
    <mergeCell ref="F384:I384"/>
    <mergeCell ref="J384:J385"/>
    <mergeCell ref="K384:K385"/>
    <mergeCell ref="L384:M385"/>
    <mergeCell ref="A1:Q1"/>
    <mergeCell ref="A2:Q2"/>
    <mergeCell ref="A9:A10"/>
    <mergeCell ref="B9:C10"/>
    <mergeCell ref="J9:J10"/>
    <mergeCell ref="E9:E10"/>
    <mergeCell ref="F9:I9"/>
    <mergeCell ref="K9:K10"/>
    <mergeCell ref="A377:Q377"/>
    <mergeCell ref="P46:P47"/>
    <mergeCell ref="Q46:Q47"/>
    <mergeCell ref="P48:P49"/>
    <mergeCell ref="Q48:Q49"/>
    <mergeCell ref="P11:P12"/>
    <mergeCell ref="Q11:Q12"/>
    <mergeCell ref="P13:P14"/>
    <mergeCell ref="Q13:Q14"/>
    <mergeCell ref="P50:P51"/>
    <mergeCell ref="Q50:Q51"/>
    <mergeCell ref="A52:H52"/>
    <mergeCell ref="A72:Q72"/>
    <mergeCell ref="A73:Q73"/>
    <mergeCell ref="A80:A81"/>
    <mergeCell ref="B80:C81"/>
    <mergeCell ref="E80:E81"/>
    <mergeCell ref="F80:I80"/>
    <mergeCell ref="J80:J81"/>
    <mergeCell ref="K80:K81"/>
    <mergeCell ref="L80:M81"/>
    <mergeCell ref="N80:N81"/>
    <mergeCell ref="O80:O81"/>
    <mergeCell ref="P80:Q81"/>
    <mergeCell ref="A160:H160"/>
    <mergeCell ref="A180:Q180"/>
    <mergeCell ref="A181:Q181"/>
    <mergeCell ref="A88:H88"/>
    <mergeCell ref="A108:Q108"/>
    <mergeCell ref="A109:Q109"/>
    <mergeCell ref="A116:A117"/>
    <mergeCell ref="B116:C117"/>
    <mergeCell ref="E116:E117"/>
    <mergeCell ref="F116:I116"/>
    <mergeCell ref="J116:J117"/>
    <mergeCell ref="K116:K117"/>
    <mergeCell ref="L116:M117"/>
    <mergeCell ref="N116:N117"/>
    <mergeCell ref="O116:O117"/>
    <mergeCell ref="P116:Q117"/>
    <mergeCell ref="P118:P119"/>
    <mergeCell ref="Q118:Q119"/>
    <mergeCell ref="P120:P121"/>
    <mergeCell ref="Q120:Q121"/>
    <mergeCell ref="P122:P123"/>
    <mergeCell ref="Q122:Q123"/>
    <mergeCell ref="A124:H124"/>
    <mergeCell ref="P188:Q189"/>
    <mergeCell ref="P190:P191"/>
    <mergeCell ref="Q190:Q191"/>
    <mergeCell ref="P192:P193"/>
    <mergeCell ref="Q192:Q193"/>
    <mergeCell ref="P154:P155"/>
    <mergeCell ref="Q154:Q155"/>
    <mergeCell ref="P156:P157"/>
    <mergeCell ref="Q156:Q157"/>
    <mergeCell ref="P158:P159"/>
    <mergeCell ref="Q158:Q159"/>
    <mergeCell ref="A188:A189"/>
    <mergeCell ref="B188:C189"/>
    <mergeCell ref="E188:E189"/>
    <mergeCell ref="F188:I188"/>
    <mergeCell ref="J188:J189"/>
    <mergeCell ref="K188:K189"/>
    <mergeCell ref="L188:M189"/>
    <mergeCell ref="N188:N189"/>
    <mergeCell ref="O188:O189"/>
    <mergeCell ref="P266:P267"/>
    <mergeCell ref="Q266:Q267"/>
    <mergeCell ref="P226:P227"/>
    <mergeCell ref="Q226:Q227"/>
    <mergeCell ref="P228:P229"/>
    <mergeCell ref="Q228:Q229"/>
    <mergeCell ref="P230:P231"/>
    <mergeCell ref="Q230:Q231"/>
    <mergeCell ref="A232:H232"/>
    <mergeCell ref="A256:Q256"/>
    <mergeCell ref="A257:Q257"/>
    <mergeCell ref="A264:A265"/>
    <mergeCell ref="B264:C265"/>
    <mergeCell ref="E264:E265"/>
    <mergeCell ref="F264:I264"/>
    <mergeCell ref="J264:J265"/>
    <mergeCell ref="K264:K265"/>
    <mergeCell ref="L264:M265"/>
    <mergeCell ref="N264:N265"/>
    <mergeCell ref="O264:O265"/>
    <mergeCell ref="P264:Q265"/>
    <mergeCell ref="L9:M10"/>
    <mergeCell ref="N9:N10"/>
    <mergeCell ref="O9:O10"/>
    <mergeCell ref="P9:Q10"/>
    <mergeCell ref="A44:A45"/>
    <mergeCell ref="B44:C45"/>
    <mergeCell ref="E44:E45"/>
    <mergeCell ref="F44:I44"/>
    <mergeCell ref="J44:J45"/>
    <mergeCell ref="K44:K45"/>
    <mergeCell ref="L44:M45"/>
    <mergeCell ref="N44:N45"/>
    <mergeCell ref="O44:O45"/>
    <mergeCell ref="P44:Q45"/>
    <mergeCell ref="A36:Q36"/>
    <mergeCell ref="A37:Q37"/>
    <mergeCell ref="P15:P16"/>
    <mergeCell ref="Q15:Q16"/>
    <mergeCell ref="P82:P83"/>
    <mergeCell ref="Q82:Q83"/>
    <mergeCell ref="P84:P85"/>
    <mergeCell ref="Q84:Q85"/>
    <mergeCell ref="P86:P87"/>
    <mergeCell ref="Q86:Q87"/>
    <mergeCell ref="A144:Q144"/>
    <mergeCell ref="A145:Q145"/>
    <mergeCell ref="A152:A153"/>
    <mergeCell ref="B152:C153"/>
    <mergeCell ref="E152:E153"/>
    <mergeCell ref="F152:I152"/>
    <mergeCell ref="J152:J153"/>
    <mergeCell ref="K152:K153"/>
    <mergeCell ref="L152:M153"/>
    <mergeCell ref="N152:N153"/>
    <mergeCell ref="O152:O153"/>
    <mergeCell ref="P152:Q153"/>
    <mergeCell ref="P194:P195"/>
    <mergeCell ref="Q194:Q195"/>
    <mergeCell ref="A196:H196"/>
    <mergeCell ref="A216:Q216"/>
    <mergeCell ref="A217:Q217"/>
    <mergeCell ref="A224:A225"/>
    <mergeCell ref="B224:C225"/>
    <mergeCell ref="E224:E225"/>
    <mergeCell ref="F224:I224"/>
    <mergeCell ref="J224:J225"/>
    <mergeCell ref="K224:K225"/>
    <mergeCell ref="L224:M225"/>
    <mergeCell ref="N224:N225"/>
    <mergeCell ref="O224:O225"/>
    <mergeCell ref="P224:Q225"/>
    <mergeCell ref="P268:P269"/>
    <mergeCell ref="Q268:Q269"/>
    <mergeCell ref="P270:P271"/>
    <mergeCell ref="Q270:Q271"/>
    <mergeCell ref="A272:H272"/>
    <mergeCell ref="A296:Q296"/>
    <mergeCell ref="A297:Q297"/>
    <mergeCell ref="A304:A305"/>
    <mergeCell ref="B304:C305"/>
    <mergeCell ref="E304:E305"/>
    <mergeCell ref="F304:I304"/>
    <mergeCell ref="J304:J305"/>
    <mergeCell ref="K304:K305"/>
    <mergeCell ref="L304:M305"/>
    <mergeCell ref="N304:N305"/>
    <mergeCell ref="O304:O305"/>
    <mergeCell ref="P304:Q305"/>
    <mergeCell ref="P306:P307"/>
    <mergeCell ref="Q306:Q307"/>
    <mergeCell ref="P308:P309"/>
    <mergeCell ref="Q308:Q309"/>
    <mergeCell ref="P310:P311"/>
    <mergeCell ref="Q310:Q311"/>
    <mergeCell ref="A312:H312"/>
    <mergeCell ref="A336:Q336"/>
    <mergeCell ref="A337:Q337"/>
    <mergeCell ref="P344:Q345"/>
    <mergeCell ref="P346:P347"/>
    <mergeCell ref="Q346:Q347"/>
    <mergeCell ref="P348:P349"/>
    <mergeCell ref="Q348:Q349"/>
    <mergeCell ref="P350:P351"/>
    <mergeCell ref="Q350:Q351"/>
    <mergeCell ref="A352:H352"/>
    <mergeCell ref="A376:Q376"/>
    <mergeCell ref="A344:A345"/>
    <mergeCell ref="B344:C345"/>
    <mergeCell ref="E344:E345"/>
    <mergeCell ref="F344:I344"/>
    <mergeCell ref="J344:J345"/>
    <mergeCell ref="K344:K345"/>
    <mergeCell ref="L344:M345"/>
    <mergeCell ref="N344:N345"/>
    <mergeCell ref="O344:O345"/>
    <mergeCell ref="E424:E425"/>
    <mergeCell ref="F424:I424"/>
    <mergeCell ref="J424:J425"/>
    <mergeCell ref="K424:K425"/>
    <mergeCell ref="L424:M425"/>
    <mergeCell ref="N424:N425"/>
    <mergeCell ref="O424:O425"/>
    <mergeCell ref="P424:Q425"/>
    <mergeCell ref="N384:N385"/>
    <mergeCell ref="O384:O385"/>
    <mergeCell ref="P384:Q385"/>
    <mergeCell ref="P386:P387"/>
    <mergeCell ref="Q386:Q387"/>
    <mergeCell ref="P388:P389"/>
    <mergeCell ref="Q388:Q389"/>
    <mergeCell ref="P390:P391"/>
    <mergeCell ref="Q390:Q391"/>
    <mergeCell ref="P426:P427"/>
    <mergeCell ref="Q426:Q427"/>
    <mergeCell ref="P428:P429"/>
    <mergeCell ref="Q428:Q429"/>
    <mergeCell ref="P430:P431"/>
    <mergeCell ref="Q430:Q431"/>
    <mergeCell ref="A432:H432"/>
    <mergeCell ref="D9:D10"/>
    <mergeCell ref="D44:D45"/>
    <mergeCell ref="D80:D81"/>
    <mergeCell ref="D116:D117"/>
    <mergeCell ref="D152:D153"/>
    <mergeCell ref="D188:D189"/>
    <mergeCell ref="D224:D225"/>
    <mergeCell ref="D264:D265"/>
    <mergeCell ref="D304:D305"/>
    <mergeCell ref="D344:D345"/>
    <mergeCell ref="D384:D385"/>
    <mergeCell ref="D424:D425"/>
    <mergeCell ref="A392:H392"/>
    <mergeCell ref="A416:Q416"/>
    <mergeCell ref="A417:Q417"/>
    <mergeCell ref="A424:A425"/>
    <mergeCell ref="B424:C425"/>
  </mergeCells>
  <pageMargins left="0.86614173228346458" right="0.74803149606299213" top="0.94488188976377963" bottom="0.51181102362204722" header="0.31496062992125984" footer="0.31496062992125984"/>
  <pageSetup paperSize="14" scale="99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1524-6621-4324-B03C-8B5482E9064F}">
  <sheetPr>
    <tabColor rgb="FF92D050"/>
    <pageSetUpPr fitToPage="1"/>
  </sheetPr>
  <dimension ref="A1:S467"/>
  <sheetViews>
    <sheetView showGridLines="0" zoomScale="70" zoomScaleNormal="70" workbookViewId="0">
      <selection activeCell="J17" sqref="J17"/>
    </sheetView>
  </sheetViews>
  <sheetFormatPr defaultRowHeight="11.5"/>
  <cols>
    <col min="1" max="1" width="4.453125" style="1" customWidth="1"/>
    <col min="2" max="2" width="7.453125" style="1" customWidth="1"/>
    <col min="3" max="3" width="15.26953125" style="1" customWidth="1"/>
    <col min="4" max="4" width="16.54296875" style="1" customWidth="1"/>
    <col min="5" max="9" width="9.81640625" style="1" customWidth="1"/>
    <col min="10" max="10" width="7.81640625" style="1" customWidth="1"/>
    <col min="11" max="11" width="3.7265625" style="1" customWidth="1"/>
    <col min="12" max="12" width="7.6328125" style="1" customWidth="1"/>
    <col min="13" max="13" width="13.6328125" style="1" customWidth="1"/>
    <col min="14" max="14" width="12.90625" style="1" customWidth="1"/>
    <col min="15" max="15" width="12.54296875" style="1" customWidth="1"/>
    <col min="16" max="16" width="13.08984375" style="1" customWidth="1"/>
    <col min="17" max="17" width="5.54296875" style="1" customWidth="1"/>
    <col min="18" max="18" width="15.26953125" style="1" customWidth="1"/>
    <col min="19" max="19" width="35.26953125" style="2" customWidth="1"/>
    <col min="20" max="20" width="10.26953125" style="1" customWidth="1"/>
    <col min="21" max="21" width="12.54296875" style="1" customWidth="1"/>
    <col min="22" max="22" width="16" style="1" customWidth="1"/>
    <col min="23" max="23" width="16.54296875" style="1" customWidth="1"/>
    <col min="24" max="24" width="21.81640625" style="1" customWidth="1"/>
    <col min="25" max="255" width="8.7265625" style="1"/>
    <col min="256" max="256" width="7.81640625" style="1" customWidth="1"/>
    <col min="257" max="257" width="8.54296875" style="1" customWidth="1"/>
    <col min="258" max="258" width="20.1796875" style="1" customWidth="1"/>
    <col min="259" max="259" width="16.453125" style="1" customWidth="1"/>
    <col min="260" max="260" width="22.26953125" style="1" customWidth="1"/>
    <col min="261" max="261" width="17.81640625" style="1" customWidth="1"/>
    <col min="262" max="262" width="22.81640625" style="1" customWidth="1"/>
    <col min="263" max="263" width="25.453125" style="1" customWidth="1"/>
    <col min="264" max="265" width="6.7265625" style="1" customWidth="1"/>
    <col min="266" max="266" width="26.453125" style="1" customWidth="1"/>
    <col min="267" max="267" width="18.54296875" style="1" customWidth="1"/>
    <col min="268" max="268" width="29.81640625" style="1" customWidth="1"/>
    <col min="269" max="269" width="23.54296875" style="1" customWidth="1"/>
    <col min="270" max="270" width="31.453125" style="1" customWidth="1"/>
    <col min="271" max="511" width="8.7265625" style="1"/>
    <col min="512" max="512" width="7.81640625" style="1" customWidth="1"/>
    <col min="513" max="513" width="8.54296875" style="1" customWidth="1"/>
    <col min="514" max="514" width="20.1796875" style="1" customWidth="1"/>
    <col min="515" max="515" width="16.453125" style="1" customWidth="1"/>
    <col min="516" max="516" width="22.26953125" style="1" customWidth="1"/>
    <col min="517" max="517" width="17.81640625" style="1" customWidth="1"/>
    <col min="518" max="518" width="22.81640625" style="1" customWidth="1"/>
    <col min="519" max="519" width="25.453125" style="1" customWidth="1"/>
    <col min="520" max="521" width="6.7265625" style="1" customWidth="1"/>
    <col min="522" max="522" width="26.453125" style="1" customWidth="1"/>
    <col min="523" max="523" width="18.54296875" style="1" customWidth="1"/>
    <col min="524" max="524" width="29.81640625" style="1" customWidth="1"/>
    <col min="525" max="525" width="23.54296875" style="1" customWidth="1"/>
    <col min="526" max="526" width="31.453125" style="1" customWidth="1"/>
    <col min="527" max="767" width="8.7265625" style="1"/>
    <col min="768" max="768" width="7.81640625" style="1" customWidth="1"/>
    <col min="769" max="769" width="8.54296875" style="1" customWidth="1"/>
    <col min="770" max="770" width="20.1796875" style="1" customWidth="1"/>
    <col min="771" max="771" width="16.453125" style="1" customWidth="1"/>
    <col min="772" max="772" width="22.26953125" style="1" customWidth="1"/>
    <col min="773" max="773" width="17.81640625" style="1" customWidth="1"/>
    <col min="774" max="774" width="22.81640625" style="1" customWidth="1"/>
    <col min="775" max="775" width="25.453125" style="1" customWidth="1"/>
    <col min="776" max="777" width="6.7265625" style="1" customWidth="1"/>
    <col min="778" max="778" width="26.453125" style="1" customWidth="1"/>
    <col min="779" max="779" width="18.54296875" style="1" customWidth="1"/>
    <col min="780" max="780" width="29.81640625" style="1" customWidth="1"/>
    <col min="781" max="781" width="23.54296875" style="1" customWidth="1"/>
    <col min="782" max="782" width="31.453125" style="1" customWidth="1"/>
    <col min="783" max="1023" width="8.7265625" style="1"/>
    <col min="1024" max="1024" width="7.81640625" style="1" customWidth="1"/>
    <col min="1025" max="1025" width="8.54296875" style="1" customWidth="1"/>
    <col min="1026" max="1026" width="20.1796875" style="1" customWidth="1"/>
    <col min="1027" max="1027" width="16.453125" style="1" customWidth="1"/>
    <col min="1028" max="1028" width="22.26953125" style="1" customWidth="1"/>
    <col min="1029" max="1029" width="17.81640625" style="1" customWidth="1"/>
    <col min="1030" max="1030" width="22.81640625" style="1" customWidth="1"/>
    <col min="1031" max="1031" width="25.453125" style="1" customWidth="1"/>
    <col min="1032" max="1033" width="6.7265625" style="1" customWidth="1"/>
    <col min="1034" max="1034" width="26.453125" style="1" customWidth="1"/>
    <col min="1035" max="1035" width="18.54296875" style="1" customWidth="1"/>
    <col min="1036" max="1036" width="29.81640625" style="1" customWidth="1"/>
    <col min="1037" max="1037" width="23.54296875" style="1" customWidth="1"/>
    <col min="1038" max="1038" width="31.453125" style="1" customWidth="1"/>
    <col min="1039" max="1279" width="8.7265625" style="1"/>
    <col min="1280" max="1280" width="7.81640625" style="1" customWidth="1"/>
    <col min="1281" max="1281" width="8.54296875" style="1" customWidth="1"/>
    <col min="1282" max="1282" width="20.1796875" style="1" customWidth="1"/>
    <col min="1283" max="1283" width="16.453125" style="1" customWidth="1"/>
    <col min="1284" max="1284" width="22.26953125" style="1" customWidth="1"/>
    <col min="1285" max="1285" width="17.81640625" style="1" customWidth="1"/>
    <col min="1286" max="1286" width="22.81640625" style="1" customWidth="1"/>
    <col min="1287" max="1287" width="25.453125" style="1" customWidth="1"/>
    <col min="1288" max="1289" width="6.7265625" style="1" customWidth="1"/>
    <col min="1290" max="1290" width="26.453125" style="1" customWidth="1"/>
    <col min="1291" max="1291" width="18.54296875" style="1" customWidth="1"/>
    <col min="1292" max="1292" width="29.81640625" style="1" customWidth="1"/>
    <col min="1293" max="1293" width="23.54296875" style="1" customWidth="1"/>
    <col min="1294" max="1294" width="31.453125" style="1" customWidth="1"/>
    <col min="1295" max="1535" width="8.7265625" style="1"/>
    <col min="1536" max="1536" width="7.81640625" style="1" customWidth="1"/>
    <col min="1537" max="1537" width="8.54296875" style="1" customWidth="1"/>
    <col min="1538" max="1538" width="20.1796875" style="1" customWidth="1"/>
    <col min="1539" max="1539" width="16.453125" style="1" customWidth="1"/>
    <col min="1540" max="1540" width="22.26953125" style="1" customWidth="1"/>
    <col min="1541" max="1541" width="17.81640625" style="1" customWidth="1"/>
    <col min="1542" max="1542" width="22.81640625" style="1" customWidth="1"/>
    <col min="1543" max="1543" width="25.453125" style="1" customWidth="1"/>
    <col min="1544" max="1545" width="6.7265625" style="1" customWidth="1"/>
    <col min="1546" max="1546" width="26.453125" style="1" customWidth="1"/>
    <col min="1547" max="1547" width="18.54296875" style="1" customWidth="1"/>
    <col min="1548" max="1548" width="29.81640625" style="1" customWidth="1"/>
    <col min="1549" max="1549" width="23.54296875" style="1" customWidth="1"/>
    <col min="1550" max="1550" width="31.453125" style="1" customWidth="1"/>
    <col min="1551" max="1791" width="8.7265625" style="1"/>
    <col min="1792" max="1792" width="7.81640625" style="1" customWidth="1"/>
    <col min="1793" max="1793" width="8.54296875" style="1" customWidth="1"/>
    <col min="1794" max="1794" width="20.1796875" style="1" customWidth="1"/>
    <col min="1795" max="1795" width="16.453125" style="1" customWidth="1"/>
    <col min="1796" max="1796" width="22.26953125" style="1" customWidth="1"/>
    <col min="1797" max="1797" width="17.81640625" style="1" customWidth="1"/>
    <col min="1798" max="1798" width="22.81640625" style="1" customWidth="1"/>
    <col min="1799" max="1799" width="25.453125" style="1" customWidth="1"/>
    <col min="1800" max="1801" width="6.7265625" style="1" customWidth="1"/>
    <col min="1802" max="1802" width="26.453125" style="1" customWidth="1"/>
    <col min="1803" max="1803" width="18.54296875" style="1" customWidth="1"/>
    <col min="1804" max="1804" width="29.81640625" style="1" customWidth="1"/>
    <col min="1805" max="1805" width="23.54296875" style="1" customWidth="1"/>
    <col min="1806" max="1806" width="31.453125" style="1" customWidth="1"/>
    <col min="1807" max="2047" width="8.7265625" style="1"/>
    <col min="2048" max="2048" width="7.81640625" style="1" customWidth="1"/>
    <col min="2049" max="2049" width="8.54296875" style="1" customWidth="1"/>
    <col min="2050" max="2050" width="20.1796875" style="1" customWidth="1"/>
    <col min="2051" max="2051" width="16.453125" style="1" customWidth="1"/>
    <col min="2052" max="2052" width="22.26953125" style="1" customWidth="1"/>
    <col min="2053" max="2053" width="17.81640625" style="1" customWidth="1"/>
    <col min="2054" max="2054" width="22.81640625" style="1" customWidth="1"/>
    <col min="2055" max="2055" width="25.453125" style="1" customWidth="1"/>
    <col min="2056" max="2057" width="6.7265625" style="1" customWidth="1"/>
    <col min="2058" max="2058" width="26.453125" style="1" customWidth="1"/>
    <col min="2059" max="2059" width="18.54296875" style="1" customWidth="1"/>
    <col min="2060" max="2060" width="29.81640625" style="1" customWidth="1"/>
    <col min="2061" max="2061" width="23.54296875" style="1" customWidth="1"/>
    <col min="2062" max="2062" width="31.453125" style="1" customWidth="1"/>
    <col min="2063" max="2303" width="8.7265625" style="1"/>
    <col min="2304" max="2304" width="7.81640625" style="1" customWidth="1"/>
    <col min="2305" max="2305" width="8.54296875" style="1" customWidth="1"/>
    <col min="2306" max="2306" width="20.1796875" style="1" customWidth="1"/>
    <col min="2307" max="2307" width="16.453125" style="1" customWidth="1"/>
    <col min="2308" max="2308" width="22.26953125" style="1" customWidth="1"/>
    <col min="2309" max="2309" width="17.81640625" style="1" customWidth="1"/>
    <col min="2310" max="2310" width="22.81640625" style="1" customWidth="1"/>
    <col min="2311" max="2311" width="25.453125" style="1" customWidth="1"/>
    <col min="2312" max="2313" width="6.7265625" style="1" customWidth="1"/>
    <col min="2314" max="2314" width="26.453125" style="1" customWidth="1"/>
    <col min="2315" max="2315" width="18.54296875" style="1" customWidth="1"/>
    <col min="2316" max="2316" width="29.81640625" style="1" customWidth="1"/>
    <col min="2317" max="2317" width="23.54296875" style="1" customWidth="1"/>
    <col min="2318" max="2318" width="31.453125" style="1" customWidth="1"/>
    <col min="2319" max="2559" width="8.7265625" style="1"/>
    <col min="2560" max="2560" width="7.81640625" style="1" customWidth="1"/>
    <col min="2561" max="2561" width="8.54296875" style="1" customWidth="1"/>
    <col min="2562" max="2562" width="20.1796875" style="1" customWidth="1"/>
    <col min="2563" max="2563" width="16.453125" style="1" customWidth="1"/>
    <col min="2564" max="2564" width="22.26953125" style="1" customWidth="1"/>
    <col min="2565" max="2565" width="17.81640625" style="1" customWidth="1"/>
    <col min="2566" max="2566" width="22.81640625" style="1" customWidth="1"/>
    <col min="2567" max="2567" width="25.453125" style="1" customWidth="1"/>
    <col min="2568" max="2569" width="6.7265625" style="1" customWidth="1"/>
    <col min="2570" max="2570" width="26.453125" style="1" customWidth="1"/>
    <col min="2571" max="2571" width="18.54296875" style="1" customWidth="1"/>
    <col min="2572" max="2572" width="29.81640625" style="1" customWidth="1"/>
    <col min="2573" max="2573" width="23.54296875" style="1" customWidth="1"/>
    <col min="2574" max="2574" width="31.453125" style="1" customWidth="1"/>
    <col min="2575" max="2815" width="8.7265625" style="1"/>
    <col min="2816" max="2816" width="7.81640625" style="1" customWidth="1"/>
    <col min="2817" max="2817" width="8.54296875" style="1" customWidth="1"/>
    <col min="2818" max="2818" width="20.1796875" style="1" customWidth="1"/>
    <col min="2819" max="2819" width="16.453125" style="1" customWidth="1"/>
    <col min="2820" max="2820" width="22.26953125" style="1" customWidth="1"/>
    <col min="2821" max="2821" width="17.81640625" style="1" customWidth="1"/>
    <col min="2822" max="2822" width="22.81640625" style="1" customWidth="1"/>
    <col min="2823" max="2823" width="25.453125" style="1" customWidth="1"/>
    <col min="2824" max="2825" width="6.7265625" style="1" customWidth="1"/>
    <col min="2826" max="2826" width="26.453125" style="1" customWidth="1"/>
    <col min="2827" max="2827" width="18.54296875" style="1" customWidth="1"/>
    <col min="2828" max="2828" width="29.81640625" style="1" customWidth="1"/>
    <col min="2829" max="2829" width="23.54296875" style="1" customWidth="1"/>
    <col min="2830" max="2830" width="31.453125" style="1" customWidth="1"/>
    <col min="2831" max="3071" width="8.7265625" style="1"/>
    <col min="3072" max="3072" width="7.81640625" style="1" customWidth="1"/>
    <col min="3073" max="3073" width="8.54296875" style="1" customWidth="1"/>
    <col min="3074" max="3074" width="20.1796875" style="1" customWidth="1"/>
    <col min="3075" max="3075" width="16.453125" style="1" customWidth="1"/>
    <col min="3076" max="3076" width="22.26953125" style="1" customWidth="1"/>
    <col min="3077" max="3077" width="17.81640625" style="1" customWidth="1"/>
    <col min="3078" max="3078" width="22.81640625" style="1" customWidth="1"/>
    <col min="3079" max="3079" width="25.453125" style="1" customWidth="1"/>
    <col min="3080" max="3081" width="6.7265625" style="1" customWidth="1"/>
    <col min="3082" max="3082" width="26.453125" style="1" customWidth="1"/>
    <col min="3083" max="3083" width="18.54296875" style="1" customWidth="1"/>
    <col min="3084" max="3084" width="29.81640625" style="1" customWidth="1"/>
    <col min="3085" max="3085" width="23.54296875" style="1" customWidth="1"/>
    <col min="3086" max="3086" width="31.453125" style="1" customWidth="1"/>
    <col min="3087" max="3327" width="8.7265625" style="1"/>
    <col min="3328" max="3328" width="7.81640625" style="1" customWidth="1"/>
    <col min="3329" max="3329" width="8.54296875" style="1" customWidth="1"/>
    <col min="3330" max="3330" width="20.1796875" style="1" customWidth="1"/>
    <col min="3331" max="3331" width="16.453125" style="1" customWidth="1"/>
    <col min="3332" max="3332" width="22.26953125" style="1" customWidth="1"/>
    <col min="3333" max="3333" width="17.81640625" style="1" customWidth="1"/>
    <col min="3334" max="3334" width="22.81640625" style="1" customWidth="1"/>
    <col min="3335" max="3335" width="25.453125" style="1" customWidth="1"/>
    <col min="3336" max="3337" width="6.7265625" style="1" customWidth="1"/>
    <col min="3338" max="3338" width="26.453125" style="1" customWidth="1"/>
    <col min="3339" max="3339" width="18.54296875" style="1" customWidth="1"/>
    <col min="3340" max="3340" width="29.81640625" style="1" customWidth="1"/>
    <col min="3341" max="3341" width="23.54296875" style="1" customWidth="1"/>
    <col min="3342" max="3342" width="31.453125" style="1" customWidth="1"/>
    <col min="3343" max="3583" width="8.7265625" style="1"/>
    <col min="3584" max="3584" width="7.81640625" style="1" customWidth="1"/>
    <col min="3585" max="3585" width="8.54296875" style="1" customWidth="1"/>
    <col min="3586" max="3586" width="20.1796875" style="1" customWidth="1"/>
    <col min="3587" max="3587" width="16.453125" style="1" customWidth="1"/>
    <col min="3588" max="3588" width="22.26953125" style="1" customWidth="1"/>
    <col min="3589" max="3589" width="17.81640625" style="1" customWidth="1"/>
    <col min="3590" max="3590" width="22.81640625" style="1" customWidth="1"/>
    <col min="3591" max="3591" width="25.453125" style="1" customWidth="1"/>
    <col min="3592" max="3593" width="6.7265625" style="1" customWidth="1"/>
    <col min="3594" max="3594" width="26.453125" style="1" customWidth="1"/>
    <col min="3595" max="3595" width="18.54296875" style="1" customWidth="1"/>
    <col min="3596" max="3596" width="29.81640625" style="1" customWidth="1"/>
    <col min="3597" max="3597" width="23.54296875" style="1" customWidth="1"/>
    <col min="3598" max="3598" width="31.453125" style="1" customWidth="1"/>
    <col min="3599" max="3839" width="8.7265625" style="1"/>
    <col min="3840" max="3840" width="7.81640625" style="1" customWidth="1"/>
    <col min="3841" max="3841" width="8.54296875" style="1" customWidth="1"/>
    <col min="3842" max="3842" width="20.1796875" style="1" customWidth="1"/>
    <col min="3843" max="3843" width="16.453125" style="1" customWidth="1"/>
    <col min="3844" max="3844" width="22.26953125" style="1" customWidth="1"/>
    <col min="3845" max="3845" width="17.81640625" style="1" customWidth="1"/>
    <col min="3846" max="3846" width="22.81640625" style="1" customWidth="1"/>
    <col min="3847" max="3847" width="25.453125" style="1" customWidth="1"/>
    <col min="3848" max="3849" width="6.7265625" style="1" customWidth="1"/>
    <col min="3850" max="3850" width="26.453125" style="1" customWidth="1"/>
    <col min="3851" max="3851" width="18.54296875" style="1" customWidth="1"/>
    <col min="3852" max="3852" width="29.81640625" style="1" customWidth="1"/>
    <col min="3853" max="3853" width="23.54296875" style="1" customWidth="1"/>
    <col min="3854" max="3854" width="31.453125" style="1" customWidth="1"/>
    <col min="3855" max="4095" width="8.7265625" style="1"/>
    <col min="4096" max="4096" width="7.81640625" style="1" customWidth="1"/>
    <col min="4097" max="4097" width="8.54296875" style="1" customWidth="1"/>
    <col min="4098" max="4098" width="20.1796875" style="1" customWidth="1"/>
    <col min="4099" max="4099" width="16.453125" style="1" customWidth="1"/>
    <col min="4100" max="4100" width="22.26953125" style="1" customWidth="1"/>
    <col min="4101" max="4101" width="17.81640625" style="1" customWidth="1"/>
    <col min="4102" max="4102" width="22.81640625" style="1" customWidth="1"/>
    <col min="4103" max="4103" width="25.453125" style="1" customWidth="1"/>
    <col min="4104" max="4105" width="6.7265625" style="1" customWidth="1"/>
    <col min="4106" max="4106" width="26.453125" style="1" customWidth="1"/>
    <col min="4107" max="4107" width="18.54296875" style="1" customWidth="1"/>
    <col min="4108" max="4108" width="29.81640625" style="1" customWidth="1"/>
    <col min="4109" max="4109" width="23.54296875" style="1" customWidth="1"/>
    <col min="4110" max="4110" width="31.453125" style="1" customWidth="1"/>
    <col min="4111" max="4351" width="8.7265625" style="1"/>
    <col min="4352" max="4352" width="7.81640625" style="1" customWidth="1"/>
    <col min="4353" max="4353" width="8.54296875" style="1" customWidth="1"/>
    <col min="4354" max="4354" width="20.1796875" style="1" customWidth="1"/>
    <col min="4355" max="4355" width="16.453125" style="1" customWidth="1"/>
    <col min="4356" max="4356" width="22.26953125" style="1" customWidth="1"/>
    <col min="4357" max="4357" width="17.81640625" style="1" customWidth="1"/>
    <col min="4358" max="4358" width="22.81640625" style="1" customWidth="1"/>
    <col min="4359" max="4359" width="25.453125" style="1" customWidth="1"/>
    <col min="4360" max="4361" width="6.7265625" style="1" customWidth="1"/>
    <col min="4362" max="4362" width="26.453125" style="1" customWidth="1"/>
    <col min="4363" max="4363" width="18.54296875" style="1" customWidth="1"/>
    <col min="4364" max="4364" width="29.81640625" style="1" customWidth="1"/>
    <col min="4365" max="4365" width="23.54296875" style="1" customWidth="1"/>
    <col min="4366" max="4366" width="31.453125" style="1" customWidth="1"/>
    <col min="4367" max="4607" width="8.7265625" style="1"/>
    <col min="4608" max="4608" width="7.81640625" style="1" customWidth="1"/>
    <col min="4609" max="4609" width="8.54296875" style="1" customWidth="1"/>
    <col min="4610" max="4610" width="20.1796875" style="1" customWidth="1"/>
    <col min="4611" max="4611" width="16.453125" style="1" customWidth="1"/>
    <col min="4612" max="4612" width="22.26953125" style="1" customWidth="1"/>
    <col min="4613" max="4613" width="17.81640625" style="1" customWidth="1"/>
    <col min="4614" max="4614" width="22.81640625" style="1" customWidth="1"/>
    <col min="4615" max="4615" width="25.453125" style="1" customWidth="1"/>
    <col min="4616" max="4617" width="6.7265625" style="1" customWidth="1"/>
    <col min="4618" max="4618" width="26.453125" style="1" customWidth="1"/>
    <col min="4619" max="4619" width="18.54296875" style="1" customWidth="1"/>
    <col min="4620" max="4620" width="29.81640625" style="1" customWidth="1"/>
    <col min="4621" max="4621" width="23.54296875" style="1" customWidth="1"/>
    <col min="4622" max="4622" width="31.453125" style="1" customWidth="1"/>
    <col min="4623" max="4863" width="8.7265625" style="1"/>
    <col min="4864" max="4864" width="7.81640625" style="1" customWidth="1"/>
    <col min="4865" max="4865" width="8.54296875" style="1" customWidth="1"/>
    <col min="4866" max="4866" width="20.1796875" style="1" customWidth="1"/>
    <col min="4867" max="4867" width="16.453125" style="1" customWidth="1"/>
    <col min="4868" max="4868" width="22.26953125" style="1" customWidth="1"/>
    <col min="4869" max="4869" width="17.81640625" style="1" customWidth="1"/>
    <col min="4870" max="4870" width="22.81640625" style="1" customWidth="1"/>
    <col min="4871" max="4871" width="25.453125" style="1" customWidth="1"/>
    <col min="4872" max="4873" width="6.7265625" style="1" customWidth="1"/>
    <col min="4874" max="4874" width="26.453125" style="1" customWidth="1"/>
    <col min="4875" max="4875" width="18.54296875" style="1" customWidth="1"/>
    <col min="4876" max="4876" width="29.81640625" style="1" customWidth="1"/>
    <col min="4877" max="4877" width="23.54296875" style="1" customWidth="1"/>
    <col min="4878" max="4878" width="31.453125" style="1" customWidth="1"/>
    <col min="4879" max="5119" width="8.7265625" style="1"/>
    <col min="5120" max="5120" width="7.81640625" style="1" customWidth="1"/>
    <col min="5121" max="5121" width="8.54296875" style="1" customWidth="1"/>
    <col min="5122" max="5122" width="20.1796875" style="1" customWidth="1"/>
    <col min="5123" max="5123" width="16.453125" style="1" customWidth="1"/>
    <col min="5124" max="5124" width="22.26953125" style="1" customWidth="1"/>
    <col min="5125" max="5125" width="17.81640625" style="1" customWidth="1"/>
    <col min="5126" max="5126" width="22.81640625" style="1" customWidth="1"/>
    <col min="5127" max="5127" width="25.453125" style="1" customWidth="1"/>
    <col min="5128" max="5129" width="6.7265625" style="1" customWidth="1"/>
    <col min="5130" max="5130" width="26.453125" style="1" customWidth="1"/>
    <col min="5131" max="5131" width="18.54296875" style="1" customWidth="1"/>
    <col min="5132" max="5132" width="29.81640625" style="1" customWidth="1"/>
    <col min="5133" max="5133" width="23.54296875" style="1" customWidth="1"/>
    <col min="5134" max="5134" width="31.453125" style="1" customWidth="1"/>
    <col min="5135" max="5375" width="8.7265625" style="1"/>
    <col min="5376" max="5376" width="7.81640625" style="1" customWidth="1"/>
    <col min="5377" max="5377" width="8.54296875" style="1" customWidth="1"/>
    <col min="5378" max="5378" width="20.1796875" style="1" customWidth="1"/>
    <col min="5379" max="5379" width="16.453125" style="1" customWidth="1"/>
    <col min="5380" max="5380" width="22.26953125" style="1" customWidth="1"/>
    <col min="5381" max="5381" width="17.81640625" style="1" customWidth="1"/>
    <col min="5382" max="5382" width="22.81640625" style="1" customWidth="1"/>
    <col min="5383" max="5383" width="25.453125" style="1" customWidth="1"/>
    <col min="5384" max="5385" width="6.7265625" style="1" customWidth="1"/>
    <col min="5386" max="5386" width="26.453125" style="1" customWidth="1"/>
    <col min="5387" max="5387" width="18.54296875" style="1" customWidth="1"/>
    <col min="5388" max="5388" width="29.81640625" style="1" customWidth="1"/>
    <col min="5389" max="5389" width="23.54296875" style="1" customWidth="1"/>
    <col min="5390" max="5390" width="31.453125" style="1" customWidth="1"/>
    <col min="5391" max="5631" width="8.7265625" style="1"/>
    <col min="5632" max="5632" width="7.81640625" style="1" customWidth="1"/>
    <col min="5633" max="5633" width="8.54296875" style="1" customWidth="1"/>
    <col min="5634" max="5634" width="20.1796875" style="1" customWidth="1"/>
    <col min="5635" max="5635" width="16.453125" style="1" customWidth="1"/>
    <col min="5636" max="5636" width="22.26953125" style="1" customWidth="1"/>
    <col min="5637" max="5637" width="17.81640625" style="1" customWidth="1"/>
    <col min="5638" max="5638" width="22.81640625" style="1" customWidth="1"/>
    <col min="5639" max="5639" width="25.453125" style="1" customWidth="1"/>
    <col min="5640" max="5641" width="6.7265625" style="1" customWidth="1"/>
    <col min="5642" max="5642" width="26.453125" style="1" customWidth="1"/>
    <col min="5643" max="5643" width="18.54296875" style="1" customWidth="1"/>
    <col min="5644" max="5644" width="29.81640625" style="1" customWidth="1"/>
    <col min="5645" max="5645" width="23.54296875" style="1" customWidth="1"/>
    <col min="5646" max="5646" width="31.453125" style="1" customWidth="1"/>
    <col min="5647" max="5887" width="8.7265625" style="1"/>
    <col min="5888" max="5888" width="7.81640625" style="1" customWidth="1"/>
    <col min="5889" max="5889" width="8.54296875" style="1" customWidth="1"/>
    <col min="5890" max="5890" width="20.1796875" style="1" customWidth="1"/>
    <col min="5891" max="5891" width="16.453125" style="1" customWidth="1"/>
    <col min="5892" max="5892" width="22.26953125" style="1" customWidth="1"/>
    <col min="5893" max="5893" width="17.81640625" style="1" customWidth="1"/>
    <col min="5894" max="5894" width="22.81640625" style="1" customWidth="1"/>
    <col min="5895" max="5895" width="25.453125" style="1" customWidth="1"/>
    <col min="5896" max="5897" width="6.7265625" style="1" customWidth="1"/>
    <col min="5898" max="5898" width="26.453125" style="1" customWidth="1"/>
    <col min="5899" max="5899" width="18.54296875" style="1" customWidth="1"/>
    <col min="5900" max="5900" width="29.81640625" style="1" customWidth="1"/>
    <col min="5901" max="5901" width="23.54296875" style="1" customWidth="1"/>
    <col min="5902" max="5902" width="31.453125" style="1" customWidth="1"/>
    <col min="5903" max="6143" width="8.7265625" style="1"/>
    <col min="6144" max="6144" width="7.81640625" style="1" customWidth="1"/>
    <col min="6145" max="6145" width="8.54296875" style="1" customWidth="1"/>
    <col min="6146" max="6146" width="20.1796875" style="1" customWidth="1"/>
    <col min="6147" max="6147" width="16.453125" style="1" customWidth="1"/>
    <col min="6148" max="6148" width="22.26953125" style="1" customWidth="1"/>
    <col min="6149" max="6149" width="17.81640625" style="1" customWidth="1"/>
    <col min="6150" max="6150" width="22.81640625" style="1" customWidth="1"/>
    <col min="6151" max="6151" width="25.453125" style="1" customWidth="1"/>
    <col min="6152" max="6153" width="6.7265625" style="1" customWidth="1"/>
    <col min="6154" max="6154" width="26.453125" style="1" customWidth="1"/>
    <col min="6155" max="6155" width="18.54296875" style="1" customWidth="1"/>
    <col min="6156" max="6156" width="29.81640625" style="1" customWidth="1"/>
    <col min="6157" max="6157" width="23.54296875" style="1" customWidth="1"/>
    <col min="6158" max="6158" width="31.453125" style="1" customWidth="1"/>
    <col min="6159" max="6399" width="8.7265625" style="1"/>
    <col min="6400" max="6400" width="7.81640625" style="1" customWidth="1"/>
    <col min="6401" max="6401" width="8.54296875" style="1" customWidth="1"/>
    <col min="6402" max="6402" width="20.1796875" style="1" customWidth="1"/>
    <col min="6403" max="6403" width="16.453125" style="1" customWidth="1"/>
    <col min="6404" max="6404" width="22.26953125" style="1" customWidth="1"/>
    <col min="6405" max="6405" width="17.81640625" style="1" customWidth="1"/>
    <col min="6406" max="6406" width="22.81640625" style="1" customWidth="1"/>
    <col min="6407" max="6407" width="25.453125" style="1" customWidth="1"/>
    <col min="6408" max="6409" width="6.7265625" style="1" customWidth="1"/>
    <col min="6410" max="6410" width="26.453125" style="1" customWidth="1"/>
    <col min="6411" max="6411" width="18.54296875" style="1" customWidth="1"/>
    <col min="6412" max="6412" width="29.81640625" style="1" customWidth="1"/>
    <col min="6413" max="6413" width="23.54296875" style="1" customWidth="1"/>
    <col min="6414" max="6414" width="31.453125" style="1" customWidth="1"/>
    <col min="6415" max="6655" width="8.7265625" style="1"/>
    <col min="6656" max="6656" width="7.81640625" style="1" customWidth="1"/>
    <col min="6657" max="6657" width="8.54296875" style="1" customWidth="1"/>
    <col min="6658" max="6658" width="20.1796875" style="1" customWidth="1"/>
    <col min="6659" max="6659" width="16.453125" style="1" customWidth="1"/>
    <col min="6660" max="6660" width="22.26953125" style="1" customWidth="1"/>
    <col min="6661" max="6661" width="17.81640625" style="1" customWidth="1"/>
    <col min="6662" max="6662" width="22.81640625" style="1" customWidth="1"/>
    <col min="6663" max="6663" width="25.453125" style="1" customWidth="1"/>
    <col min="6664" max="6665" width="6.7265625" style="1" customWidth="1"/>
    <col min="6666" max="6666" width="26.453125" style="1" customWidth="1"/>
    <col min="6667" max="6667" width="18.54296875" style="1" customWidth="1"/>
    <col min="6668" max="6668" width="29.81640625" style="1" customWidth="1"/>
    <col min="6669" max="6669" width="23.54296875" style="1" customWidth="1"/>
    <col min="6670" max="6670" width="31.453125" style="1" customWidth="1"/>
    <col min="6671" max="6911" width="8.7265625" style="1"/>
    <col min="6912" max="6912" width="7.81640625" style="1" customWidth="1"/>
    <col min="6913" max="6913" width="8.54296875" style="1" customWidth="1"/>
    <col min="6914" max="6914" width="20.1796875" style="1" customWidth="1"/>
    <col min="6915" max="6915" width="16.453125" style="1" customWidth="1"/>
    <col min="6916" max="6916" width="22.26953125" style="1" customWidth="1"/>
    <col min="6917" max="6917" width="17.81640625" style="1" customWidth="1"/>
    <col min="6918" max="6918" width="22.81640625" style="1" customWidth="1"/>
    <col min="6919" max="6919" width="25.453125" style="1" customWidth="1"/>
    <col min="6920" max="6921" width="6.7265625" style="1" customWidth="1"/>
    <col min="6922" max="6922" width="26.453125" style="1" customWidth="1"/>
    <col min="6923" max="6923" width="18.54296875" style="1" customWidth="1"/>
    <col min="6924" max="6924" width="29.81640625" style="1" customWidth="1"/>
    <col min="6925" max="6925" width="23.54296875" style="1" customWidth="1"/>
    <col min="6926" max="6926" width="31.453125" style="1" customWidth="1"/>
    <col min="6927" max="7167" width="8.7265625" style="1"/>
    <col min="7168" max="7168" width="7.81640625" style="1" customWidth="1"/>
    <col min="7169" max="7169" width="8.54296875" style="1" customWidth="1"/>
    <col min="7170" max="7170" width="20.1796875" style="1" customWidth="1"/>
    <col min="7171" max="7171" width="16.453125" style="1" customWidth="1"/>
    <col min="7172" max="7172" width="22.26953125" style="1" customWidth="1"/>
    <col min="7173" max="7173" width="17.81640625" style="1" customWidth="1"/>
    <col min="7174" max="7174" width="22.81640625" style="1" customWidth="1"/>
    <col min="7175" max="7175" width="25.453125" style="1" customWidth="1"/>
    <col min="7176" max="7177" width="6.7265625" style="1" customWidth="1"/>
    <col min="7178" max="7178" width="26.453125" style="1" customWidth="1"/>
    <col min="7179" max="7179" width="18.54296875" style="1" customWidth="1"/>
    <col min="7180" max="7180" width="29.81640625" style="1" customWidth="1"/>
    <col min="7181" max="7181" width="23.54296875" style="1" customWidth="1"/>
    <col min="7182" max="7182" width="31.453125" style="1" customWidth="1"/>
    <col min="7183" max="7423" width="8.7265625" style="1"/>
    <col min="7424" max="7424" width="7.81640625" style="1" customWidth="1"/>
    <col min="7425" max="7425" width="8.54296875" style="1" customWidth="1"/>
    <col min="7426" max="7426" width="20.1796875" style="1" customWidth="1"/>
    <col min="7427" max="7427" width="16.453125" style="1" customWidth="1"/>
    <col min="7428" max="7428" width="22.26953125" style="1" customWidth="1"/>
    <col min="7429" max="7429" width="17.81640625" style="1" customWidth="1"/>
    <col min="7430" max="7430" width="22.81640625" style="1" customWidth="1"/>
    <col min="7431" max="7431" width="25.453125" style="1" customWidth="1"/>
    <col min="7432" max="7433" width="6.7265625" style="1" customWidth="1"/>
    <col min="7434" max="7434" width="26.453125" style="1" customWidth="1"/>
    <col min="7435" max="7435" width="18.54296875" style="1" customWidth="1"/>
    <col min="7436" max="7436" width="29.81640625" style="1" customWidth="1"/>
    <col min="7437" max="7437" width="23.54296875" style="1" customWidth="1"/>
    <col min="7438" max="7438" width="31.453125" style="1" customWidth="1"/>
    <col min="7439" max="7679" width="8.7265625" style="1"/>
    <col min="7680" max="7680" width="7.81640625" style="1" customWidth="1"/>
    <col min="7681" max="7681" width="8.54296875" style="1" customWidth="1"/>
    <col min="7682" max="7682" width="20.1796875" style="1" customWidth="1"/>
    <col min="7683" max="7683" width="16.453125" style="1" customWidth="1"/>
    <col min="7684" max="7684" width="22.26953125" style="1" customWidth="1"/>
    <col min="7685" max="7685" width="17.81640625" style="1" customWidth="1"/>
    <col min="7686" max="7686" width="22.81640625" style="1" customWidth="1"/>
    <col min="7687" max="7687" width="25.453125" style="1" customWidth="1"/>
    <col min="7688" max="7689" width="6.7265625" style="1" customWidth="1"/>
    <col min="7690" max="7690" width="26.453125" style="1" customWidth="1"/>
    <col min="7691" max="7691" width="18.54296875" style="1" customWidth="1"/>
    <col min="7692" max="7692" width="29.81640625" style="1" customWidth="1"/>
    <col min="7693" max="7693" width="23.54296875" style="1" customWidth="1"/>
    <col min="7694" max="7694" width="31.453125" style="1" customWidth="1"/>
    <col min="7695" max="7935" width="8.7265625" style="1"/>
    <col min="7936" max="7936" width="7.81640625" style="1" customWidth="1"/>
    <col min="7937" max="7937" width="8.54296875" style="1" customWidth="1"/>
    <col min="7938" max="7938" width="20.1796875" style="1" customWidth="1"/>
    <col min="7939" max="7939" width="16.453125" style="1" customWidth="1"/>
    <col min="7940" max="7940" width="22.26953125" style="1" customWidth="1"/>
    <col min="7941" max="7941" width="17.81640625" style="1" customWidth="1"/>
    <col min="7942" max="7942" width="22.81640625" style="1" customWidth="1"/>
    <col min="7943" max="7943" width="25.453125" style="1" customWidth="1"/>
    <col min="7944" max="7945" width="6.7265625" style="1" customWidth="1"/>
    <col min="7946" max="7946" width="26.453125" style="1" customWidth="1"/>
    <col min="7947" max="7947" width="18.54296875" style="1" customWidth="1"/>
    <col min="7948" max="7948" width="29.81640625" style="1" customWidth="1"/>
    <col min="7949" max="7949" width="23.54296875" style="1" customWidth="1"/>
    <col min="7950" max="7950" width="31.453125" style="1" customWidth="1"/>
    <col min="7951" max="8191" width="8.7265625" style="1"/>
    <col min="8192" max="8192" width="7.81640625" style="1" customWidth="1"/>
    <col min="8193" max="8193" width="8.54296875" style="1" customWidth="1"/>
    <col min="8194" max="8194" width="20.1796875" style="1" customWidth="1"/>
    <col min="8195" max="8195" width="16.453125" style="1" customWidth="1"/>
    <col min="8196" max="8196" width="22.26953125" style="1" customWidth="1"/>
    <col min="8197" max="8197" width="17.81640625" style="1" customWidth="1"/>
    <col min="8198" max="8198" width="22.81640625" style="1" customWidth="1"/>
    <col min="8199" max="8199" width="25.453125" style="1" customWidth="1"/>
    <col min="8200" max="8201" width="6.7265625" style="1" customWidth="1"/>
    <col min="8202" max="8202" width="26.453125" style="1" customWidth="1"/>
    <col min="8203" max="8203" width="18.54296875" style="1" customWidth="1"/>
    <col min="8204" max="8204" width="29.81640625" style="1" customWidth="1"/>
    <col min="8205" max="8205" width="23.54296875" style="1" customWidth="1"/>
    <col min="8206" max="8206" width="31.453125" style="1" customWidth="1"/>
    <col min="8207" max="8447" width="8.7265625" style="1"/>
    <col min="8448" max="8448" width="7.81640625" style="1" customWidth="1"/>
    <col min="8449" max="8449" width="8.54296875" style="1" customWidth="1"/>
    <col min="8450" max="8450" width="20.1796875" style="1" customWidth="1"/>
    <col min="8451" max="8451" width="16.453125" style="1" customWidth="1"/>
    <col min="8452" max="8452" width="22.26953125" style="1" customWidth="1"/>
    <col min="8453" max="8453" width="17.81640625" style="1" customWidth="1"/>
    <col min="8454" max="8454" width="22.81640625" style="1" customWidth="1"/>
    <col min="8455" max="8455" width="25.453125" style="1" customWidth="1"/>
    <col min="8456" max="8457" width="6.7265625" style="1" customWidth="1"/>
    <col min="8458" max="8458" width="26.453125" style="1" customWidth="1"/>
    <col min="8459" max="8459" width="18.54296875" style="1" customWidth="1"/>
    <col min="8460" max="8460" width="29.81640625" style="1" customWidth="1"/>
    <col min="8461" max="8461" width="23.54296875" style="1" customWidth="1"/>
    <col min="8462" max="8462" width="31.453125" style="1" customWidth="1"/>
    <col min="8463" max="8703" width="8.7265625" style="1"/>
    <col min="8704" max="8704" width="7.81640625" style="1" customWidth="1"/>
    <col min="8705" max="8705" width="8.54296875" style="1" customWidth="1"/>
    <col min="8706" max="8706" width="20.1796875" style="1" customWidth="1"/>
    <col min="8707" max="8707" width="16.453125" style="1" customWidth="1"/>
    <col min="8708" max="8708" width="22.26953125" style="1" customWidth="1"/>
    <col min="8709" max="8709" width="17.81640625" style="1" customWidth="1"/>
    <col min="8710" max="8710" width="22.81640625" style="1" customWidth="1"/>
    <col min="8711" max="8711" width="25.453125" style="1" customWidth="1"/>
    <col min="8712" max="8713" width="6.7265625" style="1" customWidth="1"/>
    <col min="8714" max="8714" width="26.453125" style="1" customWidth="1"/>
    <col min="8715" max="8715" width="18.54296875" style="1" customWidth="1"/>
    <col min="8716" max="8716" width="29.81640625" style="1" customWidth="1"/>
    <col min="8717" max="8717" width="23.54296875" style="1" customWidth="1"/>
    <col min="8718" max="8718" width="31.453125" style="1" customWidth="1"/>
    <col min="8719" max="8959" width="8.7265625" style="1"/>
    <col min="8960" max="8960" width="7.81640625" style="1" customWidth="1"/>
    <col min="8961" max="8961" width="8.54296875" style="1" customWidth="1"/>
    <col min="8962" max="8962" width="20.1796875" style="1" customWidth="1"/>
    <col min="8963" max="8963" width="16.453125" style="1" customWidth="1"/>
    <col min="8964" max="8964" width="22.26953125" style="1" customWidth="1"/>
    <col min="8965" max="8965" width="17.81640625" style="1" customWidth="1"/>
    <col min="8966" max="8966" width="22.81640625" style="1" customWidth="1"/>
    <col min="8967" max="8967" width="25.453125" style="1" customWidth="1"/>
    <col min="8968" max="8969" width="6.7265625" style="1" customWidth="1"/>
    <col min="8970" max="8970" width="26.453125" style="1" customWidth="1"/>
    <col min="8971" max="8971" width="18.54296875" style="1" customWidth="1"/>
    <col min="8972" max="8972" width="29.81640625" style="1" customWidth="1"/>
    <col min="8973" max="8973" width="23.54296875" style="1" customWidth="1"/>
    <col min="8974" max="8974" width="31.453125" style="1" customWidth="1"/>
    <col min="8975" max="9215" width="8.7265625" style="1"/>
    <col min="9216" max="9216" width="7.81640625" style="1" customWidth="1"/>
    <col min="9217" max="9217" width="8.54296875" style="1" customWidth="1"/>
    <col min="9218" max="9218" width="20.1796875" style="1" customWidth="1"/>
    <col min="9219" max="9219" width="16.453125" style="1" customWidth="1"/>
    <col min="9220" max="9220" width="22.26953125" style="1" customWidth="1"/>
    <col min="9221" max="9221" width="17.81640625" style="1" customWidth="1"/>
    <col min="9222" max="9222" width="22.81640625" style="1" customWidth="1"/>
    <col min="9223" max="9223" width="25.453125" style="1" customWidth="1"/>
    <col min="9224" max="9225" width="6.7265625" style="1" customWidth="1"/>
    <col min="9226" max="9226" width="26.453125" style="1" customWidth="1"/>
    <col min="9227" max="9227" width="18.54296875" style="1" customWidth="1"/>
    <col min="9228" max="9228" width="29.81640625" style="1" customWidth="1"/>
    <col min="9229" max="9229" width="23.54296875" style="1" customWidth="1"/>
    <col min="9230" max="9230" width="31.453125" style="1" customWidth="1"/>
    <col min="9231" max="9471" width="8.7265625" style="1"/>
    <col min="9472" max="9472" width="7.81640625" style="1" customWidth="1"/>
    <col min="9473" max="9473" width="8.54296875" style="1" customWidth="1"/>
    <col min="9474" max="9474" width="20.1796875" style="1" customWidth="1"/>
    <col min="9475" max="9475" width="16.453125" style="1" customWidth="1"/>
    <col min="9476" max="9476" width="22.26953125" style="1" customWidth="1"/>
    <col min="9477" max="9477" width="17.81640625" style="1" customWidth="1"/>
    <col min="9478" max="9478" width="22.81640625" style="1" customWidth="1"/>
    <col min="9479" max="9479" width="25.453125" style="1" customWidth="1"/>
    <col min="9480" max="9481" width="6.7265625" style="1" customWidth="1"/>
    <col min="9482" max="9482" width="26.453125" style="1" customWidth="1"/>
    <col min="9483" max="9483" width="18.54296875" style="1" customWidth="1"/>
    <col min="9484" max="9484" width="29.81640625" style="1" customWidth="1"/>
    <col min="9485" max="9485" width="23.54296875" style="1" customWidth="1"/>
    <col min="9486" max="9486" width="31.453125" style="1" customWidth="1"/>
    <col min="9487" max="9727" width="8.7265625" style="1"/>
    <col min="9728" max="9728" width="7.81640625" style="1" customWidth="1"/>
    <col min="9729" max="9729" width="8.54296875" style="1" customWidth="1"/>
    <col min="9730" max="9730" width="20.1796875" style="1" customWidth="1"/>
    <col min="9731" max="9731" width="16.453125" style="1" customWidth="1"/>
    <col min="9732" max="9732" width="22.26953125" style="1" customWidth="1"/>
    <col min="9733" max="9733" width="17.81640625" style="1" customWidth="1"/>
    <col min="9734" max="9734" width="22.81640625" style="1" customWidth="1"/>
    <col min="9735" max="9735" width="25.453125" style="1" customWidth="1"/>
    <col min="9736" max="9737" width="6.7265625" style="1" customWidth="1"/>
    <col min="9738" max="9738" width="26.453125" style="1" customWidth="1"/>
    <col min="9739" max="9739" width="18.54296875" style="1" customWidth="1"/>
    <col min="9740" max="9740" width="29.81640625" style="1" customWidth="1"/>
    <col min="9741" max="9741" width="23.54296875" style="1" customWidth="1"/>
    <col min="9742" max="9742" width="31.453125" style="1" customWidth="1"/>
    <col min="9743" max="9983" width="8.7265625" style="1"/>
    <col min="9984" max="9984" width="7.81640625" style="1" customWidth="1"/>
    <col min="9985" max="9985" width="8.54296875" style="1" customWidth="1"/>
    <col min="9986" max="9986" width="20.1796875" style="1" customWidth="1"/>
    <col min="9987" max="9987" width="16.453125" style="1" customWidth="1"/>
    <col min="9988" max="9988" width="22.26953125" style="1" customWidth="1"/>
    <col min="9989" max="9989" width="17.81640625" style="1" customWidth="1"/>
    <col min="9990" max="9990" width="22.81640625" style="1" customWidth="1"/>
    <col min="9991" max="9991" width="25.453125" style="1" customWidth="1"/>
    <col min="9992" max="9993" width="6.7265625" style="1" customWidth="1"/>
    <col min="9994" max="9994" width="26.453125" style="1" customWidth="1"/>
    <col min="9995" max="9995" width="18.54296875" style="1" customWidth="1"/>
    <col min="9996" max="9996" width="29.81640625" style="1" customWidth="1"/>
    <col min="9997" max="9997" width="23.54296875" style="1" customWidth="1"/>
    <col min="9998" max="9998" width="31.453125" style="1" customWidth="1"/>
    <col min="9999" max="10239" width="8.7265625" style="1"/>
    <col min="10240" max="10240" width="7.81640625" style="1" customWidth="1"/>
    <col min="10241" max="10241" width="8.54296875" style="1" customWidth="1"/>
    <col min="10242" max="10242" width="20.1796875" style="1" customWidth="1"/>
    <col min="10243" max="10243" width="16.453125" style="1" customWidth="1"/>
    <col min="10244" max="10244" width="22.26953125" style="1" customWidth="1"/>
    <col min="10245" max="10245" width="17.81640625" style="1" customWidth="1"/>
    <col min="10246" max="10246" width="22.81640625" style="1" customWidth="1"/>
    <col min="10247" max="10247" width="25.453125" style="1" customWidth="1"/>
    <col min="10248" max="10249" width="6.7265625" style="1" customWidth="1"/>
    <col min="10250" max="10250" width="26.453125" style="1" customWidth="1"/>
    <col min="10251" max="10251" width="18.54296875" style="1" customWidth="1"/>
    <col min="10252" max="10252" width="29.81640625" style="1" customWidth="1"/>
    <col min="10253" max="10253" width="23.54296875" style="1" customWidth="1"/>
    <col min="10254" max="10254" width="31.453125" style="1" customWidth="1"/>
    <col min="10255" max="10495" width="8.7265625" style="1"/>
    <col min="10496" max="10496" width="7.81640625" style="1" customWidth="1"/>
    <col min="10497" max="10497" width="8.54296875" style="1" customWidth="1"/>
    <col min="10498" max="10498" width="20.1796875" style="1" customWidth="1"/>
    <col min="10499" max="10499" width="16.453125" style="1" customWidth="1"/>
    <col min="10500" max="10500" width="22.26953125" style="1" customWidth="1"/>
    <col min="10501" max="10501" width="17.81640625" style="1" customWidth="1"/>
    <col min="10502" max="10502" width="22.81640625" style="1" customWidth="1"/>
    <col min="10503" max="10503" width="25.453125" style="1" customWidth="1"/>
    <col min="10504" max="10505" width="6.7265625" style="1" customWidth="1"/>
    <col min="10506" max="10506" width="26.453125" style="1" customWidth="1"/>
    <col min="10507" max="10507" width="18.54296875" style="1" customWidth="1"/>
    <col min="10508" max="10508" width="29.81640625" style="1" customWidth="1"/>
    <col min="10509" max="10509" width="23.54296875" style="1" customWidth="1"/>
    <col min="10510" max="10510" width="31.453125" style="1" customWidth="1"/>
    <col min="10511" max="10751" width="8.7265625" style="1"/>
    <col min="10752" max="10752" width="7.81640625" style="1" customWidth="1"/>
    <col min="10753" max="10753" width="8.54296875" style="1" customWidth="1"/>
    <col min="10754" max="10754" width="20.1796875" style="1" customWidth="1"/>
    <col min="10755" max="10755" width="16.453125" style="1" customWidth="1"/>
    <col min="10756" max="10756" width="22.26953125" style="1" customWidth="1"/>
    <col min="10757" max="10757" width="17.81640625" style="1" customWidth="1"/>
    <col min="10758" max="10758" width="22.81640625" style="1" customWidth="1"/>
    <col min="10759" max="10759" width="25.453125" style="1" customWidth="1"/>
    <col min="10760" max="10761" width="6.7265625" style="1" customWidth="1"/>
    <col min="10762" max="10762" width="26.453125" style="1" customWidth="1"/>
    <col min="10763" max="10763" width="18.54296875" style="1" customWidth="1"/>
    <col min="10764" max="10764" width="29.81640625" style="1" customWidth="1"/>
    <col min="10765" max="10765" width="23.54296875" style="1" customWidth="1"/>
    <col min="10766" max="10766" width="31.453125" style="1" customWidth="1"/>
    <col min="10767" max="11007" width="8.7265625" style="1"/>
    <col min="11008" max="11008" width="7.81640625" style="1" customWidth="1"/>
    <col min="11009" max="11009" width="8.54296875" style="1" customWidth="1"/>
    <col min="11010" max="11010" width="20.1796875" style="1" customWidth="1"/>
    <col min="11011" max="11011" width="16.453125" style="1" customWidth="1"/>
    <col min="11012" max="11012" width="22.26953125" style="1" customWidth="1"/>
    <col min="11013" max="11013" width="17.81640625" style="1" customWidth="1"/>
    <col min="11014" max="11014" width="22.81640625" style="1" customWidth="1"/>
    <col min="11015" max="11015" width="25.453125" style="1" customWidth="1"/>
    <col min="11016" max="11017" width="6.7265625" style="1" customWidth="1"/>
    <col min="11018" max="11018" width="26.453125" style="1" customWidth="1"/>
    <col min="11019" max="11019" width="18.54296875" style="1" customWidth="1"/>
    <col min="11020" max="11020" width="29.81640625" style="1" customWidth="1"/>
    <col min="11021" max="11021" width="23.54296875" style="1" customWidth="1"/>
    <col min="11022" max="11022" width="31.453125" style="1" customWidth="1"/>
    <col min="11023" max="11263" width="8.7265625" style="1"/>
    <col min="11264" max="11264" width="7.81640625" style="1" customWidth="1"/>
    <col min="11265" max="11265" width="8.54296875" style="1" customWidth="1"/>
    <col min="11266" max="11266" width="20.1796875" style="1" customWidth="1"/>
    <col min="11267" max="11267" width="16.453125" style="1" customWidth="1"/>
    <col min="11268" max="11268" width="22.26953125" style="1" customWidth="1"/>
    <col min="11269" max="11269" width="17.81640625" style="1" customWidth="1"/>
    <col min="11270" max="11270" width="22.81640625" style="1" customWidth="1"/>
    <col min="11271" max="11271" width="25.453125" style="1" customWidth="1"/>
    <col min="11272" max="11273" width="6.7265625" style="1" customWidth="1"/>
    <col min="11274" max="11274" width="26.453125" style="1" customWidth="1"/>
    <col min="11275" max="11275" width="18.54296875" style="1" customWidth="1"/>
    <col min="11276" max="11276" width="29.81640625" style="1" customWidth="1"/>
    <col min="11277" max="11277" width="23.54296875" style="1" customWidth="1"/>
    <col min="11278" max="11278" width="31.453125" style="1" customWidth="1"/>
    <col min="11279" max="11519" width="8.7265625" style="1"/>
    <col min="11520" max="11520" width="7.81640625" style="1" customWidth="1"/>
    <col min="11521" max="11521" width="8.54296875" style="1" customWidth="1"/>
    <col min="11522" max="11522" width="20.1796875" style="1" customWidth="1"/>
    <col min="11523" max="11523" width="16.453125" style="1" customWidth="1"/>
    <col min="11524" max="11524" width="22.26953125" style="1" customWidth="1"/>
    <col min="11525" max="11525" width="17.81640625" style="1" customWidth="1"/>
    <col min="11526" max="11526" width="22.81640625" style="1" customWidth="1"/>
    <col min="11527" max="11527" width="25.453125" style="1" customWidth="1"/>
    <col min="11528" max="11529" width="6.7265625" style="1" customWidth="1"/>
    <col min="11530" max="11530" width="26.453125" style="1" customWidth="1"/>
    <col min="11531" max="11531" width="18.54296875" style="1" customWidth="1"/>
    <col min="11532" max="11532" width="29.81640625" style="1" customWidth="1"/>
    <col min="11533" max="11533" width="23.54296875" style="1" customWidth="1"/>
    <col min="11534" max="11534" width="31.453125" style="1" customWidth="1"/>
    <col min="11535" max="11775" width="8.7265625" style="1"/>
    <col min="11776" max="11776" width="7.81640625" style="1" customWidth="1"/>
    <col min="11777" max="11777" width="8.54296875" style="1" customWidth="1"/>
    <col min="11778" max="11778" width="20.1796875" style="1" customWidth="1"/>
    <col min="11779" max="11779" width="16.453125" style="1" customWidth="1"/>
    <col min="11780" max="11780" width="22.26953125" style="1" customWidth="1"/>
    <col min="11781" max="11781" width="17.81640625" style="1" customWidth="1"/>
    <col min="11782" max="11782" width="22.81640625" style="1" customWidth="1"/>
    <col min="11783" max="11783" width="25.453125" style="1" customWidth="1"/>
    <col min="11784" max="11785" width="6.7265625" style="1" customWidth="1"/>
    <col min="11786" max="11786" width="26.453125" style="1" customWidth="1"/>
    <col min="11787" max="11787" width="18.54296875" style="1" customWidth="1"/>
    <col min="11788" max="11788" width="29.81640625" style="1" customWidth="1"/>
    <col min="11789" max="11789" width="23.54296875" style="1" customWidth="1"/>
    <col min="11790" max="11790" width="31.453125" style="1" customWidth="1"/>
    <col min="11791" max="12031" width="8.7265625" style="1"/>
    <col min="12032" max="12032" width="7.81640625" style="1" customWidth="1"/>
    <col min="12033" max="12033" width="8.54296875" style="1" customWidth="1"/>
    <col min="12034" max="12034" width="20.1796875" style="1" customWidth="1"/>
    <col min="12035" max="12035" width="16.453125" style="1" customWidth="1"/>
    <col min="12036" max="12036" width="22.26953125" style="1" customWidth="1"/>
    <col min="12037" max="12037" width="17.81640625" style="1" customWidth="1"/>
    <col min="12038" max="12038" width="22.81640625" style="1" customWidth="1"/>
    <col min="12039" max="12039" width="25.453125" style="1" customWidth="1"/>
    <col min="12040" max="12041" width="6.7265625" style="1" customWidth="1"/>
    <col min="12042" max="12042" width="26.453125" style="1" customWidth="1"/>
    <col min="12043" max="12043" width="18.54296875" style="1" customWidth="1"/>
    <col min="12044" max="12044" width="29.81640625" style="1" customWidth="1"/>
    <col min="12045" max="12045" width="23.54296875" style="1" customWidth="1"/>
    <col min="12046" max="12046" width="31.453125" style="1" customWidth="1"/>
    <col min="12047" max="12287" width="8.7265625" style="1"/>
    <col min="12288" max="12288" width="7.81640625" style="1" customWidth="1"/>
    <col min="12289" max="12289" width="8.54296875" style="1" customWidth="1"/>
    <col min="12290" max="12290" width="20.1796875" style="1" customWidth="1"/>
    <col min="12291" max="12291" width="16.453125" style="1" customWidth="1"/>
    <col min="12292" max="12292" width="22.26953125" style="1" customWidth="1"/>
    <col min="12293" max="12293" width="17.81640625" style="1" customWidth="1"/>
    <col min="12294" max="12294" width="22.81640625" style="1" customWidth="1"/>
    <col min="12295" max="12295" width="25.453125" style="1" customWidth="1"/>
    <col min="12296" max="12297" width="6.7265625" style="1" customWidth="1"/>
    <col min="12298" max="12298" width="26.453125" style="1" customWidth="1"/>
    <col min="12299" max="12299" width="18.54296875" style="1" customWidth="1"/>
    <col min="12300" max="12300" width="29.81640625" style="1" customWidth="1"/>
    <col min="12301" max="12301" width="23.54296875" style="1" customWidth="1"/>
    <col min="12302" max="12302" width="31.453125" style="1" customWidth="1"/>
    <col min="12303" max="12543" width="8.7265625" style="1"/>
    <col min="12544" max="12544" width="7.81640625" style="1" customWidth="1"/>
    <col min="12545" max="12545" width="8.54296875" style="1" customWidth="1"/>
    <col min="12546" max="12546" width="20.1796875" style="1" customWidth="1"/>
    <col min="12547" max="12547" width="16.453125" style="1" customWidth="1"/>
    <col min="12548" max="12548" width="22.26953125" style="1" customWidth="1"/>
    <col min="12549" max="12549" width="17.81640625" style="1" customWidth="1"/>
    <col min="12550" max="12550" width="22.81640625" style="1" customWidth="1"/>
    <col min="12551" max="12551" width="25.453125" style="1" customWidth="1"/>
    <col min="12552" max="12553" width="6.7265625" style="1" customWidth="1"/>
    <col min="12554" max="12554" width="26.453125" style="1" customWidth="1"/>
    <col min="12555" max="12555" width="18.54296875" style="1" customWidth="1"/>
    <col min="12556" max="12556" width="29.81640625" style="1" customWidth="1"/>
    <col min="12557" max="12557" width="23.54296875" style="1" customWidth="1"/>
    <col min="12558" max="12558" width="31.453125" style="1" customWidth="1"/>
    <col min="12559" max="12799" width="8.7265625" style="1"/>
    <col min="12800" max="12800" width="7.81640625" style="1" customWidth="1"/>
    <col min="12801" max="12801" width="8.54296875" style="1" customWidth="1"/>
    <col min="12802" max="12802" width="20.1796875" style="1" customWidth="1"/>
    <col min="12803" max="12803" width="16.453125" style="1" customWidth="1"/>
    <col min="12804" max="12804" width="22.26953125" style="1" customWidth="1"/>
    <col min="12805" max="12805" width="17.81640625" style="1" customWidth="1"/>
    <col min="12806" max="12806" width="22.81640625" style="1" customWidth="1"/>
    <col min="12807" max="12807" width="25.453125" style="1" customWidth="1"/>
    <col min="12808" max="12809" width="6.7265625" style="1" customWidth="1"/>
    <col min="12810" max="12810" width="26.453125" style="1" customWidth="1"/>
    <col min="12811" max="12811" width="18.54296875" style="1" customWidth="1"/>
    <col min="12812" max="12812" width="29.81640625" style="1" customWidth="1"/>
    <col min="12813" max="12813" width="23.54296875" style="1" customWidth="1"/>
    <col min="12814" max="12814" width="31.453125" style="1" customWidth="1"/>
    <col min="12815" max="13055" width="8.7265625" style="1"/>
    <col min="13056" max="13056" width="7.81640625" style="1" customWidth="1"/>
    <col min="13057" max="13057" width="8.54296875" style="1" customWidth="1"/>
    <col min="13058" max="13058" width="20.1796875" style="1" customWidth="1"/>
    <col min="13059" max="13059" width="16.453125" style="1" customWidth="1"/>
    <col min="13060" max="13060" width="22.26953125" style="1" customWidth="1"/>
    <col min="13061" max="13061" width="17.81640625" style="1" customWidth="1"/>
    <col min="13062" max="13062" width="22.81640625" style="1" customWidth="1"/>
    <col min="13063" max="13063" width="25.453125" style="1" customWidth="1"/>
    <col min="13064" max="13065" width="6.7265625" style="1" customWidth="1"/>
    <col min="13066" max="13066" width="26.453125" style="1" customWidth="1"/>
    <col min="13067" max="13067" width="18.54296875" style="1" customWidth="1"/>
    <col min="13068" max="13068" width="29.81640625" style="1" customWidth="1"/>
    <col min="13069" max="13069" width="23.54296875" style="1" customWidth="1"/>
    <col min="13070" max="13070" width="31.453125" style="1" customWidth="1"/>
    <col min="13071" max="13311" width="8.7265625" style="1"/>
    <col min="13312" max="13312" width="7.81640625" style="1" customWidth="1"/>
    <col min="13313" max="13313" width="8.54296875" style="1" customWidth="1"/>
    <col min="13314" max="13314" width="20.1796875" style="1" customWidth="1"/>
    <col min="13315" max="13315" width="16.453125" style="1" customWidth="1"/>
    <col min="13316" max="13316" width="22.26953125" style="1" customWidth="1"/>
    <col min="13317" max="13317" width="17.81640625" style="1" customWidth="1"/>
    <col min="13318" max="13318" width="22.81640625" style="1" customWidth="1"/>
    <col min="13319" max="13319" width="25.453125" style="1" customWidth="1"/>
    <col min="13320" max="13321" width="6.7265625" style="1" customWidth="1"/>
    <col min="13322" max="13322" width="26.453125" style="1" customWidth="1"/>
    <col min="13323" max="13323" width="18.54296875" style="1" customWidth="1"/>
    <col min="13324" max="13324" width="29.81640625" style="1" customWidth="1"/>
    <col min="13325" max="13325" width="23.54296875" style="1" customWidth="1"/>
    <col min="13326" max="13326" width="31.453125" style="1" customWidth="1"/>
    <col min="13327" max="13567" width="8.7265625" style="1"/>
    <col min="13568" max="13568" width="7.81640625" style="1" customWidth="1"/>
    <col min="13569" max="13569" width="8.54296875" style="1" customWidth="1"/>
    <col min="13570" max="13570" width="20.1796875" style="1" customWidth="1"/>
    <col min="13571" max="13571" width="16.453125" style="1" customWidth="1"/>
    <col min="13572" max="13572" width="22.26953125" style="1" customWidth="1"/>
    <col min="13573" max="13573" width="17.81640625" style="1" customWidth="1"/>
    <col min="13574" max="13574" width="22.81640625" style="1" customWidth="1"/>
    <col min="13575" max="13575" width="25.453125" style="1" customWidth="1"/>
    <col min="13576" max="13577" width="6.7265625" style="1" customWidth="1"/>
    <col min="13578" max="13578" width="26.453125" style="1" customWidth="1"/>
    <col min="13579" max="13579" width="18.54296875" style="1" customWidth="1"/>
    <col min="13580" max="13580" width="29.81640625" style="1" customWidth="1"/>
    <col min="13581" max="13581" width="23.54296875" style="1" customWidth="1"/>
    <col min="13582" max="13582" width="31.453125" style="1" customWidth="1"/>
    <col min="13583" max="13823" width="8.7265625" style="1"/>
    <col min="13824" max="13824" width="7.81640625" style="1" customWidth="1"/>
    <col min="13825" max="13825" width="8.54296875" style="1" customWidth="1"/>
    <col min="13826" max="13826" width="20.1796875" style="1" customWidth="1"/>
    <col min="13827" max="13827" width="16.453125" style="1" customWidth="1"/>
    <col min="13828" max="13828" width="22.26953125" style="1" customWidth="1"/>
    <col min="13829" max="13829" width="17.81640625" style="1" customWidth="1"/>
    <col min="13830" max="13830" width="22.81640625" style="1" customWidth="1"/>
    <col min="13831" max="13831" width="25.453125" style="1" customWidth="1"/>
    <col min="13832" max="13833" width="6.7265625" style="1" customWidth="1"/>
    <col min="13834" max="13834" width="26.453125" style="1" customWidth="1"/>
    <col min="13835" max="13835" width="18.54296875" style="1" customWidth="1"/>
    <col min="13836" max="13836" width="29.81640625" style="1" customWidth="1"/>
    <col min="13837" max="13837" width="23.54296875" style="1" customWidth="1"/>
    <col min="13838" max="13838" width="31.453125" style="1" customWidth="1"/>
    <col min="13839" max="14079" width="8.7265625" style="1"/>
    <col min="14080" max="14080" width="7.81640625" style="1" customWidth="1"/>
    <col min="14081" max="14081" width="8.54296875" style="1" customWidth="1"/>
    <col min="14082" max="14082" width="20.1796875" style="1" customWidth="1"/>
    <col min="14083" max="14083" width="16.453125" style="1" customWidth="1"/>
    <col min="14084" max="14084" width="22.26953125" style="1" customWidth="1"/>
    <col min="14085" max="14085" width="17.81640625" style="1" customWidth="1"/>
    <col min="14086" max="14086" width="22.81640625" style="1" customWidth="1"/>
    <col min="14087" max="14087" width="25.453125" style="1" customWidth="1"/>
    <col min="14088" max="14089" width="6.7265625" style="1" customWidth="1"/>
    <col min="14090" max="14090" width="26.453125" style="1" customWidth="1"/>
    <col min="14091" max="14091" width="18.54296875" style="1" customWidth="1"/>
    <col min="14092" max="14092" width="29.81640625" style="1" customWidth="1"/>
    <col min="14093" max="14093" width="23.54296875" style="1" customWidth="1"/>
    <col min="14094" max="14094" width="31.453125" style="1" customWidth="1"/>
    <col min="14095" max="14335" width="8.7265625" style="1"/>
    <col min="14336" max="14336" width="7.81640625" style="1" customWidth="1"/>
    <col min="14337" max="14337" width="8.54296875" style="1" customWidth="1"/>
    <col min="14338" max="14338" width="20.1796875" style="1" customWidth="1"/>
    <col min="14339" max="14339" width="16.453125" style="1" customWidth="1"/>
    <col min="14340" max="14340" width="22.26953125" style="1" customWidth="1"/>
    <col min="14341" max="14341" width="17.81640625" style="1" customWidth="1"/>
    <col min="14342" max="14342" width="22.81640625" style="1" customWidth="1"/>
    <col min="14343" max="14343" width="25.453125" style="1" customWidth="1"/>
    <col min="14344" max="14345" width="6.7265625" style="1" customWidth="1"/>
    <col min="14346" max="14346" width="26.453125" style="1" customWidth="1"/>
    <col min="14347" max="14347" width="18.54296875" style="1" customWidth="1"/>
    <col min="14348" max="14348" width="29.81640625" style="1" customWidth="1"/>
    <col min="14349" max="14349" width="23.54296875" style="1" customWidth="1"/>
    <col min="14350" max="14350" width="31.453125" style="1" customWidth="1"/>
    <col min="14351" max="14591" width="8.7265625" style="1"/>
    <col min="14592" max="14592" width="7.81640625" style="1" customWidth="1"/>
    <col min="14593" max="14593" width="8.54296875" style="1" customWidth="1"/>
    <col min="14594" max="14594" width="20.1796875" style="1" customWidth="1"/>
    <col min="14595" max="14595" width="16.453125" style="1" customWidth="1"/>
    <col min="14596" max="14596" width="22.26953125" style="1" customWidth="1"/>
    <col min="14597" max="14597" width="17.81640625" style="1" customWidth="1"/>
    <col min="14598" max="14598" width="22.81640625" style="1" customWidth="1"/>
    <col min="14599" max="14599" width="25.453125" style="1" customWidth="1"/>
    <col min="14600" max="14601" width="6.7265625" style="1" customWidth="1"/>
    <col min="14602" max="14602" width="26.453125" style="1" customWidth="1"/>
    <col min="14603" max="14603" width="18.54296875" style="1" customWidth="1"/>
    <col min="14604" max="14604" width="29.81640625" style="1" customWidth="1"/>
    <col min="14605" max="14605" width="23.54296875" style="1" customWidth="1"/>
    <col min="14606" max="14606" width="31.453125" style="1" customWidth="1"/>
    <col min="14607" max="14847" width="8.7265625" style="1"/>
    <col min="14848" max="14848" width="7.81640625" style="1" customWidth="1"/>
    <col min="14849" max="14849" width="8.54296875" style="1" customWidth="1"/>
    <col min="14850" max="14850" width="20.1796875" style="1" customWidth="1"/>
    <col min="14851" max="14851" width="16.453125" style="1" customWidth="1"/>
    <col min="14852" max="14852" width="22.26953125" style="1" customWidth="1"/>
    <col min="14853" max="14853" width="17.81640625" style="1" customWidth="1"/>
    <col min="14854" max="14854" width="22.81640625" style="1" customWidth="1"/>
    <col min="14855" max="14855" width="25.453125" style="1" customWidth="1"/>
    <col min="14856" max="14857" width="6.7265625" style="1" customWidth="1"/>
    <col min="14858" max="14858" width="26.453125" style="1" customWidth="1"/>
    <col min="14859" max="14859" width="18.54296875" style="1" customWidth="1"/>
    <col min="14860" max="14860" width="29.81640625" style="1" customWidth="1"/>
    <col min="14861" max="14861" width="23.54296875" style="1" customWidth="1"/>
    <col min="14862" max="14862" width="31.453125" style="1" customWidth="1"/>
    <col min="14863" max="15103" width="8.7265625" style="1"/>
    <col min="15104" max="15104" width="7.81640625" style="1" customWidth="1"/>
    <col min="15105" max="15105" width="8.54296875" style="1" customWidth="1"/>
    <col min="15106" max="15106" width="20.1796875" style="1" customWidth="1"/>
    <col min="15107" max="15107" width="16.453125" style="1" customWidth="1"/>
    <col min="15108" max="15108" width="22.26953125" style="1" customWidth="1"/>
    <col min="15109" max="15109" width="17.81640625" style="1" customWidth="1"/>
    <col min="15110" max="15110" width="22.81640625" style="1" customWidth="1"/>
    <col min="15111" max="15111" width="25.453125" style="1" customWidth="1"/>
    <col min="15112" max="15113" width="6.7265625" style="1" customWidth="1"/>
    <col min="15114" max="15114" width="26.453125" style="1" customWidth="1"/>
    <col min="15115" max="15115" width="18.54296875" style="1" customWidth="1"/>
    <col min="15116" max="15116" width="29.81640625" style="1" customWidth="1"/>
    <col min="15117" max="15117" width="23.54296875" style="1" customWidth="1"/>
    <col min="15118" max="15118" width="31.453125" style="1" customWidth="1"/>
    <col min="15119" max="15359" width="8.7265625" style="1"/>
    <col min="15360" max="15360" width="7.81640625" style="1" customWidth="1"/>
    <col min="15361" max="15361" width="8.54296875" style="1" customWidth="1"/>
    <col min="15362" max="15362" width="20.1796875" style="1" customWidth="1"/>
    <col min="15363" max="15363" width="16.453125" style="1" customWidth="1"/>
    <col min="15364" max="15364" width="22.26953125" style="1" customWidth="1"/>
    <col min="15365" max="15365" width="17.81640625" style="1" customWidth="1"/>
    <col min="15366" max="15366" width="22.81640625" style="1" customWidth="1"/>
    <col min="15367" max="15367" width="25.453125" style="1" customWidth="1"/>
    <col min="15368" max="15369" width="6.7265625" style="1" customWidth="1"/>
    <col min="15370" max="15370" width="26.453125" style="1" customWidth="1"/>
    <col min="15371" max="15371" width="18.54296875" style="1" customWidth="1"/>
    <col min="15372" max="15372" width="29.81640625" style="1" customWidth="1"/>
    <col min="15373" max="15373" width="23.54296875" style="1" customWidth="1"/>
    <col min="15374" max="15374" width="31.453125" style="1" customWidth="1"/>
    <col min="15375" max="15615" width="8.7265625" style="1"/>
    <col min="15616" max="15616" width="7.81640625" style="1" customWidth="1"/>
    <col min="15617" max="15617" width="8.54296875" style="1" customWidth="1"/>
    <col min="15618" max="15618" width="20.1796875" style="1" customWidth="1"/>
    <col min="15619" max="15619" width="16.453125" style="1" customWidth="1"/>
    <col min="15620" max="15620" width="22.26953125" style="1" customWidth="1"/>
    <col min="15621" max="15621" width="17.81640625" style="1" customWidth="1"/>
    <col min="15622" max="15622" width="22.81640625" style="1" customWidth="1"/>
    <col min="15623" max="15623" width="25.453125" style="1" customWidth="1"/>
    <col min="15624" max="15625" width="6.7265625" style="1" customWidth="1"/>
    <col min="15626" max="15626" width="26.453125" style="1" customWidth="1"/>
    <col min="15627" max="15627" width="18.54296875" style="1" customWidth="1"/>
    <col min="15628" max="15628" width="29.81640625" style="1" customWidth="1"/>
    <col min="15629" max="15629" width="23.54296875" style="1" customWidth="1"/>
    <col min="15630" max="15630" width="31.453125" style="1" customWidth="1"/>
    <col min="15631" max="15871" width="8.7265625" style="1"/>
    <col min="15872" max="15872" width="7.81640625" style="1" customWidth="1"/>
    <col min="15873" max="15873" width="8.54296875" style="1" customWidth="1"/>
    <col min="15874" max="15874" width="20.1796875" style="1" customWidth="1"/>
    <col min="15875" max="15875" width="16.453125" style="1" customWidth="1"/>
    <col min="15876" max="15876" width="22.26953125" style="1" customWidth="1"/>
    <col min="15877" max="15877" width="17.81640625" style="1" customWidth="1"/>
    <col min="15878" max="15878" width="22.81640625" style="1" customWidth="1"/>
    <col min="15879" max="15879" width="25.453125" style="1" customWidth="1"/>
    <col min="15880" max="15881" width="6.7265625" style="1" customWidth="1"/>
    <col min="15882" max="15882" width="26.453125" style="1" customWidth="1"/>
    <col min="15883" max="15883" width="18.54296875" style="1" customWidth="1"/>
    <col min="15884" max="15884" width="29.81640625" style="1" customWidth="1"/>
    <col min="15885" max="15885" width="23.54296875" style="1" customWidth="1"/>
    <col min="15886" max="15886" width="31.453125" style="1" customWidth="1"/>
    <col min="15887" max="16127" width="8.7265625" style="1"/>
    <col min="16128" max="16128" width="7.81640625" style="1" customWidth="1"/>
    <col min="16129" max="16129" width="8.54296875" style="1" customWidth="1"/>
    <col min="16130" max="16130" width="20.1796875" style="1" customWidth="1"/>
    <col min="16131" max="16131" width="16.453125" style="1" customWidth="1"/>
    <col min="16132" max="16132" width="22.26953125" style="1" customWidth="1"/>
    <col min="16133" max="16133" width="17.81640625" style="1" customWidth="1"/>
    <col min="16134" max="16134" width="22.81640625" style="1" customWidth="1"/>
    <col min="16135" max="16135" width="25.453125" style="1" customWidth="1"/>
    <col min="16136" max="16137" width="6.7265625" style="1" customWidth="1"/>
    <col min="16138" max="16138" width="26.453125" style="1" customWidth="1"/>
    <col min="16139" max="16139" width="18.54296875" style="1" customWidth="1"/>
    <col min="16140" max="16140" width="29.81640625" style="1" customWidth="1"/>
    <col min="16141" max="16141" width="23.54296875" style="1" customWidth="1"/>
    <col min="16142" max="16142" width="31.453125" style="1" customWidth="1"/>
    <col min="16143" max="16383" width="8.7265625" style="1"/>
    <col min="16384" max="16384" width="9.1796875" style="1" customWidth="1"/>
  </cols>
  <sheetData>
    <row r="1" spans="1:16" ht="17.25" customHeight="1">
      <c r="A1" s="64" t="s">
        <v>90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7.25" customHeight="1">
      <c r="A2" s="64" t="str">
        <f>Honor_guru!A2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4" t="s">
        <v>0</v>
      </c>
      <c r="D4" s="5" t="str">
        <f>Honor_guru!D4</f>
        <v>: ____________________________</v>
      </c>
      <c r="E4" s="5"/>
      <c r="F4" s="5"/>
      <c r="G4" s="5"/>
      <c r="H4" s="5"/>
      <c r="I4" s="5"/>
      <c r="K4" s="6"/>
      <c r="L4" s="7"/>
      <c r="M4" s="4" t="s">
        <v>26</v>
      </c>
      <c r="N4" s="4" t="s">
        <v>30</v>
      </c>
      <c r="O4" s="3"/>
    </row>
    <row r="5" spans="1:16" ht="15" customHeight="1">
      <c r="C5" s="4" t="s">
        <v>2</v>
      </c>
      <c r="D5" s="5" t="str">
        <f>Honor_guru!D5</f>
        <v>: SD NEGERI LEBAKLEUNGSIR</v>
      </c>
      <c r="E5" s="4"/>
      <c r="F5" s="4"/>
      <c r="G5" s="4"/>
      <c r="H5" s="4"/>
      <c r="I5" s="4"/>
      <c r="K5" s="6"/>
      <c r="M5" s="4" t="s">
        <v>27</v>
      </c>
      <c r="N5" s="4" t="s">
        <v>91</v>
      </c>
      <c r="O5" s="3"/>
    </row>
    <row r="6" spans="1:16" ht="15" customHeight="1">
      <c r="C6" s="4" t="s">
        <v>3</v>
      </c>
      <c r="D6" s="5" t="str">
        <f>Honor_guru!D6</f>
        <v>: Cikalongwetan</v>
      </c>
      <c r="E6" s="4"/>
      <c r="F6" s="4"/>
      <c r="G6" s="4"/>
      <c r="H6" s="4"/>
      <c r="I6" s="4"/>
      <c r="K6" s="6"/>
      <c r="M6" s="8" t="s">
        <v>28</v>
      </c>
      <c r="N6" s="4" t="s">
        <v>50</v>
      </c>
      <c r="O6" s="3"/>
    </row>
    <row r="7" spans="1:16" ht="15" customHeight="1">
      <c r="C7" s="4" t="s">
        <v>5</v>
      </c>
      <c r="D7" s="5" t="str">
        <f>Honor_guru!D7</f>
        <v>: Bandung Barat</v>
      </c>
      <c r="E7" s="4"/>
      <c r="F7" s="4"/>
      <c r="G7" s="4"/>
      <c r="H7" s="4"/>
      <c r="I7" s="4"/>
      <c r="K7" s="6"/>
      <c r="M7" s="4" t="s">
        <v>7</v>
      </c>
      <c r="N7" s="30" t="s">
        <v>44</v>
      </c>
      <c r="O7" s="3"/>
      <c r="P7" s="8"/>
    </row>
    <row r="8" spans="1:16" ht="15" customHeight="1">
      <c r="M8" s="8"/>
      <c r="N8" s="8"/>
      <c r="O8" s="8"/>
    </row>
    <row r="9" spans="1:16" ht="18.5" customHeight="1">
      <c r="A9" s="62" t="s">
        <v>8</v>
      </c>
      <c r="B9" s="65" t="s">
        <v>9</v>
      </c>
      <c r="C9" s="66"/>
      <c r="D9" s="62" t="s">
        <v>10</v>
      </c>
      <c r="E9" s="69" t="s">
        <v>72</v>
      </c>
      <c r="F9" s="70"/>
      <c r="G9" s="70"/>
      <c r="H9" s="71"/>
      <c r="I9" s="72" t="s">
        <v>14</v>
      </c>
      <c r="J9" s="72" t="s">
        <v>11</v>
      </c>
      <c r="K9" s="65" t="s">
        <v>12</v>
      </c>
      <c r="L9" s="66"/>
      <c r="M9" s="74" t="s">
        <v>31</v>
      </c>
      <c r="N9" s="72" t="s">
        <v>16</v>
      </c>
      <c r="O9" s="65" t="s">
        <v>17</v>
      </c>
      <c r="P9" s="66"/>
    </row>
    <row r="10" spans="1:16" ht="34" customHeight="1">
      <c r="A10" s="63"/>
      <c r="B10" s="67"/>
      <c r="C10" s="68"/>
      <c r="D10" s="63"/>
      <c r="E10" s="35" t="s">
        <v>73</v>
      </c>
      <c r="F10" s="35" t="s">
        <v>41</v>
      </c>
      <c r="G10" s="35" t="s">
        <v>74</v>
      </c>
      <c r="H10" s="39" t="s">
        <v>92</v>
      </c>
      <c r="I10" s="73"/>
      <c r="J10" s="73"/>
      <c r="K10" s="67"/>
      <c r="L10" s="68"/>
      <c r="M10" s="75"/>
      <c r="N10" s="73"/>
      <c r="O10" s="67"/>
      <c r="P10" s="68"/>
    </row>
    <row r="11" spans="1:16" ht="24" customHeight="1">
      <c r="A11" s="11">
        <v>1</v>
      </c>
      <c r="B11" s="12"/>
      <c r="C11" s="13"/>
      <c r="D11" s="32"/>
      <c r="E11" s="37"/>
      <c r="F11" s="37"/>
      <c r="G11" s="37"/>
      <c r="H11" s="37"/>
      <c r="I11" s="16" t="str">
        <f>IF(B11="","",SUM(E11:H11))</f>
        <v/>
      </c>
      <c r="J11" s="14" t="s">
        <v>32</v>
      </c>
      <c r="K11" s="14">
        <v>1</v>
      </c>
      <c r="L11" s="14" t="s">
        <v>19</v>
      </c>
      <c r="M11" s="17" t="str">
        <f>IFERROR(I11*0/100,"")</f>
        <v/>
      </c>
      <c r="N11" s="16" t="str">
        <f>IFERROR(SUM(I11*K11)-M11,"")</f>
        <v/>
      </c>
      <c r="O11" s="54">
        <v>1</v>
      </c>
      <c r="P11" s="56">
        <v>2</v>
      </c>
    </row>
    <row r="12" spans="1:16" ht="24" customHeight="1">
      <c r="A12" s="11">
        <v>2</v>
      </c>
      <c r="B12" s="12"/>
      <c r="C12" s="13"/>
      <c r="D12" s="32"/>
      <c r="E12" s="37"/>
      <c r="F12" s="37"/>
      <c r="G12" s="37"/>
      <c r="H12" s="37"/>
      <c r="I12" s="16" t="str">
        <f>IF(B12="","",SUM(E12:H12))</f>
        <v/>
      </c>
      <c r="J12" s="14"/>
      <c r="K12" s="14"/>
      <c r="L12" s="14"/>
      <c r="M12" s="17" t="str">
        <f t="shared" ref="M12:M16" si="0">IFERROR(I12*0/100,"")</f>
        <v/>
      </c>
      <c r="N12" s="16" t="str">
        <f t="shared" ref="N12:N16" si="1">IFERROR(SUM(I12*K12)-M12,"")</f>
        <v/>
      </c>
      <c r="O12" s="55"/>
      <c r="P12" s="57"/>
    </row>
    <row r="13" spans="1:16" ht="24" hidden="1" customHeight="1">
      <c r="A13" s="11">
        <v>3</v>
      </c>
      <c r="B13" s="12"/>
      <c r="C13" s="13"/>
      <c r="D13" s="32"/>
      <c r="E13" s="37"/>
      <c r="F13" s="37"/>
      <c r="G13" s="37"/>
      <c r="H13" s="37"/>
      <c r="I13" s="16" t="str">
        <f t="shared" ref="I13:I16" si="2">IF(B13="","",SUM(E13:H13))</f>
        <v/>
      </c>
      <c r="J13" s="14"/>
      <c r="K13" s="14"/>
      <c r="L13" s="14"/>
      <c r="M13" s="17" t="str">
        <f t="shared" si="0"/>
        <v/>
      </c>
      <c r="N13" s="16" t="str">
        <f t="shared" si="1"/>
        <v/>
      </c>
      <c r="O13" s="54">
        <v>3</v>
      </c>
      <c r="P13" s="56">
        <v>4</v>
      </c>
    </row>
    <row r="14" spans="1:16" ht="24" hidden="1" customHeight="1">
      <c r="A14" s="11">
        <v>4</v>
      </c>
      <c r="B14" s="12"/>
      <c r="C14" s="13"/>
      <c r="D14" s="32"/>
      <c r="E14" s="37"/>
      <c r="F14" s="37"/>
      <c r="G14" s="37"/>
      <c r="H14" s="37"/>
      <c r="I14" s="16" t="str">
        <f t="shared" si="2"/>
        <v/>
      </c>
      <c r="J14" s="14"/>
      <c r="K14" s="14"/>
      <c r="L14" s="14"/>
      <c r="M14" s="17" t="str">
        <f>IFERROR(I14*0/100,"")</f>
        <v/>
      </c>
      <c r="N14" s="16" t="str">
        <f t="shared" si="1"/>
        <v/>
      </c>
      <c r="O14" s="55"/>
      <c r="P14" s="57"/>
    </row>
    <row r="15" spans="1:16" ht="24" hidden="1" customHeight="1">
      <c r="A15" s="11">
        <v>5</v>
      </c>
      <c r="B15" s="12"/>
      <c r="C15" s="13"/>
      <c r="D15" s="13"/>
      <c r="E15" s="37"/>
      <c r="F15" s="37"/>
      <c r="G15" s="37"/>
      <c r="H15" s="13"/>
      <c r="I15" s="16" t="str">
        <f t="shared" si="2"/>
        <v/>
      </c>
      <c r="J15" s="14"/>
      <c r="K15" s="14"/>
      <c r="L15" s="14"/>
      <c r="M15" s="17" t="str">
        <f t="shared" si="0"/>
        <v/>
      </c>
      <c r="N15" s="16" t="str">
        <f t="shared" si="1"/>
        <v/>
      </c>
      <c r="O15" s="58">
        <v>5</v>
      </c>
      <c r="P15" s="59">
        <v>6</v>
      </c>
    </row>
    <row r="16" spans="1:16" ht="24" hidden="1" customHeight="1">
      <c r="A16" s="11">
        <v>6</v>
      </c>
      <c r="B16" s="12"/>
      <c r="C16" s="13"/>
      <c r="D16" s="13"/>
      <c r="E16" s="37"/>
      <c r="F16" s="37"/>
      <c r="G16" s="37"/>
      <c r="H16" s="13"/>
      <c r="I16" s="16" t="str">
        <f t="shared" si="2"/>
        <v/>
      </c>
      <c r="J16" s="14"/>
      <c r="K16" s="14"/>
      <c r="L16" s="14"/>
      <c r="M16" s="17" t="str">
        <f t="shared" si="0"/>
        <v/>
      </c>
      <c r="N16" s="16" t="str">
        <f t="shared" si="1"/>
        <v/>
      </c>
      <c r="O16" s="58"/>
      <c r="P16" s="59"/>
    </row>
    <row r="17" spans="1:19" s="21" customFormat="1" ht="22.5" customHeight="1">
      <c r="A17" s="60" t="s">
        <v>20</v>
      </c>
      <c r="B17" s="61"/>
      <c r="C17" s="61"/>
      <c r="D17" s="61"/>
      <c r="E17" s="61"/>
      <c r="F17" s="61"/>
      <c r="G17" s="61"/>
      <c r="H17" s="36"/>
      <c r="I17" s="18">
        <f>SUM(I11:I16)</f>
        <v>0</v>
      </c>
      <c r="J17" s="36"/>
      <c r="K17" s="36"/>
      <c r="L17" s="36"/>
      <c r="M17" s="19">
        <f>SUM(M11:M16)</f>
        <v>0</v>
      </c>
      <c r="N17" s="18">
        <f>SUM(N11:N16)</f>
        <v>0</v>
      </c>
      <c r="O17" s="20"/>
      <c r="P17" s="20"/>
      <c r="S17" s="22"/>
    </row>
    <row r="18" spans="1:19" ht="23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N18" s="23"/>
    </row>
    <row r="19" spans="1: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24" t="str">
        <f>Honor_guru!P19</f>
        <v>Cikalongwetan, 2 Januari 2026</v>
      </c>
    </row>
    <row r="20" spans="1:19" ht="18" customHeight="1">
      <c r="A20" s="8"/>
      <c r="C20" s="24" t="s">
        <v>21</v>
      </c>
      <c r="D20" s="24"/>
      <c r="E20" s="24"/>
      <c r="F20" s="24"/>
      <c r="G20" s="24"/>
      <c r="H20" s="24"/>
      <c r="I20" s="24"/>
      <c r="J20" s="24"/>
      <c r="K20" s="24"/>
      <c r="L20" s="8"/>
      <c r="O20" s="24" t="str">
        <f>Honor_guru!P20</f>
        <v>Dibayar Lunas Tgl. 4 Februari 2026</v>
      </c>
    </row>
    <row r="21" spans="1:19">
      <c r="A21" s="8"/>
      <c r="C21" s="24" t="s">
        <v>22</v>
      </c>
      <c r="D21" s="24"/>
      <c r="E21" s="24"/>
      <c r="F21" s="24"/>
      <c r="G21" s="24"/>
      <c r="H21" s="24"/>
      <c r="I21" s="24"/>
      <c r="J21" s="24"/>
      <c r="K21" s="24"/>
      <c r="L21" s="8"/>
      <c r="O21" s="24" t="s">
        <v>23</v>
      </c>
    </row>
    <row r="22" spans="1:19">
      <c r="A22" s="8"/>
      <c r="C22" s="24"/>
      <c r="D22" s="24"/>
      <c r="E22" s="24"/>
      <c r="F22" s="24"/>
      <c r="G22" s="24"/>
      <c r="H22" s="24"/>
      <c r="I22" s="24"/>
      <c r="J22" s="24"/>
      <c r="K22" s="24"/>
      <c r="L22" s="8"/>
      <c r="O22" s="25"/>
      <c r="S22" s="26"/>
    </row>
    <row r="23" spans="1:19">
      <c r="A23" s="8"/>
      <c r="C23" s="24"/>
      <c r="D23" s="24"/>
      <c r="E23" s="24"/>
      <c r="F23" s="24"/>
      <c r="G23" s="24"/>
      <c r="H23" s="24"/>
      <c r="I23" s="24"/>
      <c r="J23" s="24"/>
      <c r="K23" s="24"/>
      <c r="L23" s="8"/>
      <c r="O23" s="25"/>
    </row>
    <row r="24" spans="1:19">
      <c r="A24" s="8"/>
      <c r="C24" s="24"/>
      <c r="D24" s="24"/>
      <c r="E24" s="24"/>
      <c r="F24" s="24"/>
      <c r="G24" s="24"/>
      <c r="H24" s="24"/>
      <c r="I24" s="24"/>
      <c r="J24" s="24"/>
      <c r="K24" s="24"/>
      <c r="L24" s="8"/>
      <c r="O24" s="25"/>
    </row>
    <row r="25" spans="1:19">
      <c r="A25" s="8"/>
      <c r="C25" s="24"/>
      <c r="D25" s="24"/>
      <c r="E25" s="24"/>
      <c r="F25" s="24"/>
      <c r="G25" s="24"/>
      <c r="H25" s="24"/>
      <c r="I25" s="24"/>
      <c r="J25" s="24"/>
      <c r="K25" s="24"/>
      <c r="L25" s="8"/>
      <c r="O25" s="25"/>
    </row>
    <row r="26" spans="1:19">
      <c r="A26" s="8"/>
      <c r="C26" s="24"/>
      <c r="D26" s="24"/>
      <c r="E26" s="24"/>
      <c r="F26" s="24"/>
      <c r="G26" s="24"/>
      <c r="H26" s="24"/>
      <c r="I26" s="24"/>
      <c r="J26" s="24"/>
      <c r="K26" s="24"/>
      <c r="L26" s="8"/>
      <c r="O26" s="25"/>
    </row>
    <row r="27" spans="1:19" ht="15" customHeight="1">
      <c r="A27" s="8"/>
      <c r="C27" s="27" t="str">
        <f>Honor_guru!C27</f>
        <v>BADRUDDIN, S.Ag.</v>
      </c>
      <c r="D27" s="28"/>
      <c r="E27" s="28"/>
      <c r="F27" s="28"/>
      <c r="G27" s="28"/>
      <c r="H27" s="28"/>
      <c r="I27" s="28"/>
      <c r="J27" s="28"/>
      <c r="K27" s="8"/>
      <c r="L27" s="8"/>
      <c r="O27" s="29" t="str">
        <f>Honor_guru!P27</f>
        <v>DEDE GUNAWAN, S.Pd.</v>
      </c>
    </row>
    <row r="28" spans="1:19" ht="15" customHeight="1">
      <c r="A28" s="8"/>
      <c r="C28" s="27" t="str">
        <f>Honor_guru!C28</f>
        <v>NIP. 197405082014121002</v>
      </c>
      <c r="D28" s="28"/>
      <c r="E28" s="28"/>
      <c r="F28" s="28"/>
      <c r="G28" s="28"/>
      <c r="H28" s="28"/>
      <c r="I28" s="28"/>
      <c r="J28" s="28"/>
      <c r="K28" s="8"/>
      <c r="L28" s="8"/>
      <c r="O28" s="29" t="str">
        <f>Honor_guru!P28</f>
        <v>NIP. 198507172020121003</v>
      </c>
    </row>
    <row r="29" spans="1:19" ht="15" customHeight="1">
      <c r="A29" s="8"/>
      <c r="C29" s="28"/>
      <c r="D29" s="28"/>
      <c r="E29" s="28"/>
      <c r="F29" s="28"/>
      <c r="G29" s="28"/>
      <c r="H29" s="28"/>
      <c r="I29" s="28"/>
      <c r="J29" s="28"/>
      <c r="K29" s="28"/>
      <c r="L29" s="8"/>
      <c r="O29" s="29"/>
    </row>
    <row r="30" spans="1:19" ht="15" customHeight="1">
      <c r="A30" s="8"/>
      <c r="C30" s="28"/>
      <c r="D30" s="28"/>
      <c r="E30" s="28"/>
      <c r="F30" s="28"/>
      <c r="G30" s="28"/>
      <c r="H30" s="28"/>
      <c r="I30" s="28"/>
      <c r="J30" s="28"/>
      <c r="K30" s="28"/>
      <c r="L30" s="8"/>
      <c r="O30" s="29"/>
    </row>
    <row r="42" spans="1:16" ht="17.25" customHeight="1">
      <c r="A42" s="64" t="str">
        <f>$A$1</f>
        <v>DAFTAR PENERIMA HONORARIUM/GAJI TENAGA ADMINISTRASI SEKOLAH TIDAK TETAP (PEMBAYARAN NON TUNAI)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</row>
    <row r="43" spans="1:16" ht="17.25" customHeight="1">
      <c r="A43" s="64" t="str">
        <f>Honor_guru!A37</f>
        <v>BULAN FEBRUARI 2026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</row>
    <row r="44" spans="1:16" ht="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" customHeight="1">
      <c r="C45" s="4" t="s">
        <v>0</v>
      </c>
      <c r="D45" s="5" t="s">
        <v>1</v>
      </c>
      <c r="E45" s="5"/>
      <c r="F45" s="5"/>
      <c r="G45" s="5"/>
      <c r="H45" s="5"/>
      <c r="I45" s="5"/>
      <c r="K45" s="6"/>
      <c r="L45" s="7"/>
      <c r="M45" s="4" t="s">
        <v>26</v>
      </c>
      <c r="N45" s="4" t="str">
        <f>N4</f>
        <v>: 07 Pengembangan Standar Pembiayaan</v>
      </c>
      <c r="O45" s="3"/>
    </row>
    <row r="46" spans="1:16" ht="15" customHeight="1">
      <c r="C46" s="4" t="s">
        <v>2</v>
      </c>
      <c r="D46" s="4" t="str">
        <f>D5</f>
        <v>: SD NEGERI LEBAKLEUNGSIR</v>
      </c>
      <c r="E46" s="4"/>
      <c r="F46" s="4"/>
      <c r="G46" s="4"/>
      <c r="H46" s="4"/>
      <c r="I46" s="4"/>
      <c r="K46" s="6"/>
      <c r="M46" s="4" t="s">
        <v>27</v>
      </c>
      <c r="N46" s="4" t="str">
        <f>N5</f>
        <v>: Pembayaran Honor Tenaga Kependidikan</v>
      </c>
      <c r="O46" s="3"/>
    </row>
    <row r="47" spans="1:16" ht="15" customHeight="1">
      <c r="C47" s="4" t="s">
        <v>3</v>
      </c>
      <c r="D47" s="4" t="str">
        <f>D6</f>
        <v>: Cikalongwetan</v>
      </c>
      <c r="E47" s="4"/>
      <c r="F47" s="4"/>
      <c r="G47" s="4"/>
      <c r="H47" s="4"/>
      <c r="I47" s="4"/>
      <c r="K47" s="6"/>
      <c r="M47" s="8" t="s">
        <v>28</v>
      </c>
      <c r="N47" s="4" t="str">
        <f>N6</f>
        <v>: 5.1.02.02.01.0013</v>
      </c>
      <c r="O47" s="3"/>
    </row>
    <row r="48" spans="1:16" ht="15" customHeight="1">
      <c r="C48" s="4" t="s">
        <v>5</v>
      </c>
      <c r="D48" s="4" t="str">
        <f>D7</f>
        <v>: Bandung Barat</v>
      </c>
      <c r="E48" s="4"/>
      <c r="F48" s="4"/>
      <c r="G48" s="4"/>
      <c r="H48" s="4"/>
      <c r="I48" s="4"/>
      <c r="K48" s="6"/>
      <c r="M48" s="4" t="s">
        <v>7</v>
      </c>
      <c r="N48" s="4" t="str">
        <f>N7</f>
        <v>: 12</v>
      </c>
      <c r="O48" s="3"/>
      <c r="P48" s="8"/>
    </row>
    <row r="49" spans="1:19" ht="15" customHeight="1">
      <c r="M49" s="8"/>
      <c r="N49" s="8"/>
      <c r="O49" s="8"/>
    </row>
    <row r="50" spans="1:19" ht="18.5" customHeight="1">
      <c r="A50" s="62" t="s">
        <v>8</v>
      </c>
      <c r="B50" s="65" t="s">
        <v>9</v>
      </c>
      <c r="C50" s="66"/>
      <c r="D50" s="62" t="s">
        <v>10</v>
      </c>
      <c r="E50" s="69" t="s">
        <v>72</v>
      </c>
      <c r="F50" s="70"/>
      <c r="G50" s="70"/>
      <c r="H50" s="71"/>
      <c r="I50" s="72" t="s">
        <v>14</v>
      </c>
      <c r="J50" s="72" t="s">
        <v>11</v>
      </c>
      <c r="K50" s="65" t="s">
        <v>12</v>
      </c>
      <c r="L50" s="66"/>
      <c r="M50" s="74" t="s">
        <v>31</v>
      </c>
      <c r="N50" s="72" t="s">
        <v>16</v>
      </c>
      <c r="O50" s="65" t="s">
        <v>17</v>
      </c>
      <c r="P50" s="66"/>
    </row>
    <row r="51" spans="1:19" ht="34" customHeight="1">
      <c r="A51" s="63"/>
      <c r="B51" s="67"/>
      <c r="C51" s="68"/>
      <c r="D51" s="63"/>
      <c r="E51" s="35" t="str">
        <f t="shared" ref="E51:E57" si="3">IF(E10="","",E10)</f>
        <v>TAS/ Operator</v>
      </c>
      <c r="F51" s="35" t="str">
        <f t="shared" ref="F51:H51" si="4">IF(F10="","",F10)</f>
        <v>Guru</v>
      </c>
      <c r="G51" s="35" t="str">
        <f t="shared" si="4"/>
        <v>Pembina Ekskul</v>
      </c>
      <c r="H51" s="39" t="str">
        <f t="shared" si="4"/>
        <v>Tenaga Perpustakaan</v>
      </c>
      <c r="I51" s="73"/>
      <c r="J51" s="73"/>
      <c r="K51" s="67"/>
      <c r="L51" s="68"/>
      <c r="M51" s="75"/>
      <c r="N51" s="73"/>
      <c r="O51" s="67"/>
      <c r="P51" s="68"/>
    </row>
    <row r="52" spans="1:19" ht="24" customHeight="1">
      <c r="A52" s="11">
        <v>1</v>
      </c>
      <c r="B52" s="12" t="str">
        <f t="shared" ref="B52:B57" si="5">IF(B11="","",B11)</f>
        <v/>
      </c>
      <c r="C52" s="13"/>
      <c r="D52" s="32" t="str">
        <f t="shared" ref="D52:D57" si="6">IF(D11="","",D11)</f>
        <v/>
      </c>
      <c r="E52" s="37" t="str">
        <f t="shared" si="3"/>
        <v/>
      </c>
      <c r="F52" s="37" t="str">
        <f t="shared" ref="F52:H57" si="7">IF(F11="","",F11)</f>
        <v/>
      </c>
      <c r="G52" s="37" t="str">
        <f t="shared" si="7"/>
        <v/>
      </c>
      <c r="H52" s="37" t="str">
        <f t="shared" si="7"/>
        <v/>
      </c>
      <c r="I52" s="16" t="str">
        <f>IF(B52="","",SUM(E52:H52))</f>
        <v/>
      </c>
      <c r="J52" s="38" t="str">
        <f t="shared" ref="J52:L57" si="8">IF(J11="","",J11)</f>
        <v>PTT</v>
      </c>
      <c r="K52" s="38">
        <f t="shared" si="8"/>
        <v>1</v>
      </c>
      <c r="L52" s="38" t="str">
        <f t="shared" si="8"/>
        <v>Bulan</v>
      </c>
      <c r="M52" s="17" t="str">
        <f>IFERROR(I52*0/100,"")</f>
        <v/>
      </c>
      <c r="N52" s="16" t="str">
        <f>IFERROR(SUM(I52*K52)-M52,"")</f>
        <v/>
      </c>
      <c r="O52" s="54">
        <v>1</v>
      </c>
      <c r="P52" s="56">
        <v>2</v>
      </c>
    </row>
    <row r="53" spans="1:19" ht="24" customHeight="1">
      <c r="A53" s="11">
        <v>2</v>
      </c>
      <c r="B53" s="12" t="str">
        <f t="shared" si="5"/>
        <v/>
      </c>
      <c r="C53" s="13"/>
      <c r="D53" s="32" t="str">
        <f t="shared" si="6"/>
        <v/>
      </c>
      <c r="E53" s="37" t="str">
        <f t="shared" si="3"/>
        <v/>
      </c>
      <c r="F53" s="37" t="str">
        <f t="shared" si="7"/>
        <v/>
      </c>
      <c r="G53" s="37" t="str">
        <f t="shared" si="7"/>
        <v/>
      </c>
      <c r="H53" s="37" t="str">
        <f t="shared" si="7"/>
        <v/>
      </c>
      <c r="I53" s="16" t="str">
        <f t="shared" ref="I53:I57" si="9">IF(B53="","",SUM(E53:H53))</f>
        <v/>
      </c>
      <c r="J53" s="38" t="str">
        <f t="shared" si="8"/>
        <v/>
      </c>
      <c r="K53" s="38" t="str">
        <f t="shared" si="8"/>
        <v/>
      </c>
      <c r="L53" s="38" t="str">
        <f t="shared" si="8"/>
        <v/>
      </c>
      <c r="M53" s="17" t="str">
        <f t="shared" ref="M53:M57" si="10">IFERROR(I53*0/100,"")</f>
        <v/>
      </c>
      <c r="N53" s="16" t="str">
        <f t="shared" ref="N53:N57" si="11">IFERROR(SUM(I53*K53)-M53,"")</f>
        <v/>
      </c>
      <c r="O53" s="55"/>
      <c r="P53" s="57"/>
    </row>
    <row r="54" spans="1:19" ht="24" hidden="1" customHeight="1">
      <c r="A54" s="11">
        <v>3</v>
      </c>
      <c r="B54" s="12" t="str">
        <f t="shared" si="5"/>
        <v/>
      </c>
      <c r="C54" s="13"/>
      <c r="D54" s="32" t="str">
        <f t="shared" si="6"/>
        <v/>
      </c>
      <c r="E54" s="37" t="str">
        <f t="shared" si="3"/>
        <v/>
      </c>
      <c r="F54" s="37" t="str">
        <f t="shared" si="7"/>
        <v/>
      </c>
      <c r="G54" s="37" t="str">
        <f t="shared" si="7"/>
        <v/>
      </c>
      <c r="H54" s="37" t="str">
        <f t="shared" si="7"/>
        <v/>
      </c>
      <c r="I54" s="16" t="str">
        <f t="shared" si="9"/>
        <v/>
      </c>
      <c r="J54" s="38" t="str">
        <f t="shared" si="8"/>
        <v/>
      </c>
      <c r="K54" s="38" t="str">
        <f t="shared" si="8"/>
        <v/>
      </c>
      <c r="L54" s="38" t="str">
        <f t="shared" si="8"/>
        <v/>
      </c>
      <c r="M54" s="17" t="str">
        <f t="shared" si="10"/>
        <v/>
      </c>
      <c r="N54" s="16" t="str">
        <f t="shared" si="11"/>
        <v/>
      </c>
      <c r="O54" s="54">
        <v>3</v>
      </c>
      <c r="P54" s="56">
        <v>4</v>
      </c>
    </row>
    <row r="55" spans="1:19" ht="24" hidden="1" customHeight="1">
      <c r="A55" s="11">
        <v>4</v>
      </c>
      <c r="B55" s="12" t="str">
        <f t="shared" si="5"/>
        <v/>
      </c>
      <c r="C55" s="13"/>
      <c r="D55" s="32" t="str">
        <f t="shared" si="6"/>
        <v/>
      </c>
      <c r="E55" s="37" t="str">
        <f t="shared" si="3"/>
        <v/>
      </c>
      <c r="F55" s="37" t="str">
        <f t="shared" si="7"/>
        <v/>
      </c>
      <c r="G55" s="37" t="str">
        <f t="shared" si="7"/>
        <v/>
      </c>
      <c r="H55" s="37" t="str">
        <f t="shared" si="7"/>
        <v/>
      </c>
      <c r="I55" s="16" t="str">
        <f t="shared" si="9"/>
        <v/>
      </c>
      <c r="J55" s="38" t="str">
        <f t="shared" si="8"/>
        <v/>
      </c>
      <c r="K55" s="38" t="str">
        <f t="shared" si="8"/>
        <v/>
      </c>
      <c r="L55" s="38" t="str">
        <f t="shared" si="8"/>
        <v/>
      </c>
      <c r="M55" s="17" t="str">
        <f t="shared" si="10"/>
        <v/>
      </c>
      <c r="N55" s="16" t="str">
        <f t="shared" si="11"/>
        <v/>
      </c>
      <c r="O55" s="55"/>
      <c r="P55" s="57"/>
    </row>
    <row r="56" spans="1:19" ht="24" hidden="1" customHeight="1">
      <c r="A56" s="11">
        <v>5</v>
      </c>
      <c r="B56" s="12" t="str">
        <f t="shared" si="5"/>
        <v/>
      </c>
      <c r="C56" s="13"/>
      <c r="D56" s="32" t="str">
        <f t="shared" si="6"/>
        <v/>
      </c>
      <c r="E56" s="37" t="str">
        <f t="shared" si="3"/>
        <v/>
      </c>
      <c r="F56" s="37" t="str">
        <f t="shared" si="7"/>
        <v/>
      </c>
      <c r="G56" s="37" t="str">
        <f t="shared" si="7"/>
        <v/>
      </c>
      <c r="H56" s="37" t="str">
        <f t="shared" si="7"/>
        <v/>
      </c>
      <c r="I56" s="16" t="str">
        <f t="shared" si="9"/>
        <v/>
      </c>
      <c r="J56" s="38" t="str">
        <f t="shared" si="8"/>
        <v/>
      </c>
      <c r="K56" s="38" t="str">
        <f t="shared" si="8"/>
        <v/>
      </c>
      <c r="L56" s="38" t="str">
        <f t="shared" si="8"/>
        <v/>
      </c>
      <c r="M56" s="17" t="str">
        <f t="shared" si="10"/>
        <v/>
      </c>
      <c r="N56" s="16" t="str">
        <f t="shared" si="11"/>
        <v/>
      </c>
      <c r="O56" s="58">
        <v>5</v>
      </c>
      <c r="P56" s="59">
        <v>6</v>
      </c>
    </row>
    <row r="57" spans="1:19" ht="24" hidden="1" customHeight="1">
      <c r="A57" s="11">
        <v>6</v>
      </c>
      <c r="B57" s="12" t="str">
        <f t="shared" si="5"/>
        <v/>
      </c>
      <c r="C57" s="13"/>
      <c r="D57" s="32" t="str">
        <f t="shared" si="6"/>
        <v/>
      </c>
      <c r="E57" s="37" t="str">
        <f t="shared" si="3"/>
        <v/>
      </c>
      <c r="F57" s="37" t="str">
        <f t="shared" si="7"/>
        <v/>
      </c>
      <c r="G57" s="37" t="str">
        <f t="shared" si="7"/>
        <v/>
      </c>
      <c r="H57" s="37" t="str">
        <f t="shared" si="7"/>
        <v/>
      </c>
      <c r="I57" s="16" t="str">
        <f t="shared" si="9"/>
        <v/>
      </c>
      <c r="J57" s="38" t="str">
        <f t="shared" si="8"/>
        <v/>
      </c>
      <c r="K57" s="38" t="str">
        <f t="shared" si="8"/>
        <v/>
      </c>
      <c r="L57" s="38" t="str">
        <f t="shared" si="8"/>
        <v/>
      </c>
      <c r="M57" s="17" t="str">
        <f t="shared" si="10"/>
        <v/>
      </c>
      <c r="N57" s="16" t="str">
        <f t="shared" si="11"/>
        <v/>
      </c>
      <c r="O57" s="58"/>
      <c r="P57" s="59"/>
    </row>
    <row r="58" spans="1:19" s="21" customFormat="1" ht="22.5" customHeight="1">
      <c r="A58" s="60" t="s">
        <v>20</v>
      </c>
      <c r="B58" s="61"/>
      <c r="C58" s="61"/>
      <c r="D58" s="61"/>
      <c r="E58" s="61"/>
      <c r="F58" s="61"/>
      <c r="G58" s="61"/>
      <c r="H58" s="36"/>
      <c r="I58" s="18">
        <f>SUM(I52:I57)</f>
        <v>0</v>
      </c>
      <c r="J58" s="36"/>
      <c r="K58" s="36"/>
      <c r="L58" s="36"/>
      <c r="M58" s="19">
        <f>SUM(M52:M57)</f>
        <v>0</v>
      </c>
      <c r="N58" s="18">
        <f>SUM(N52:N57)</f>
        <v>0</v>
      </c>
      <c r="O58" s="20"/>
      <c r="P58" s="20"/>
      <c r="S58" s="22"/>
    </row>
    <row r="59" spans="1:19" ht="23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N59" s="23"/>
    </row>
    <row r="60" spans="1:19" ht="17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O60" s="24" t="str">
        <f>Honor_guru!P54</f>
        <v>Cikalongwetan, 1 Februari 2026</v>
      </c>
    </row>
    <row r="61" spans="1:19" ht="18" customHeight="1">
      <c r="A61" s="8"/>
      <c r="C61" s="24" t="s">
        <v>21</v>
      </c>
      <c r="D61" s="24"/>
      <c r="E61" s="24"/>
      <c r="F61" s="24"/>
      <c r="G61" s="24"/>
      <c r="H61" s="24"/>
      <c r="I61" s="24"/>
      <c r="J61" s="24"/>
      <c r="K61" s="24"/>
      <c r="L61" s="8"/>
      <c r="O61" s="24" t="str">
        <f>Honor_guru!P55</f>
        <v>Dibayar Lunas Tgl. 4 Februari 2026</v>
      </c>
    </row>
    <row r="62" spans="1:19">
      <c r="A62" s="8"/>
      <c r="C62" s="24" t="s">
        <v>22</v>
      </c>
      <c r="D62" s="24"/>
      <c r="E62" s="24"/>
      <c r="F62" s="24"/>
      <c r="G62" s="24"/>
      <c r="H62" s="24"/>
      <c r="I62" s="24"/>
      <c r="J62" s="24"/>
      <c r="K62" s="24"/>
      <c r="L62" s="8"/>
      <c r="O62" s="24" t="s">
        <v>23</v>
      </c>
    </row>
    <row r="63" spans="1:19">
      <c r="A63" s="8"/>
      <c r="C63" s="24"/>
      <c r="D63" s="24"/>
      <c r="E63" s="24"/>
      <c r="F63" s="24"/>
      <c r="G63" s="24"/>
      <c r="H63" s="24"/>
      <c r="I63" s="24"/>
      <c r="J63" s="24"/>
      <c r="K63" s="24"/>
      <c r="L63" s="8"/>
      <c r="O63" s="25"/>
      <c r="S63" s="26"/>
    </row>
    <row r="64" spans="1:19">
      <c r="A64" s="8"/>
      <c r="C64" s="24"/>
      <c r="D64" s="24"/>
      <c r="E64" s="24"/>
      <c r="F64" s="24"/>
      <c r="G64" s="24"/>
      <c r="H64" s="24"/>
      <c r="I64" s="24"/>
      <c r="J64" s="24"/>
      <c r="K64" s="24"/>
      <c r="L64" s="8"/>
      <c r="O64" s="25"/>
    </row>
    <row r="65" spans="1:15">
      <c r="A65" s="8"/>
      <c r="C65" s="24"/>
      <c r="D65" s="24"/>
      <c r="E65" s="24"/>
      <c r="F65" s="24"/>
      <c r="G65" s="24"/>
      <c r="H65" s="24"/>
      <c r="I65" s="24"/>
      <c r="J65" s="24"/>
      <c r="K65" s="24"/>
      <c r="L65" s="8"/>
      <c r="O65" s="25"/>
    </row>
    <row r="66" spans="1:15">
      <c r="A66" s="8"/>
      <c r="C66" s="24"/>
      <c r="D66" s="24"/>
      <c r="E66" s="24"/>
      <c r="F66" s="24"/>
      <c r="G66" s="24"/>
      <c r="H66" s="24"/>
      <c r="I66" s="24"/>
      <c r="J66" s="24"/>
      <c r="K66" s="24"/>
      <c r="L66" s="8"/>
      <c r="O66" s="25"/>
    </row>
    <row r="67" spans="1:15">
      <c r="A67" s="8"/>
      <c r="C67" s="24"/>
      <c r="D67" s="24"/>
      <c r="E67" s="24"/>
      <c r="F67" s="24"/>
      <c r="G67" s="24"/>
      <c r="H67" s="24"/>
      <c r="I67" s="24"/>
      <c r="J67" s="24"/>
      <c r="K67" s="24"/>
      <c r="L67" s="8"/>
      <c r="O67" s="25"/>
    </row>
    <row r="68" spans="1:15" ht="15" customHeight="1">
      <c r="A68" s="8"/>
      <c r="C68" s="27" t="str">
        <f>IF(C27="","",C27)</f>
        <v>BADRUDDIN, S.Ag.</v>
      </c>
      <c r="D68" s="28"/>
      <c r="E68" s="28"/>
      <c r="F68" s="28"/>
      <c r="G68" s="28"/>
      <c r="H68" s="28"/>
      <c r="I68" s="28"/>
      <c r="J68" s="28"/>
      <c r="K68" s="8"/>
      <c r="L68" s="8"/>
      <c r="O68" s="27" t="str">
        <f>IF(O27="","",O27)</f>
        <v>DEDE GUNAWAN, S.Pd.</v>
      </c>
    </row>
    <row r="69" spans="1:15" ht="15" customHeight="1">
      <c r="A69" s="8"/>
      <c r="C69" s="27" t="str">
        <f>IF(C28="","",C28)</f>
        <v>NIP. 197405082014121002</v>
      </c>
      <c r="D69" s="28"/>
      <c r="E69" s="28"/>
      <c r="F69" s="28"/>
      <c r="G69" s="28"/>
      <c r="H69" s="28"/>
      <c r="I69" s="28"/>
      <c r="J69" s="28"/>
      <c r="K69" s="8"/>
      <c r="L69" s="8"/>
      <c r="O69" s="27" t="str">
        <f>IF(O28="","",O28)</f>
        <v>NIP. 198507172020121003</v>
      </c>
    </row>
    <row r="83" spans="1:16" ht="17.25" customHeight="1">
      <c r="A83" s="64" t="str">
        <f>$A$1</f>
        <v>DAFTAR PENERIMA HONORARIUM/GAJI TENAGA ADMINISTRASI SEKOLAH TIDAK TETAP (PEMBAYARAN NON TUNAI)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</row>
    <row r="84" spans="1:16" ht="17.25" customHeight="1">
      <c r="A84" s="64" t="str">
        <f>Honor_guru!A73</f>
        <v>BULAN MARET 2026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</row>
    <row r="85" spans="1:16" ht="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" customHeight="1">
      <c r="C86" s="4" t="s">
        <v>0</v>
      </c>
      <c r="D86" s="5" t="s">
        <v>1</v>
      </c>
      <c r="E86" s="5"/>
      <c r="F86" s="5"/>
      <c r="G86" s="5"/>
      <c r="H86" s="5"/>
      <c r="I86" s="5"/>
      <c r="K86" s="6"/>
      <c r="L86" s="7"/>
      <c r="M86" s="4" t="s">
        <v>26</v>
      </c>
      <c r="N86" s="4" t="str">
        <f>N45</f>
        <v>: 07 Pengembangan Standar Pembiayaan</v>
      </c>
      <c r="O86" s="3"/>
    </row>
    <row r="87" spans="1:16" ht="15" customHeight="1">
      <c r="C87" s="4" t="s">
        <v>2</v>
      </c>
      <c r="D87" s="4" t="str">
        <f>D46</f>
        <v>: SD NEGERI LEBAKLEUNGSIR</v>
      </c>
      <c r="E87" s="4"/>
      <c r="F87" s="4"/>
      <c r="G87" s="4"/>
      <c r="H87" s="4"/>
      <c r="I87" s="4"/>
      <c r="K87" s="6"/>
      <c r="M87" s="4" t="s">
        <v>27</v>
      </c>
      <c r="N87" s="4" t="str">
        <f>N46</f>
        <v>: Pembayaran Honor Tenaga Kependidikan</v>
      </c>
      <c r="O87" s="3"/>
    </row>
    <row r="88" spans="1:16" ht="15" customHeight="1">
      <c r="C88" s="4" t="s">
        <v>3</v>
      </c>
      <c r="D88" s="4" t="str">
        <f>D47</f>
        <v>: Cikalongwetan</v>
      </c>
      <c r="E88" s="4"/>
      <c r="F88" s="4"/>
      <c r="G88" s="4"/>
      <c r="H88" s="4"/>
      <c r="I88" s="4"/>
      <c r="K88" s="6"/>
      <c r="M88" s="8" t="s">
        <v>28</v>
      </c>
      <c r="N88" s="4" t="str">
        <f>N47</f>
        <v>: 5.1.02.02.01.0013</v>
      </c>
      <c r="O88" s="3"/>
    </row>
    <row r="89" spans="1:16" ht="15" customHeight="1">
      <c r="C89" s="4" t="s">
        <v>5</v>
      </c>
      <c r="D89" s="4" t="str">
        <f>D48</f>
        <v>: Bandung Barat</v>
      </c>
      <c r="E89" s="4"/>
      <c r="F89" s="4"/>
      <c r="G89" s="4"/>
      <c r="H89" s="4"/>
      <c r="I89" s="4"/>
      <c r="K89" s="6"/>
      <c r="M89" s="4" t="s">
        <v>7</v>
      </c>
      <c r="N89" s="4" t="str">
        <f>N48</f>
        <v>: 12</v>
      </c>
      <c r="O89" s="3"/>
      <c r="P89" s="8"/>
    </row>
    <row r="90" spans="1:16" ht="15" customHeight="1">
      <c r="M90" s="8"/>
      <c r="N90" s="8"/>
      <c r="O90" s="8"/>
    </row>
    <row r="91" spans="1:16" ht="18.5" customHeight="1">
      <c r="A91" s="62" t="s">
        <v>8</v>
      </c>
      <c r="B91" s="65" t="s">
        <v>9</v>
      </c>
      <c r="C91" s="66"/>
      <c r="D91" s="62" t="s">
        <v>10</v>
      </c>
      <c r="E91" s="69" t="s">
        <v>72</v>
      </c>
      <c r="F91" s="70"/>
      <c r="G91" s="70"/>
      <c r="H91" s="71"/>
      <c r="I91" s="72" t="s">
        <v>14</v>
      </c>
      <c r="J91" s="72" t="s">
        <v>11</v>
      </c>
      <c r="K91" s="65" t="s">
        <v>12</v>
      </c>
      <c r="L91" s="66"/>
      <c r="M91" s="74" t="s">
        <v>31</v>
      </c>
      <c r="N91" s="72" t="s">
        <v>16</v>
      </c>
      <c r="O91" s="65" t="s">
        <v>17</v>
      </c>
      <c r="P91" s="66"/>
    </row>
    <row r="92" spans="1:16" ht="34" customHeight="1">
      <c r="A92" s="63"/>
      <c r="B92" s="67"/>
      <c r="C92" s="68"/>
      <c r="D92" s="63"/>
      <c r="E92" s="35" t="str">
        <f t="shared" ref="E92:E98" si="12">IF(E51="","",E51)</f>
        <v>TAS/ Operator</v>
      </c>
      <c r="F92" s="35" t="str">
        <f t="shared" ref="F92:H92" si="13">IF(F51="","",F51)</f>
        <v>Guru</v>
      </c>
      <c r="G92" s="35" t="str">
        <f t="shared" si="13"/>
        <v>Pembina Ekskul</v>
      </c>
      <c r="H92" s="39" t="str">
        <f t="shared" si="13"/>
        <v>Tenaga Perpustakaan</v>
      </c>
      <c r="I92" s="73"/>
      <c r="J92" s="73"/>
      <c r="K92" s="67"/>
      <c r="L92" s="68"/>
      <c r="M92" s="75"/>
      <c r="N92" s="73"/>
      <c r="O92" s="67"/>
      <c r="P92" s="68"/>
    </row>
    <row r="93" spans="1:16" ht="24" customHeight="1">
      <c r="A93" s="11">
        <v>1</v>
      </c>
      <c r="B93" s="12" t="str">
        <f t="shared" ref="B93:B98" si="14">IF(B52="","",B52)</f>
        <v/>
      </c>
      <c r="C93" s="13"/>
      <c r="D93" s="32" t="str">
        <f t="shared" ref="D93:D98" si="15">IF(D52="","",D52)</f>
        <v/>
      </c>
      <c r="E93" s="37" t="str">
        <f t="shared" si="12"/>
        <v/>
      </c>
      <c r="F93" s="37" t="str">
        <f t="shared" ref="F93:H98" si="16">IF(F52="","",F52)</f>
        <v/>
      </c>
      <c r="G93" s="37" t="str">
        <f t="shared" si="16"/>
        <v/>
      </c>
      <c r="H93" s="37" t="str">
        <f t="shared" si="16"/>
        <v/>
      </c>
      <c r="I93" s="16" t="str">
        <f>IF(B93="","",SUM(E93:H93))</f>
        <v/>
      </c>
      <c r="J93" s="38" t="str">
        <f t="shared" ref="J93:L98" si="17">IF(J52="","",J52)</f>
        <v>PTT</v>
      </c>
      <c r="K93" s="38">
        <f t="shared" si="17"/>
        <v>1</v>
      </c>
      <c r="L93" s="38" t="str">
        <f t="shared" si="17"/>
        <v>Bulan</v>
      </c>
      <c r="M93" s="17" t="str">
        <f>IFERROR(I93*0/100,"")</f>
        <v/>
      </c>
      <c r="N93" s="16" t="str">
        <f>IFERROR(SUM(I93*K93)-M93,"")</f>
        <v/>
      </c>
      <c r="O93" s="54">
        <v>1</v>
      </c>
      <c r="P93" s="56">
        <v>2</v>
      </c>
    </row>
    <row r="94" spans="1:16" ht="24" customHeight="1">
      <c r="A94" s="11">
        <v>2</v>
      </c>
      <c r="B94" s="12" t="str">
        <f t="shared" si="14"/>
        <v/>
      </c>
      <c r="C94" s="13"/>
      <c r="D94" s="32" t="str">
        <f t="shared" si="15"/>
        <v/>
      </c>
      <c r="E94" s="37" t="str">
        <f t="shared" si="12"/>
        <v/>
      </c>
      <c r="F94" s="37" t="str">
        <f t="shared" si="16"/>
        <v/>
      </c>
      <c r="G94" s="37" t="str">
        <f t="shared" si="16"/>
        <v/>
      </c>
      <c r="H94" s="37" t="str">
        <f t="shared" si="16"/>
        <v/>
      </c>
      <c r="I94" s="16" t="str">
        <f t="shared" ref="I94:I98" si="18">IF(B94="","",SUM(E94:H94))</f>
        <v/>
      </c>
      <c r="J94" s="38" t="str">
        <f t="shared" si="17"/>
        <v/>
      </c>
      <c r="K94" s="38" t="str">
        <f t="shared" si="17"/>
        <v/>
      </c>
      <c r="L94" s="38" t="str">
        <f t="shared" si="17"/>
        <v/>
      </c>
      <c r="M94" s="17" t="str">
        <f t="shared" ref="M94:M98" si="19">IFERROR(I94*0/100,"")</f>
        <v/>
      </c>
      <c r="N94" s="16" t="str">
        <f t="shared" ref="N94:N98" si="20">IFERROR(SUM(I94*K94)-M94,"")</f>
        <v/>
      </c>
      <c r="O94" s="55"/>
      <c r="P94" s="57"/>
    </row>
    <row r="95" spans="1:16" ht="24" hidden="1" customHeight="1">
      <c r="A95" s="11">
        <v>3</v>
      </c>
      <c r="B95" s="12" t="str">
        <f t="shared" si="14"/>
        <v/>
      </c>
      <c r="C95" s="13"/>
      <c r="D95" s="32" t="str">
        <f t="shared" si="15"/>
        <v/>
      </c>
      <c r="E95" s="37" t="str">
        <f t="shared" si="12"/>
        <v/>
      </c>
      <c r="F95" s="37" t="str">
        <f t="shared" si="16"/>
        <v/>
      </c>
      <c r="G95" s="37" t="str">
        <f t="shared" si="16"/>
        <v/>
      </c>
      <c r="H95" s="37" t="str">
        <f t="shared" si="16"/>
        <v/>
      </c>
      <c r="I95" s="16" t="str">
        <f t="shared" si="18"/>
        <v/>
      </c>
      <c r="J95" s="38" t="str">
        <f t="shared" si="17"/>
        <v/>
      </c>
      <c r="K95" s="38" t="str">
        <f t="shared" si="17"/>
        <v/>
      </c>
      <c r="L95" s="38" t="str">
        <f t="shared" si="17"/>
        <v/>
      </c>
      <c r="M95" s="17" t="str">
        <f t="shared" si="19"/>
        <v/>
      </c>
      <c r="N95" s="16" t="str">
        <f t="shared" si="20"/>
        <v/>
      </c>
      <c r="O95" s="54">
        <v>3</v>
      </c>
      <c r="P95" s="56">
        <v>4</v>
      </c>
    </row>
    <row r="96" spans="1:16" ht="24" hidden="1" customHeight="1">
      <c r="A96" s="11">
        <v>4</v>
      </c>
      <c r="B96" s="12" t="str">
        <f t="shared" si="14"/>
        <v/>
      </c>
      <c r="C96" s="13"/>
      <c r="D96" s="32" t="str">
        <f t="shared" si="15"/>
        <v/>
      </c>
      <c r="E96" s="37" t="str">
        <f t="shared" si="12"/>
        <v/>
      </c>
      <c r="F96" s="37" t="str">
        <f t="shared" si="16"/>
        <v/>
      </c>
      <c r="G96" s="37" t="str">
        <f t="shared" si="16"/>
        <v/>
      </c>
      <c r="H96" s="37" t="str">
        <f t="shared" si="16"/>
        <v/>
      </c>
      <c r="I96" s="16" t="str">
        <f t="shared" si="18"/>
        <v/>
      </c>
      <c r="J96" s="38" t="str">
        <f t="shared" si="17"/>
        <v/>
      </c>
      <c r="K96" s="38" t="str">
        <f t="shared" si="17"/>
        <v/>
      </c>
      <c r="L96" s="38" t="str">
        <f t="shared" si="17"/>
        <v/>
      </c>
      <c r="M96" s="17" t="str">
        <f t="shared" si="19"/>
        <v/>
      </c>
      <c r="N96" s="16" t="str">
        <f t="shared" si="20"/>
        <v/>
      </c>
      <c r="O96" s="55"/>
      <c r="P96" s="57"/>
    </row>
    <row r="97" spans="1:19" ht="24" hidden="1" customHeight="1">
      <c r="A97" s="11">
        <v>5</v>
      </c>
      <c r="B97" s="12" t="str">
        <f t="shared" si="14"/>
        <v/>
      </c>
      <c r="C97" s="13"/>
      <c r="D97" s="32" t="str">
        <f t="shared" si="15"/>
        <v/>
      </c>
      <c r="E97" s="37" t="str">
        <f t="shared" si="12"/>
        <v/>
      </c>
      <c r="F97" s="37" t="str">
        <f t="shared" si="16"/>
        <v/>
      </c>
      <c r="G97" s="37" t="str">
        <f t="shared" si="16"/>
        <v/>
      </c>
      <c r="H97" s="37" t="str">
        <f t="shared" si="16"/>
        <v/>
      </c>
      <c r="I97" s="16" t="str">
        <f t="shared" si="18"/>
        <v/>
      </c>
      <c r="J97" s="38" t="str">
        <f t="shared" si="17"/>
        <v/>
      </c>
      <c r="K97" s="38" t="str">
        <f t="shared" si="17"/>
        <v/>
      </c>
      <c r="L97" s="38" t="str">
        <f t="shared" si="17"/>
        <v/>
      </c>
      <c r="M97" s="17" t="str">
        <f t="shared" si="19"/>
        <v/>
      </c>
      <c r="N97" s="16" t="str">
        <f t="shared" si="20"/>
        <v/>
      </c>
      <c r="O97" s="58">
        <v>5</v>
      </c>
      <c r="P97" s="59">
        <v>6</v>
      </c>
    </row>
    <row r="98" spans="1:19" ht="24" hidden="1" customHeight="1">
      <c r="A98" s="11">
        <v>6</v>
      </c>
      <c r="B98" s="12" t="str">
        <f t="shared" si="14"/>
        <v/>
      </c>
      <c r="C98" s="13"/>
      <c r="D98" s="32" t="str">
        <f t="shared" si="15"/>
        <v/>
      </c>
      <c r="E98" s="37" t="str">
        <f t="shared" si="12"/>
        <v/>
      </c>
      <c r="F98" s="37" t="str">
        <f t="shared" si="16"/>
        <v/>
      </c>
      <c r="G98" s="37" t="str">
        <f t="shared" si="16"/>
        <v/>
      </c>
      <c r="H98" s="37" t="str">
        <f t="shared" si="16"/>
        <v/>
      </c>
      <c r="I98" s="16" t="str">
        <f t="shared" si="18"/>
        <v/>
      </c>
      <c r="J98" s="38" t="str">
        <f t="shared" si="17"/>
        <v/>
      </c>
      <c r="K98" s="38" t="str">
        <f t="shared" si="17"/>
        <v/>
      </c>
      <c r="L98" s="38" t="str">
        <f t="shared" si="17"/>
        <v/>
      </c>
      <c r="M98" s="17" t="str">
        <f t="shared" si="19"/>
        <v/>
      </c>
      <c r="N98" s="16" t="str">
        <f t="shared" si="20"/>
        <v/>
      </c>
      <c r="O98" s="58"/>
      <c r="P98" s="59"/>
    </row>
    <row r="99" spans="1:19" s="21" customFormat="1" ht="22.5" customHeight="1">
      <c r="A99" s="60" t="s">
        <v>20</v>
      </c>
      <c r="B99" s="61"/>
      <c r="C99" s="61"/>
      <c r="D99" s="61"/>
      <c r="E99" s="61"/>
      <c r="F99" s="61"/>
      <c r="G99" s="61"/>
      <c r="H99" s="36"/>
      <c r="I99" s="18">
        <f>SUM(I93:I98)</f>
        <v>0</v>
      </c>
      <c r="J99" s="36"/>
      <c r="K99" s="36"/>
      <c r="L99" s="36"/>
      <c r="M99" s="19">
        <f>SUM(M93:M98)</f>
        <v>0</v>
      </c>
      <c r="N99" s="18">
        <f>SUM(N93:N98)</f>
        <v>0</v>
      </c>
      <c r="O99" s="20"/>
      <c r="P99" s="20"/>
      <c r="S99" s="22"/>
    </row>
    <row r="100" spans="1:19" ht="23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N100" s="23"/>
    </row>
    <row r="101" spans="1:19" ht="17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O101" s="24" t="str">
        <f>Honor_guru!P90</f>
        <v>Cikalongwetan, 1 Maret 2026</v>
      </c>
    </row>
    <row r="102" spans="1:19" ht="18" customHeight="1">
      <c r="A102" s="8"/>
      <c r="C102" s="24" t="s">
        <v>21</v>
      </c>
      <c r="D102" s="24"/>
      <c r="E102" s="24"/>
      <c r="F102" s="24"/>
      <c r="G102" s="24"/>
      <c r="H102" s="24"/>
      <c r="I102" s="24"/>
      <c r="J102" s="24"/>
      <c r="K102" s="24"/>
      <c r="L102" s="8"/>
      <c r="O102" s="24" t="str">
        <f>Honor_guru!P91</f>
        <v>Dibayar Lunas Tgl. 5 Maret 2026</v>
      </c>
    </row>
    <row r="103" spans="1:19">
      <c r="A103" s="8"/>
      <c r="C103" s="24" t="s">
        <v>22</v>
      </c>
      <c r="D103" s="24"/>
      <c r="E103" s="24"/>
      <c r="F103" s="24"/>
      <c r="G103" s="24"/>
      <c r="H103" s="24"/>
      <c r="I103" s="24"/>
      <c r="J103" s="24"/>
      <c r="K103" s="24"/>
      <c r="L103" s="8"/>
      <c r="O103" s="24" t="s">
        <v>23</v>
      </c>
    </row>
    <row r="104" spans="1:19">
      <c r="A104" s="8"/>
      <c r="C104" s="24"/>
      <c r="D104" s="24"/>
      <c r="E104" s="24"/>
      <c r="F104" s="24"/>
      <c r="G104" s="24"/>
      <c r="H104" s="24"/>
      <c r="I104" s="24"/>
      <c r="J104" s="24"/>
      <c r="K104" s="24"/>
      <c r="L104" s="8"/>
      <c r="O104" s="25"/>
      <c r="S104" s="26"/>
    </row>
    <row r="105" spans="1:19">
      <c r="A105" s="8"/>
      <c r="C105" s="24"/>
      <c r="D105" s="24"/>
      <c r="E105" s="24"/>
      <c r="F105" s="24"/>
      <c r="G105" s="24"/>
      <c r="H105" s="24"/>
      <c r="I105" s="24"/>
      <c r="J105" s="24"/>
      <c r="K105" s="24"/>
      <c r="L105" s="8"/>
      <c r="O105" s="25"/>
    </row>
    <row r="106" spans="1:19">
      <c r="A106" s="8"/>
      <c r="C106" s="24"/>
      <c r="D106" s="24"/>
      <c r="E106" s="24"/>
      <c r="F106" s="24"/>
      <c r="G106" s="24"/>
      <c r="H106" s="24"/>
      <c r="I106" s="24"/>
      <c r="J106" s="24"/>
      <c r="K106" s="24"/>
      <c r="L106" s="8"/>
      <c r="O106" s="25"/>
    </row>
    <row r="107" spans="1:19">
      <c r="A107" s="8"/>
      <c r="C107" s="24"/>
      <c r="D107" s="24"/>
      <c r="E107" s="24"/>
      <c r="F107" s="24"/>
      <c r="G107" s="24"/>
      <c r="H107" s="24"/>
      <c r="I107" s="24"/>
      <c r="J107" s="24"/>
      <c r="K107" s="24"/>
      <c r="L107" s="8"/>
      <c r="O107" s="25"/>
    </row>
    <row r="108" spans="1:19">
      <c r="A108" s="8"/>
      <c r="C108" s="24"/>
      <c r="D108" s="24"/>
      <c r="E108" s="24"/>
      <c r="F108" s="24"/>
      <c r="G108" s="24"/>
      <c r="H108" s="24"/>
      <c r="I108" s="24"/>
      <c r="J108" s="24"/>
      <c r="K108" s="24"/>
      <c r="L108" s="8"/>
      <c r="O108" s="25"/>
    </row>
    <row r="109" spans="1:19" ht="15" customHeight="1">
      <c r="A109" s="8"/>
      <c r="C109" s="27" t="str">
        <f>IF(C68="","",C68)</f>
        <v>BADRUDDIN, S.Ag.</v>
      </c>
      <c r="D109" s="28"/>
      <c r="E109" s="28"/>
      <c r="F109" s="28"/>
      <c r="G109" s="28"/>
      <c r="H109" s="28"/>
      <c r="I109" s="28"/>
      <c r="J109" s="28"/>
      <c r="K109" s="8"/>
      <c r="L109" s="8"/>
      <c r="O109" s="27" t="str">
        <f>IF(O68="","",O68)</f>
        <v>DEDE GUNAWAN, S.Pd.</v>
      </c>
    </row>
    <row r="110" spans="1:19" ht="15" customHeight="1">
      <c r="A110" s="8"/>
      <c r="C110" s="27" t="str">
        <f>IF(C69="","",C69)</f>
        <v>NIP. 197405082014121002</v>
      </c>
      <c r="D110" s="28"/>
      <c r="E110" s="28"/>
      <c r="F110" s="28"/>
      <c r="G110" s="28"/>
      <c r="H110" s="28"/>
      <c r="I110" s="28"/>
      <c r="J110" s="28"/>
      <c r="K110" s="8"/>
      <c r="L110" s="8"/>
      <c r="O110" s="27" t="str">
        <f>IF(O69="","",O69)</f>
        <v>NIP. 198507172020121003</v>
      </c>
    </row>
    <row r="124" spans="1:16" ht="17.25" customHeight="1">
      <c r="A124" s="64" t="str">
        <f>$A$1</f>
        <v>DAFTAR PENERIMA HONORARIUM/GAJI TENAGA ADMINISTRASI SEKOLAH TIDAK TETAP (PEMBAYARAN NON TUNAI)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</row>
    <row r="125" spans="1:16" ht="17.25" customHeight="1">
      <c r="A125" s="64" t="str">
        <f>Honor_guru!A109</f>
        <v>BULAN APRIL 2026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</row>
    <row r="126" spans="1:16" ht="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5" customHeight="1">
      <c r="C127" s="4" t="s">
        <v>0</v>
      </c>
      <c r="D127" s="5" t="s">
        <v>1</v>
      </c>
      <c r="E127" s="5"/>
      <c r="F127" s="5"/>
      <c r="G127" s="5"/>
      <c r="H127" s="5"/>
      <c r="I127" s="5"/>
      <c r="K127" s="6"/>
      <c r="L127" s="7"/>
      <c r="M127" s="4" t="s">
        <v>26</v>
      </c>
      <c r="N127" s="4" t="str">
        <f>N86</f>
        <v>: 07 Pengembangan Standar Pembiayaan</v>
      </c>
      <c r="O127" s="3"/>
    </row>
    <row r="128" spans="1:16" ht="15" customHeight="1">
      <c r="C128" s="4" t="s">
        <v>2</v>
      </c>
      <c r="D128" s="4" t="str">
        <f>D87</f>
        <v>: SD NEGERI LEBAKLEUNGSIR</v>
      </c>
      <c r="E128" s="4"/>
      <c r="F128" s="4"/>
      <c r="G128" s="4"/>
      <c r="H128" s="4"/>
      <c r="I128" s="4"/>
      <c r="K128" s="6"/>
      <c r="M128" s="4" t="s">
        <v>27</v>
      </c>
      <c r="N128" s="4" t="str">
        <f>N87</f>
        <v>: Pembayaran Honor Tenaga Kependidikan</v>
      </c>
      <c r="O128" s="3"/>
    </row>
    <row r="129" spans="1:19" ht="15" customHeight="1">
      <c r="C129" s="4" t="s">
        <v>3</v>
      </c>
      <c r="D129" s="4" t="str">
        <f>D88</f>
        <v>: Cikalongwetan</v>
      </c>
      <c r="E129" s="4"/>
      <c r="F129" s="4"/>
      <c r="G129" s="4"/>
      <c r="H129" s="4"/>
      <c r="I129" s="4"/>
      <c r="K129" s="6"/>
      <c r="M129" s="8" t="s">
        <v>28</v>
      </c>
      <c r="N129" s="4" t="str">
        <f>N88</f>
        <v>: 5.1.02.02.01.0013</v>
      </c>
      <c r="O129" s="3"/>
    </row>
    <row r="130" spans="1:19" ht="15" customHeight="1">
      <c r="C130" s="4" t="s">
        <v>5</v>
      </c>
      <c r="D130" s="4" t="str">
        <f>D89</f>
        <v>: Bandung Barat</v>
      </c>
      <c r="E130" s="4"/>
      <c r="F130" s="4"/>
      <c r="G130" s="4"/>
      <c r="H130" s="4"/>
      <c r="I130" s="4"/>
      <c r="K130" s="6"/>
      <c r="M130" s="4" t="s">
        <v>7</v>
      </c>
      <c r="N130" s="4" t="str">
        <f>N89</f>
        <v>: 12</v>
      </c>
      <c r="O130" s="3"/>
      <c r="P130" s="8"/>
    </row>
    <row r="131" spans="1:19" ht="15" customHeight="1">
      <c r="M131" s="8"/>
      <c r="N131" s="8"/>
      <c r="O131" s="8"/>
    </row>
    <row r="132" spans="1:19" ht="18.5" customHeight="1">
      <c r="A132" s="62" t="s">
        <v>8</v>
      </c>
      <c r="B132" s="65" t="s">
        <v>9</v>
      </c>
      <c r="C132" s="66"/>
      <c r="D132" s="62" t="s">
        <v>10</v>
      </c>
      <c r="E132" s="69" t="s">
        <v>72</v>
      </c>
      <c r="F132" s="70"/>
      <c r="G132" s="70"/>
      <c r="H132" s="71"/>
      <c r="I132" s="72" t="s">
        <v>14</v>
      </c>
      <c r="J132" s="72" t="s">
        <v>11</v>
      </c>
      <c r="K132" s="65" t="s">
        <v>12</v>
      </c>
      <c r="L132" s="66"/>
      <c r="M132" s="74" t="s">
        <v>31</v>
      </c>
      <c r="N132" s="72" t="s">
        <v>16</v>
      </c>
      <c r="O132" s="65" t="s">
        <v>17</v>
      </c>
      <c r="P132" s="66"/>
    </row>
    <row r="133" spans="1:19" ht="34" customHeight="1">
      <c r="A133" s="63"/>
      <c r="B133" s="67"/>
      <c r="C133" s="68"/>
      <c r="D133" s="63"/>
      <c r="E133" s="35" t="str">
        <f>IF(E92="","",E92)</f>
        <v>TAS/ Operator</v>
      </c>
      <c r="F133" s="35" t="str">
        <f t="shared" ref="F133:H133" si="21">IF(F92="","",F92)</f>
        <v>Guru</v>
      </c>
      <c r="G133" s="35" t="str">
        <f t="shared" si="21"/>
        <v>Pembina Ekskul</v>
      </c>
      <c r="H133" s="39" t="str">
        <f t="shared" si="21"/>
        <v>Tenaga Perpustakaan</v>
      </c>
      <c r="I133" s="73"/>
      <c r="J133" s="73"/>
      <c r="K133" s="67"/>
      <c r="L133" s="68"/>
      <c r="M133" s="75"/>
      <c r="N133" s="73"/>
      <c r="O133" s="67"/>
      <c r="P133" s="68"/>
    </row>
    <row r="134" spans="1:19" ht="24" customHeight="1">
      <c r="A134" s="11">
        <v>1</v>
      </c>
      <c r="B134" s="12" t="str">
        <f t="shared" ref="B134:B139" si="22">IF(B93="","",B93)</f>
        <v/>
      </c>
      <c r="C134" s="13"/>
      <c r="D134" s="32" t="str">
        <f t="shared" ref="D134:D139" si="23">IF(D93="","",D93)</f>
        <v/>
      </c>
      <c r="E134" s="37" t="str">
        <f>IF(E93="","",E93)</f>
        <v/>
      </c>
      <c r="F134" s="37" t="str">
        <f>IF(F93="","",F93)</f>
        <v/>
      </c>
      <c r="G134" s="37" t="str">
        <f>IF(G93="","",G93)</f>
        <v/>
      </c>
      <c r="H134" s="37" t="str">
        <f>IF(H93="","",H93)</f>
        <v/>
      </c>
      <c r="I134" s="16" t="str">
        <f>IF(B134="","",SUM(E134:H134))</f>
        <v/>
      </c>
      <c r="J134" s="38" t="str">
        <f t="shared" ref="J134:L139" si="24">IF(J93="","",J93)</f>
        <v>PTT</v>
      </c>
      <c r="K134" s="38">
        <f t="shared" si="24"/>
        <v>1</v>
      </c>
      <c r="L134" s="38" t="str">
        <f t="shared" si="24"/>
        <v>Bulan</v>
      </c>
      <c r="M134" s="17" t="str">
        <f>IFERROR(I134*0/100,"")</f>
        <v/>
      </c>
      <c r="N134" s="16" t="str">
        <f>IFERROR(SUM(I134*K134)-M134,"")</f>
        <v/>
      </c>
      <c r="O134" s="54">
        <v>1</v>
      </c>
      <c r="P134" s="56">
        <v>2</v>
      </c>
    </row>
    <row r="135" spans="1:19" ht="24" customHeight="1">
      <c r="A135" s="11">
        <v>2</v>
      </c>
      <c r="B135" s="12" t="str">
        <f t="shared" si="22"/>
        <v/>
      </c>
      <c r="C135" s="13"/>
      <c r="D135" s="32" t="str">
        <f t="shared" si="23"/>
        <v/>
      </c>
      <c r="E135" s="37" t="str">
        <f t="shared" ref="E135:H135" si="25">IF(E94="","",E94)</f>
        <v/>
      </c>
      <c r="F135" s="37" t="str">
        <f t="shared" si="25"/>
        <v/>
      </c>
      <c r="G135" s="37" t="str">
        <f t="shared" si="25"/>
        <v/>
      </c>
      <c r="H135" s="37" t="str">
        <f t="shared" si="25"/>
        <v/>
      </c>
      <c r="I135" s="16" t="str">
        <f t="shared" ref="I135:I139" si="26">IF(B135="","",SUM(E135:H135))</f>
        <v/>
      </c>
      <c r="J135" s="38" t="str">
        <f t="shared" si="24"/>
        <v/>
      </c>
      <c r="K135" s="38" t="str">
        <f t="shared" si="24"/>
        <v/>
      </c>
      <c r="L135" s="38" t="str">
        <f t="shared" si="24"/>
        <v/>
      </c>
      <c r="M135" s="17" t="str">
        <f t="shared" ref="M135:M139" si="27">IFERROR(I135*0/100,"")</f>
        <v/>
      </c>
      <c r="N135" s="16" t="str">
        <f t="shared" ref="N135:N139" si="28">IFERROR(SUM(I135*K135)-M135,"")</f>
        <v/>
      </c>
      <c r="O135" s="55"/>
      <c r="P135" s="57"/>
    </row>
    <row r="136" spans="1:19" ht="24" hidden="1" customHeight="1">
      <c r="A136" s="11">
        <v>3</v>
      </c>
      <c r="B136" s="12" t="str">
        <f t="shared" si="22"/>
        <v/>
      </c>
      <c r="C136" s="13"/>
      <c r="D136" s="32" t="str">
        <f t="shared" si="23"/>
        <v/>
      </c>
      <c r="E136" s="37" t="str">
        <f t="shared" ref="E136:H139" si="29">IF(E95="","",E95)</f>
        <v/>
      </c>
      <c r="F136" s="37" t="str">
        <f t="shared" si="29"/>
        <v/>
      </c>
      <c r="G136" s="37" t="str">
        <f t="shared" si="29"/>
        <v/>
      </c>
      <c r="H136" s="37" t="str">
        <f t="shared" si="29"/>
        <v/>
      </c>
      <c r="I136" s="16" t="str">
        <f t="shared" si="26"/>
        <v/>
      </c>
      <c r="J136" s="38" t="str">
        <f t="shared" si="24"/>
        <v/>
      </c>
      <c r="K136" s="38" t="str">
        <f t="shared" si="24"/>
        <v/>
      </c>
      <c r="L136" s="38" t="str">
        <f t="shared" si="24"/>
        <v/>
      </c>
      <c r="M136" s="17" t="str">
        <f t="shared" si="27"/>
        <v/>
      </c>
      <c r="N136" s="16" t="str">
        <f t="shared" si="28"/>
        <v/>
      </c>
      <c r="O136" s="54">
        <v>3</v>
      </c>
      <c r="P136" s="56">
        <v>4</v>
      </c>
    </row>
    <row r="137" spans="1:19" ht="24" hidden="1" customHeight="1">
      <c r="A137" s="11">
        <v>4</v>
      </c>
      <c r="B137" s="12" t="str">
        <f t="shared" si="22"/>
        <v/>
      </c>
      <c r="C137" s="13"/>
      <c r="D137" s="32" t="str">
        <f t="shared" si="23"/>
        <v/>
      </c>
      <c r="E137" s="37" t="str">
        <f t="shared" si="29"/>
        <v/>
      </c>
      <c r="F137" s="37" t="str">
        <f t="shared" si="29"/>
        <v/>
      </c>
      <c r="G137" s="37" t="str">
        <f t="shared" si="29"/>
        <v/>
      </c>
      <c r="H137" s="37" t="str">
        <f t="shared" si="29"/>
        <v/>
      </c>
      <c r="I137" s="16" t="str">
        <f t="shared" si="26"/>
        <v/>
      </c>
      <c r="J137" s="38" t="str">
        <f t="shared" si="24"/>
        <v/>
      </c>
      <c r="K137" s="38" t="str">
        <f t="shared" si="24"/>
        <v/>
      </c>
      <c r="L137" s="38" t="str">
        <f t="shared" si="24"/>
        <v/>
      </c>
      <c r="M137" s="17" t="str">
        <f t="shared" si="27"/>
        <v/>
      </c>
      <c r="N137" s="16" t="str">
        <f t="shared" si="28"/>
        <v/>
      </c>
      <c r="O137" s="55"/>
      <c r="P137" s="57"/>
    </row>
    <row r="138" spans="1:19" ht="24" hidden="1" customHeight="1">
      <c r="A138" s="11">
        <v>5</v>
      </c>
      <c r="B138" s="12" t="str">
        <f t="shared" si="22"/>
        <v/>
      </c>
      <c r="C138" s="13"/>
      <c r="D138" s="32" t="str">
        <f t="shared" si="23"/>
        <v/>
      </c>
      <c r="E138" s="37" t="str">
        <f t="shared" si="29"/>
        <v/>
      </c>
      <c r="F138" s="37" t="str">
        <f t="shared" si="29"/>
        <v/>
      </c>
      <c r="G138" s="37" t="str">
        <f t="shared" si="29"/>
        <v/>
      </c>
      <c r="H138" s="37" t="str">
        <f t="shared" si="29"/>
        <v/>
      </c>
      <c r="I138" s="16" t="str">
        <f t="shared" si="26"/>
        <v/>
      </c>
      <c r="J138" s="38" t="str">
        <f t="shared" si="24"/>
        <v/>
      </c>
      <c r="K138" s="38" t="str">
        <f t="shared" si="24"/>
        <v/>
      </c>
      <c r="L138" s="38" t="str">
        <f t="shared" si="24"/>
        <v/>
      </c>
      <c r="M138" s="17" t="str">
        <f t="shared" si="27"/>
        <v/>
      </c>
      <c r="N138" s="16" t="str">
        <f t="shared" si="28"/>
        <v/>
      </c>
      <c r="O138" s="58">
        <v>5</v>
      </c>
      <c r="P138" s="59">
        <v>6</v>
      </c>
    </row>
    <row r="139" spans="1:19" ht="24" hidden="1" customHeight="1">
      <c r="A139" s="11">
        <v>6</v>
      </c>
      <c r="B139" s="12" t="str">
        <f t="shared" si="22"/>
        <v/>
      </c>
      <c r="C139" s="13"/>
      <c r="D139" s="32" t="str">
        <f t="shared" si="23"/>
        <v/>
      </c>
      <c r="E139" s="37" t="str">
        <f t="shared" si="29"/>
        <v/>
      </c>
      <c r="F139" s="37" t="str">
        <f t="shared" si="29"/>
        <v/>
      </c>
      <c r="G139" s="37" t="str">
        <f t="shared" si="29"/>
        <v/>
      </c>
      <c r="H139" s="37" t="str">
        <f t="shared" si="29"/>
        <v/>
      </c>
      <c r="I139" s="16" t="str">
        <f t="shared" si="26"/>
        <v/>
      </c>
      <c r="J139" s="38" t="str">
        <f t="shared" si="24"/>
        <v/>
      </c>
      <c r="K139" s="38" t="str">
        <f t="shared" si="24"/>
        <v/>
      </c>
      <c r="L139" s="38" t="str">
        <f t="shared" si="24"/>
        <v/>
      </c>
      <c r="M139" s="17" t="str">
        <f t="shared" si="27"/>
        <v/>
      </c>
      <c r="N139" s="16" t="str">
        <f t="shared" si="28"/>
        <v/>
      </c>
      <c r="O139" s="58"/>
      <c r="P139" s="59"/>
    </row>
    <row r="140" spans="1:19" s="21" customFormat="1" ht="22.5" customHeight="1">
      <c r="A140" s="60" t="s">
        <v>20</v>
      </c>
      <c r="B140" s="61"/>
      <c r="C140" s="61"/>
      <c r="D140" s="61"/>
      <c r="E140" s="61"/>
      <c r="F140" s="61"/>
      <c r="G140" s="61"/>
      <c r="H140" s="36"/>
      <c r="I140" s="18">
        <f>SUM(I134:I139)</f>
        <v>0</v>
      </c>
      <c r="J140" s="36"/>
      <c r="K140" s="36"/>
      <c r="L140" s="36"/>
      <c r="M140" s="19">
        <f>SUM(M134:M139)</f>
        <v>0</v>
      </c>
      <c r="N140" s="18">
        <f>SUM(N134:N139)</f>
        <v>0</v>
      </c>
      <c r="O140" s="20"/>
      <c r="P140" s="20"/>
      <c r="S140" s="22"/>
    </row>
    <row r="141" spans="1:19" ht="23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N141" s="23"/>
    </row>
    <row r="142" spans="1:19" ht="17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O142" s="24" t="str">
        <f>Honor_guru!P126</f>
        <v>Cikalongwetan, 1 April 2026</v>
      </c>
    </row>
    <row r="143" spans="1:19" ht="18" customHeight="1">
      <c r="A143" s="8"/>
      <c r="C143" s="24" t="s">
        <v>21</v>
      </c>
      <c r="D143" s="24"/>
      <c r="E143" s="24"/>
      <c r="F143" s="24"/>
      <c r="G143" s="24"/>
      <c r="H143" s="24"/>
      <c r="I143" s="24"/>
      <c r="J143" s="24"/>
      <c r="K143" s="24"/>
      <c r="L143" s="8"/>
      <c r="O143" s="24" t="str">
        <f>Honor_guru!P127</f>
        <v>Dibayar Lunas Tgl. 7 April 2026</v>
      </c>
    </row>
    <row r="144" spans="1:19">
      <c r="A144" s="8"/>
      <c r="C144" s="24" t="s">
        <v>22</v>
      </c>
      <c r="D144" s="24"/>
      <c r="E144" s="24"/>
      <c r="F144" s="24"/>
      <c r="G144" s="24"/>
      <c r="H144" s="24"/>
      <c r="I144" s="24"/>
      <c r="J144" s="24"/>
      <c r="K144" s="24"/>
      <c r="L144" s="8"/>
      <c r="O144" s="24" t="s">
        <v>23</v>
      </c>
    </row>
    <row r="145" spans="1:19">
      <c r="A145" s="8"/>
      <c r="C145" s="24"/>
      <c r="D145" s="24"/>
      <c r="E145" s="24"/>
      <c r="F145" s="24"/>
      <c r="G145" s="24"/>
      <c r="H145" s="24"/>
      <c r="I145" s="24"/>
      <c r="J145" s="24"/>
      <c r="K145" s="24"/>
      <c r="L145" s="8"/>
      <c r="O145" s="25"/>
      <c r="S145" s="26"/>
    </row>
    <row r="146" spans="1:19">
      <c r="A146" s="8"/>
      <c r="C146" s="24"/>
      <c r="D146" s="24"/>
      <c r="E146" s="24"/>
      <c r="F146" s="24"/>
      <c r="G146" s="24"/>
      <c r="H146" s="24"/>
      <c r="I146" s="24"/>
      <c r="J146" s="24"/>
      <c r="K146" s="24"/>
      <c r="L146" s="8"/>
      <c r="O146" s="25"/>
    </row>
    <row r="147" spans="1:19">
      <c r="A147" s="8"/>
      <c r="C147" s="24"/>
      <c r="D147" s="24"/>
      <c r="E147" s="24"/>
      <c r="F147" s="24"/>
      <c r="G147" s="24"/>
      <c r="H147" s="24"/>
      <c r="I147" s="24"/>
      <c r="J147" s="24"/>
      <c r="K147" s="24"/>
      <c r="L147" s="8"/>
      <c r="O147" s="25"/>
    </row>
    <row r="148" spans="1:19">
      <c r="A148" s="8"/>
      <c r="C148" s="24"/>
      <c r="D148" s="24"/>
      <c r="E148" s="24"/>
      <c r="F148" s="24"/>
      <c r="G148" s="24"/>
      <c r="H148" s="24"/>
      <c r="I148" s="24"/>
      <c r="J148" s="24"/>
      <c r="K148" s="24"/>
      <c r="L148" s="8"/>
      <c r="O148" s="25"/>
    </row>
    <row r="149" spans="1:19">
      <c r="A149" s="8"/>
      <c r="C149" s="24"/>
      <c r="D149" s="24"/>
      <c r="E149" s="24"/>
      <c r="F149" s="24"/>
      <c r="G149" s="24"/>
      <c r="H149" s="24"/>
      <c r="I149" s="24"/>
      <c r="J149" s="24"/>
      <c r="K149" s="24"/>
      <c r="L149" s="8"/>
      <c r="O149" s="25"/>
    </row>
    <row r="150" spans="1:19" ht="15" customHeight="1">
      <c r="A150" s="8"/>
      <c r="C150" s="27" t="str">
        <f>Honor_guru!C134</f>
        <v>BADRUDDIN, S.Ag.</v>
      </c>
      <c r="D150" s="28"/>
      <c r="E150" s="28"/>
      <c r="F150" s="28"/>
      <c r="G150" s="28"/>
      <c r="H150" s="28"/>
      <c r="I150" s="28"/>
      <c r="J150" s="28"/>
      <c r="K150" s="8"/>
      <c r="L150" s="8"/>
      <c r="O150" s="27" t="str">
        <f>IF(O109="","",O109)</f>
        <v>DEDE GUNAWAN, S.Pd.</v>
      </c>
    </row>
    <row r="151" spans="1:19" ht="15" customHeight="1">
      <c r="A151" s="8"/>
      <c r="C151" s="27" t="str">
        <f>Honor_guru!C135</f>
        <v>NIP. 197405082014121002</v>
      </c>
      <c r="D151" s="28"/>
      <c r="E151" s="28"/>
      <c r="F151" s="28"/>
      <c r="G151" s="28"/>
      <c r="H151" s="28"/>
      <c r="I151" s="28"/>
      <c r="J151" s="28"/>
      <c r="K151" s="8"/>
      <c r="L151" s="8"/>
      <c r="O151" s="27" t="str">
        <f>IF(O110="","",O110)</f>
        <v>NIP. 198507172020121003</v>
      </c>
    </row>
    <row r="165" spans="1:16" ht="17.25" customHeight="1">
      <c r="A165" s="64" t="str">
        <f>$A$1</f>
        <v>DAFTAR PENERIMA HONORARIUM/GAJI TENAGA ADMINISTRASI SEKOLAH TIDAK TETAP (PEMBAYARAN NON TUNAI)</v>
      </c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</row>
    <row r="166" spans="1:16" ht="17.25" customHeight="1">
      <c r="A166" s="64" t="str">
        <f>Honor_guru!A145</f>
        <v>BULAN MEI 2026</v>
      </c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</row>
    <row r="167" spans="1:16" ht="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5" customHeight="1">
      <c r="C168" s="4" t="s">
        <v>0</v>
      </c>
      <c r="D168" s="5" t="s">
        <v>1</v>
      </c>
      <c r="E168" s="5"/>
      <c r="F168" s="5"/>
      <c r="G168" s="5"/>
      <c r="H168" s="5"/>
      <c r="I168" s="5"/>
      <c r="K168" s="6"/>
      <c r="L168" s="7"/>
      <c r="M168" s="4" t="s">
        <v>26</v>
      </c>
      <c r="N168" s="4" t="str">
        <f>N127</f>
        <v>: 07 Pengembangan Standar Pembiayaan</v>
      </c>
      <c r="O168" s="3"/>
    </row>
    <row r="169" spans="1:16" ht="15" customHeight="1">
      <c r="C169" s="4" t="s">
        <v>2</v>
      </c>
      <c r="D169" s="4" t="str">
        <f>D128</f>
        <v>: SD NEGERI LEBAKLEUNGSIR</v>
      </c>
      <c r="E169" s="4"/>
      <c r="F169" s="4"/>
      <c r="G169" s="4"/>
      <c r="H169" s="4"/>
      <c r="I169" s="4"/>
      <c r="K169" s="6"/>
      <c r="M169" s="4" t="s">
        <v>27</v>
      </c>
      <c r="N169" s="4" t="str">
        <f>N128</f>
        <v>: Pembayaran Honor Tenaga Kependidikan</v>
      </c>
      <c r="O169" s="3"/>
    </row>
    <row r="170" spans="1:16" ht="15" customHeight="1">
      <c r="C170" s="4" t="s">
        <v>3</v>
      </c>
      <c r="D170" s="4" t="str">
        <f>D129</f>
        <v>: Cikalongwetan</v>
      </c>
      <c r="E170" s="4"/>
      <c r="F170" s="4"/>
      <c r="G170" s="4"/>
      <c r="H170" s="4"/>
      <c r="I170" s="4"/>
      <c r="K170" s="6"/>
      <c r="M170" s="8" t="s">
        <v>28</v>
      </c>
      <c r="N170" s="4" t="str">
        <f>N129</f>
        <v>: 5.1.02.02.01.0013</v>
      </c>
      <c r="O170" s="3"/>
    </row>
    <row r="171" spans="1:16" ht="15" customHeight="1">
      <c r="C171" s="4" t="s">
        <v>5</v>
      </c>
      <c r="D171" s="4" t="str">
        <f>D130</f>
        <v>: Bandung Barat</v>
      </c>
      <c r="E171" s="4"/>
      <c r="F171" s="4"/>
      <c r="G171" s="4"/>
      <c r="H171" s="4"/>
      <c r="I171" s="4"/>
      <c r="K171" s="6"/>
      <c r="M171" s="4" t="s">
        <v>7</v>
      </c>
      <c r="N171" s="4" t="str">
        <f>N130</f>
        <v>: 12</v>
      </c>
      <c r="O171" s="3"/>
      <c r="P171" s="8"/>
    </row>
    <row r="172" spans="1:16" ht="15" customHeight="1">
      <c r="M172" s="8"/>
      <c r="N172" s="8"/>
      <c r="O172" s="8"/>
    </row>
    <row r="173" spans="1:16" ht="18.5" customHeight="1">
      <c r="A173" s="62" t="s">
        <v>8</v>
      </c>
      <c r="B173" s="65" t="s">
        <v>9</v>
      </c>
      <c r="C173" s="66"/>
      <c r="D173" s="62" t="s">
        <v>10</v>
      </c>
      <c r="E173" s="69" t="s">
        <v>72</v>
      </c>
      <c r="F173" s="70"/>
      <c r="G173" s="70"/>
      <c r="H173" s="71"/>
      <c r="I173" s="72" t="s">
        <v>14</v>
      </c>
      <c r="J173" s="72" t="s">
        <v>11</v>
      </c>
      <c r="K173" s="65" t="s">
        <v>12</v>
      </c>
      <c r="L173" s="66"/>
      <c r="M173" s="74" t="s">
        <v>31</v>
      </c>
      <c r="N173" s="72" t="s">
        <v>16</v>
      </c>
      <c r="O173" s="65" t="s">
        <v>17</v>
      </c>
      <c r="P173" s="66"/>
    </row>
    <row r="174" spans="1:16" ht="34" customHeight="1">
      <c r="A174" s="63"/>
      <c r="B174" s="67"/>
      <c r="C174" s="68"/>
      <c r="D174" s="63"/>
      <c r="E174" s="35" t="str">
        <f>IF(E133="","",E133)</f>
        <v>TAS/ Operator</v>
      </c>
      <c r="F174" s="35" t="str">
        <f t="shared" ref="F174:H174" si="30">IF(F133="","",F133)</f>
        <v>Guru</v>
      </c>
      <c r="G174" s="35" t="str">
        <f t="shared" si="30"/>
        <v>Pembina Ekskul</v>
      </c>
      <c r="H174" s="39" t="str">
        <f t="shared" si="30"/>
        <v>Tenaga Perpustakaan</v>
      </c>
      <c r="I174" s="73"/>
      <c r="J174" s="73"/>
      <c r="K174" s="67"/>
      <c r="L174" s="68"/>
      <c r="M174" s="75"/>
      <c r="N174" s="73"/>
      <c r="O174" s="67"/>
      <c r="P174" s="68"/>
    </row>
    <row r="175" spans="1:16" ht="24" customHeight="1">
      <c r="A175" s="11">
        <v>1</v>
      </c>
      <c r="B175" s="12" t="str">
        <f t="shared" ref="B175:B180" si="31">IF(B134="","",B134)</f>
        <v/>
      </c>
      <c r="C175" s="13"/>
      <c r="D175" s="32" t="str">
        <f t="shared" ref="D175:D180" si="32">IF(D134="","",D134)</f>
        <v/>
      </c>
      <c r="E175" s="37" t="str">
        <f>IF(E134="","",E134)</f>
        <v/>
      </c>
      <c r="F175" s="37" t="str">
        <f>IF(F134="","",F134)</f>
        <v/>
      </c>
      <c r="G175" s="37" t="str">
        <f>IF(G134="","",G134)</f>
        <v/>
      </c>
      <c r="H175" s="37" t="str">
        <f>IF(H134="","",H134)</f>
        <v/>
      </c>
      <c r="I175" s="16" t="str">
        <f>IF(B175="","",SUM(E175:H175))</f>
        <v/>
      </c>
      <c r="J175" s="38" t="str">
        <f t="shared" ref="J175:L180" si="33">IF(J134="","",J134)</f>
        <v>PTT</v>
      </c>
      <c r="K175" s="38">
        <f t="shared" si="33"/>
        <v>1</v>
      </c>
      <c r="L175" s="38" t="str">
        <f t="shared" si="33"/>
        <v>Bulan</v>
      </c>
      <c r="M175" s="17" t="str">
        <f>IFERROR(I175*0/100,"")</f>
        <v/>
      </c>
      <c r="N175" s="16" t="str">
        <f>IFERROR(SUM(I175*K175)-M175,"")</f>
        <v/>
      </c>
      <c r="O175" s="54">
        <v>1</v>
      </c>
      <c r="P175" s="56">
        <v>2</v>
      </c>
    </row>
    <row r="176" spans="1:16" ht="24" customHeight="1">
      <c r="A176" s="11">
        <v>2</v>
      </c>
      <c r="B176" s="12" t="str">
        <f t="shared" si="31"/>
        <v/>
      </c>
      <c r="C176" s="13"/>
      <c r="D176" s="32" t="str">
        <f t="shared" si="32"/>
        <v/>
      </c>
      <c r="E176" s="37" t="str">
        <f t="shared" ref="E176:H176" si="34">IF(E135="","",E135)</f>
        <v/>
      </c>
      <c r="F176" s="37" t="str">
        <f t="shared" si="34"/>
        <v/>
      </c>
      <c r="G176" s="37" t="str">
        <f t="shared" si="34"/>
        <v/>
      </c>
      <c r="H176" s="37" t="str">
        <f t="shared" si="34"/>
        <v/>
      </c>
      <c r="I176" s="16" t="str">
        <f t="shared" ref="I176:I180" si="35">IF(B176="","",SUM(E176:H176))</f>
        <v/>
      </c>
      <c r="J176" s="38" t="str">
        <f t="shared" si="33"/>
        <v/>
      </c>
      <c r="K176" s="38" t="str">
        <f t="shared" si="33"/>
        <v/>
      </c>
      <c r="L176" s="38" t="str">
        <f t="shared" si="33"/>
        <v/>
      </c>
      <c r="M176" s="17" t="str">
        <f t="shared" ref="M176:M180" si="36">IFERROR(I176*0/100,"")</f>
        <v/>
      </c>
      <c r="N176" s="16" t="str">
        <f t="shared" ref="N176:N180" si="37">IFERROR(SUM(I176*K176)-M176,"")</f>
        <v/>
      </c>
      <c r="O176" s="55"/>
      <c r="P176" s="57"/>
    </row>
    <row r="177" spans="1:19" ht="24" hidden="1" customHeight="1">
      <c r="A177" s="11">
        <v>3</v>
      </c>
      <c r="B177" s="12" t="str">
        <f t="shared" si="31"/>
        <v/>
      </c>
      <c r="C177" s="13"/>
      <c r="D177" s="32" t="str">
        <f t="shared" si="32"/>
        <v/>
      </c>
      <c r="E177" s="37" t="str">
        <f t="shared" ref="E177:H180" si="38">IF(E136="","",E136)</f>
        <v/>
      </c>
      <c r="F177" s="37" t="str">
        <f t="shared" si="38"/>
        <v/>
      </c>
      <c r="G177" s="37" t="str">
        <f t="shared" si="38"/>
        <v/>
      </c>
      <c r="H177" s="37" t="str">
        <f t="shared" si="38"/>
        <v/>
      </c>
      <c r="I177" s="16" t="str">
        <f t="shared" si="35"/>
        <v/>
      </c>
      <c r="J177" s="38" t="str">
        <f t="shared" si="33"/>
        <v/>
      </c>
      <c r="K177" s="38" t="str">
        <f t="shared" si="33"/>
        <v/>
      </c>
      <c r="L177" s="38" t="str">
        <f t="shared" si="33"/>
        <v/>
      </c>
      <c r="M177" s="17" t="str">
        <f t="shared" si="36"/>
        <v/>
      </c>
      <c r="N177" s="16" t="str">
        <f t="shared" si="37"/>
        <v/>
      </c>
      <c r="O177" s="54">
        <v>3</v>
      </c>
      <c r="P177" s="56">
        <v>4</v>
      </c>
    </row>
    <row r="178" spans="1:19" ht="24" hidden="1" customHeight="1">
      <c r="A178" s="11">
        <v>4</v>
      </c>
      <c r="B178" s="12" t="str">
        <f t="shared" si="31"/>
        <v/>
      </c>
      <c r="C178" s="13"/>
      <c r="D178" s="32" t="str">
        <f t="shared" si="32"/>
        <v/>
      </c>
      <c r="E178" s="37" t="str">
        <f t="shared" si="38"/>
        <v/>
      </c>
      <c r="F178" s="37" t="str">
        <f t="shared" si="38"/>
        <v/>
      </c>
      <c r="G178" s="37" t="str">
        <f t="shared" si="38"/>
        <v/>
      </c>
      <c r="H178" s="37" t="str">
        <f t="shared" si="38"/>
        <v/>
      </c>
      <c r="I178" s="16" t="str">
        <f t="shared" si="35"/>
        <v/>
      </c>
      <c r="J178" s="38" t="str">
        <f t="shared" si="33"/>
        <v/>
      </c>
      <c r="K178" s="38" t="str">
        <f t="shared" si="33"/>
        <v/>
      </c>
      <c r="L178" s="38" t="str">
        <f t="shared" si="33"/>
        <v/>
      </c>
      <c r="M178" s="17" t="str">
        <f t="shared" si="36"/>
        <v/>
      </c>
      <c r="N178" s="16" t="str">
        <f t="shared" si="37"/>
        <v/>
      </c>
      <c r="O178" s="55"/>
      <c r="P178" s="57"/>
    </row>
    <row r="179" spans="1:19" ht="24" hidden="1" customHeight="1">
      <c r="A179" s="11">
        <v>5</v>
      </c>
      <c r="B179" s="12" t="str">
        <f t="shared" si="31"/>
        <v/>
      </c>
      <c r="C179" s="13"/>
      <c r="D179" s="32" t="str">
        <f t="shared" si="32"/>
        <v/>
      </c>
      <c r="E179" s="37" t="str">
        <f t="shared" si="38"/>
        <v/>
      </c>
      <c r="F179" s="37" t="str">
        <f t="shared" si="38"/>
        <v/>
      </c>
      <c r="G179" s="37" t="str">
        <f t="shared" si="38"/>
        <v/>
      </c>
      <c r="H179" s="37" t="str">
        <f t="shared" si="38"/>
        <v/>
      </c>
      <c r="I179" s="16" t="str">
        <f t="shared" si="35"/>
        <v/>
      </c>
      <c r="J179" s="38" t="str">
        <f t="shared" si="33"/>
        <v/>
      </c>
      <c r="K179" s="38" t="str">
        <f t="shared" si="33"/>
        <v/>
      </c>
      <c r="L179" s="38" t="str">
        <f t="shared" si="33"/>
        <v/>
      </c>
      <c r="M179" s="17" t="str">
        <f t="shared" si="36"/>
        <v/>
      </c>
      <c r="N179" s="16" t="str">
        <f t="shared" si="37"/>
        <v/>
      </c>
      <c r="O179" s="58">
        <v>5</v>
      </c>
      <c r="P179" s="59">
        <v>6</v>
      </c>
    </row>
    <row r="180" spans="1:19" ht="24" hidden="1" customHeight="1">
      <c r="A180" s="11">
        <v>6</v>
      </c>
      <c r="B180" s="12" t="str">
        <f t="shared" si="31"/>
        <v/>
      </c>
      <c r="C180" s="13"/>
      <c r="D180" s="32" t="str">
        <f t="shared" si="32"/>
        <v/>
      </c>
      <c r="E180" s="37" t="str">
        <f t="shared" si="38"/>
        <v/>
      </c>
      <c r="F180" s="37" t="str">
        <f t="shared" si="38"/>
        <v/>
      </c>
      <c r="G180" s="37" t="str">
        <f t="shared" si="38"/>
        <v/>
      </c>
      <c r="H180" s="37" t="str">
        <f t="shared" si="38"/>
        <v/>
      </c>
      <c r="I180" s="16" t="str">
        <f t="shared" si="35"/>
        <v/>
      </c>
      <c r="J180" s="38" t="str">
        <f t="shared" si="33"/>
        <v/>
      </c>
      <c r="K180" s="38" t="str">
        <f t="shared" si="33"/>
        <v/>
      </c>
      <c r="L180" s="38" t="str">
        <f t="shared" si="33"/>
        <v/>
      </c>
      <c r="M180" s="17" t="str">
        <f t="shared" si="36"/>
        <v/>
      </c>
      <c r="N180" s="16" t="str">
        <f t="shared" si="37"/>
        <v/>
      </c>
      <c r="O180" s="58"/>
      <c r="P180" s="59"/>
    </row>
    <row r="181" spans="1:19" s="21" customFormat="1" ht="22.5" customHeight="1">
      <c r="A181" s="60" t="s">
        <v>20</v>
      </c>
      <c r="B181" s="61"/>
      <c r="C181" s="61"/>
      <c r="D181" s="61"/>
      <c r="E181" s="61"/>
      <c r="F181" s="61"/>
      <c r="G181" s="61"/>
      <c r="H181" s="36"/>
      <c r="I181" s="18">
        <f>SUM(I175:I180)</f>
        <v>0</v>
      </c>
      <c r="J181" s="36"/>
      <c r="K181" s="36"/>
      <c r="L181" s="36"/>
      <c r="M181" s="19">
        <f>SUM(M175:M180)</f>
        <v>0</v>
      </c>
      <c r="N181" s="18">
        <f>SUM(N175:N180)</f>
        <v>0</v>
      </c>
      <c r="O181" s="20"/>
      <c r="P181" s="20"/>
      <c r="S181" s="22"/>
    </row>
    <row r="182" spans="1:19" ht="23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N182" s="23"/>
    </row>
    <row r="183" spans="1:19" ht="17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O183" s="24" t="str">
        <f>Honor_guru!P162</f>
        <v>Cikalongwetan, 2 Mei 2026</v>
      </c>
    </row>
    <row r="184" spans="1:19" ht="18" customHeight="1">
      <c r="A184" s="8"/>
      <c r="C184" s="24" t="s">
        <v>21</v>
      </c>
      <c r="D184" s="24"/>
      <c r="E184" s="24"/>
      <c r="F184" s="24"/>
      <c r="G184" s="24"/>
      <c r="H184" s="24"/>
      <c r="I184" s="24"/>
      <c r="J184" s="24"/>
      <c r="K184" s="24"/>
      <c r="L184" s="8"/>
      <c r="O184" s="24" t="str">
        <f>Honor_guru!P163</f>
        <v>Dibayar Lunas Tgl. 5 Mei 2026</v>
      </c>
    </row>
    <row r="185" spans="1:19">
      <c r="A185" s="8"/>
      <c r="C185" s="24" t="s">
        <v>22</v>
      </c>
      <c r="D185" s="24"/>
      <c r="E185" s="24"/>
      <c r="F185" s="24"/>
      <c r="G185" s="24"/>
      <c r="H185" s="24"/>
      <c r="I185" s="24"/>
      <c r="J185" s="24"/>
      <c r="K185" s="24"/>
      <c r="L185" s="8"/>
      <c r="O185" s="24" t="s">
        <v>23</v>
      </c>
    </row>
    <row r="186" spans="1:19">
      <c r="A186" s="8"/>
      <c r="C186" s="24"/>
      <c r="D186" s="24"/>
      <c r="E186" s="24"/>
      <c r="F186" s="24"/>
      <c r="G186" s="24"/>
      <c r="H186" s="24"/>
      <c r="I186" s="24"/>
      <c r="J186" s="24"/>
      <c r="K186" s="24"/>
      <c r="L186" s="8"/>
      <c r="O186" s="25"/>
      <c r="S186" s="26"/>
    </row>
    <row r="187" spans="1:19">
      <c r="A187" s="8"/>
      <c r="C187" s="24"/>
      <c r="D187" s="24"/>
      <c r="E187" s="24"/>
      <c r="F187" s="24"/>
      <c r="G187" s="24"/>
      <c r="H187" s="24"/>
      <c r="I187" s="24"/>
      <c r="J187" s="24"/>
      <c r="K187" s="24"/>
      <c r="L187" s="8"/>
      <c r="O187" s="25"/>
    </row>
    <row r="188" spans="1:19">
      <c r="A188" s="8"/>
      <c r="C188" s="24"/>
      <c r="D188" s="24"/>
      <c r="E188" s="24"/>
      <c r="F188" s="24"/>
      <c r="G188" s="24"/>
      <c r="H188" s="24"/>
      <c r="I188" s="24"/>
      <c r="J188" s="24"/>
      <c r="K188" s="24"/>
      <c r="L188" s="8"/>
      <c r="O188" s="25"/>
    </row>
    <row r="189" spans="1:19">
      <c r="A189" s="8"/>
      <c r="C189" s="24"/>
      <c r="D189" s="24"/>
      <c r="E189" s="24"/>
      <c r="F189" s="24"/>
      <c r="G189" s="24"/>
      <c r="H189" s="24"/>
      <c r="I189" s="24"/>
      <c r="J189" s="24"/>
      <c r="K189" s="24"/>
      <c r="L189" s="8"/>
      <c r="O189" s="25"/>
    </row>
    <row r="190" spans="1:19">
      <c r="A190" s="8"/>
      <c r="C190" s="24"/>
      <c r="D190" s="24"/>
      <c r="E190" s="24"/>
      <c r="F190" s="24"/>
      <c r="G190" s="24"/>
      <c r="H190" s="24"/>
      <c r="I190" s="24"/>
      <c r="J190" s="24"/>
      <c r="K190" s="24"/>
      <c r="L190" s="8"/>
      <c r="O190" s="25"/>
    </row>
    <row r="191" spans="1:19" ht="15" customHeight="1">
      <c r="A191" s="8"/>
      <c r="C191" s="27" t="str">
        <f>IF(C150="","",C150)</f>
        <v>BADRUDDIN, S.Ag.</v>
      </c>
      <c r="D191" s="28"/>
      <c r="E191" s="28"/>
      <c r="F191" s="28"/>
      <c r="G191" s="28"/>
      <c r="H191" s="28"/>
      <c r="I191" s="28"/>
      <c r="J191" s="28"/>
      <c r="K191" s="8"/>
      <c r="L191" s="8"/>
      <c r="O191" s="27" t="str">
        <f>IF(O150="","",O150)</f>
        <v>DEDE GUNAWAN, S.Pd.</v>
      </c>
    </row>
    <row r="192" spans="1:19" ht="15" customHeight="1">
      <c r="A192" s="8"/>
      <c r="C192" s="27" t="str">
        <f>IF(C151="","",C151)</f>
        <v>NIP. 197405082014121002</v>
      </c>
      <c r="D192" s="28"/>
      <c r="E192" s="28"/>
      <c r="F192" s="28"/>
      <c r="G192" s="28"/>
      <c r="H192" s="28"/>
      <c r="I192" s="28"/>
      <c r="J192" s="28"/>
      <c r="K192" s="8"/>
      <c r="L192" s="8"/>
      <c r="O192" s="27" t="str">
        <f>IF(O151="","",O151)</f>
        <v>NIP. 198507172020121003</v>
      </c>
    </row>
    <row r="206" spans="1:16" ht="17.25" customHeight="1">
      <c r="A206" s="64" t="str">
        <f>$A$1</f>
        <v>DAFTAR PENERIMA HONORARIUM/GAJI TENAGA ADMINISTRASI SEKOLAH TIDAK TETAP (PEMBAYARAN NON TUNAI)</v>
      </c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</row>
    <row r="207" spans="1:16" ht="17.25" customHeight="1">
      <c r="A207" s="64" t="str">
        <f>Honor_guru!A181</f>
        <v>BULAN JUNI 2026</v>
      </c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</row>
    <row r="208" spans="1:16" ht="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9" ht="15" customHeight="1">
      <c r="C209" s="4" t="s">
        <v>0</v>
      </c>
      <c r="D209" s="5" t="s">
        <v>1</v>
      </c>
      <c r="E209" s="5"/>
      <c r="F209" s="5"/>
      <c r="G209" s="5"/>
      <c r="H209" s="5"/>
      <c r="I209" s="5"/>
      <c r="K209" s="6"/>
      <c r="L209" s="7"/>
      <c r="M209" s="4" t="s">
        <v>26</v>
      </c>
      <c r="N209" s="4" t="str">
        <f>N168</f>
        <v>: 07 Pengembangan Standar Pembiayaan</v>
      </c>
      <c r="O209" s="3"/>
    </row>
    <row r="210" spans="1:19" ht="15" customHeight="1">
      <c r="C210" s="4" t="s">
        <v>2</v>
      </c>
      <c r="D210" s="4" t="str">
        <f>D169</f>
        <v>: SD NEGERI LEBAKLEUNGSIR</v>
      </c>
      <c r="E210" s="4"/>
      <c r="F210" s="4"/>
      <c r="G210" s="4"/>
      <c r="H210" s="4"/>
      <c r="I210" s="4"/>
      <c r="K210" s="6"/>
      <c r="M210" s="4" t="s">
        <v>27</v>
      </c>
      <c r="N210" s="4" t="str">
        <f>N169</f>
        <v>: Pembayaran Honor Tenaga Kependidikan</v>
      </c>
      <c r="O210" s="3"/>
    </row>
    <row r="211" spans="1:19" ht="15" customHeight="1">
      <c r="C211" s="4" t="s">
        <v>3</v>
      </c>
      <c r="D211" s="4" t="str">
        <f>D170</f>
        <v>: Cikalongwetan</v>
      </c>
      <c r="E211" s="4"/>
      <c r="F211" s="4"/>
      <c r="G211" s="4"/>
      <c r="H211" s="4"/>
      <c r="I211" s="4"/>
      <c r="K211" s="6"/>
      <c r="M211" s="8" t="s">
        <v>28</v>
      </c>
      <c r="N211" s="4" t="str">
        <f>N170</f>
        <v>: 5.1.02.02.01.0013</v>
      </c>
      <c r="O211" s="3"/>
    </row>
    <row r="212" spans="1:19" ht="15" customHeight="1">
      <c r="C212" s="4" t="s">
        <v>5</v>
      </c>
      <c r="D212" s="4" t="str">
        <f>D171</f>
        <v>: Bandung Barat</v>
      </c>
      <c r="E212" s="4"/>
      <c r="F212" s="4"/>
      <c r="G212" s="4"/>
      <c r="H212" s="4"/>
      <c r="I212" s="4"/>
      <c r="K212" s="6"/>
      <c r="M212" s="4" t="s">
        <v>7</v>
      </c>
      <c r="N212" s="4" t="str">
        <f>N171</f>
        <v>: 12</v>
      </c>
      <c r="O212" s="3"/>
      <c r="P212" s="8"/>
    </row>
    <row r="213" spans="1:19" ht="15" customHeight="1">
      <c r="M213" s="8"/>
      <c r="N213" s="8"/>
      <c r="O213" s="8"/>
    </row>
    <row r="214" spans="1:19" ht="18.5" customHeight="1">
      <c r="A214" s="62" t="s">
        <v>8</v>
      </c>
      <c r="B214" s="65" t="s">
        <v>9</v>
      </c>
      <c r="C214" s="66"/>
      <c r="D214" s="62" t="s">
        <v>10</v>
      </c>
      <c r="E214" s="69" t="s">
        <v>72</v>
      </c>
      <c r="F214" s="70"/>
      <c r="G214" s="70"/>
      <c r="H214" s="71"/>
      <c r="I214" s="72" t="s">
        <v>14</v>
      </c>
      <c r="J214" s="72" t="s">
        <v>11</v>
      </c>
      <c r="K214" s="65" t="s">
        <v>12</v>
      </c>
      <c r="L214" s="66"/>
      <c r="M214" s="74" t="s">
        <v>31</v>
      </c>
      <c r="N214" s="72" t="s">
        <v>16</v>
      </c>
      <c r="O214" s="65" t="s">
        <v>17</v>
      </c>
      <c r="P214" s="66"/>
    </row>
    <row r="215" spans="1:19" ht="34" customHeight="1">
      <c r="A215" s="63"/>
      <c r="B215" s="67"/>
      <c r="C215" s="68"/>
      <c r="D215" s="63"/>
      <c r="E215" s="35" t="str">
        <f>IF(E174="","",E174)</f>
        <v>TAS/ Operator</v>
      </c>
      <c r="F215" s="35" t="str">
        <f t="shared" ref="F215:H215" si="39">IF(F174="","",F174)</f>
        <v>Guru</v>
      </c>
      <c r="G215" s="35" t="str">
        <f t="shared" si="39"/>
        <v>Pembina Ekskul</v>
      </c>
      <c r="H215" s="39" t="str">
        <f t="shared" si="39"/>
        <v>Tenaga Perpustakaan</v>
      </c>
      <c r="I215" s="73"/>
      <c r="J215" s="73"/>
      <c r="K215" s="67"/>
      <c r="L215" s="68"/>
      <c r="M215" s="75"/>
      <c r="N215" s="73"/>
      <c r="O215" s="67"/>
      <c r="P215" s="68"/>
    </row>
    <row r="216" spans="1:19" ht="24" customHeight="1">
      <c r="A216" s="11">
        <v>1</v>
      </c>
      <c r="B216" s="12" t="str">
        <f t="shared" ref="B216:B221" si="40">IF(B175="","",B175)</f>
        <v/>
      </c>
      <c r="C216" s="13"/>
      <c r="D216" s="32" t="str">
        <f t="shared" ref="D216:D221" si="41">IF(D175="","",D175)</f>
        <v/>
      </c>
      <c r="E216" s="37" t="str">
        <f>IF(E175="","",E175)</f>
        <v/>
      </c>
      <c r="F216" s="37" t="str">
        <f>IF(F175="","",F175)</f>
        <v/>
      </c>
      <c r="G216" s="37" t="str">
        <f>IF(G175="","",G175)</f>
        <v/>
      </c>
      <c r="H216" s="37" t="str">
        <f>IF(H175="","",H175)</f>
        <v/>
      </c>
      <c r="I216" s="16" t="str">
        <f>IF(B216="","",SUM(E216:H216))</f>
        <v/>
      </c>
      <c r="J216" s="38" t="str">
        <f t="shared" ref="J216:L221" si="42">IF(J175="","",J175)</f>
        <v>PTT</v>
      </c>
      <c r="K216" s="38">
        <f t="shared" si="42"/>
        <v>1</v>
      </c>
      <c r="L216" s="38" t="str">
        <f t="shared" si="42"/>
        <v>Bulan</v>
      </c>
      <c r="M216" s="17" t="str">
        <f>IFERROR(I216*0/100,"")</f>
        <v/>
      </c>
      <c r="N216" s="16" t="str">
        <f>IFERROR(SUM(I216*K216)-M216,"")</f>
        <v/>
      </c>
      <c r="O216" s="54">
        <v>1</v>
      </c>
      <c r="P216" s="56">
        <v>2</v>
      </c>
    </row>
    <row r="217" spans="1:19" ht="24" customHeight="1">
      <c r="A217" s="11">
        <v>2</v>
      </c>
      <c r="B217" s="12" t="str">
        <f t="shared" si="40"/>
        <v/>
      </c>
      <c r="C217" s="13"/>
      <c r="D217" s="32" t="str">
        <f t="shared" si="41"/>
        <v/>
      </c>
      <c r="E217" s="37" t="str">
        <f t="shared" ref="E217:H217" si="43">IF(E176="","",E176)</f>
        <v/>
      </c>
      <c r="F217" s="37" t="str">
        <f t="shared" si="43"/>
        <v/>
      </c>
      <c r="G217" s="37" t="str">
        <f t="shared" si="43"/>
        <v/>
      </c>
      <c r="H217" s="37" t="str">
        <f t="shared" si="43"/>
        <v/>
      </c>
      <c r="I217" s="16" t="str">
        <f t="shared" ref="I217:I221" si="44">IF(B217="","",SUM(E217:H217))</f>
        <v/>
      </c>
      <c r="J217" s="38" t="str">
        <f t="shared" si="42"/>
        <v/>
      </c>
      <c r="K217" s="38" t="str">
        <f t="shared" si="42"/>
        <v/>
      </c>
      <c r="L217" s="38" t="str">
        <f t="shared" si="42"/>
        <v/>
      </c>
      <c r="M217" s="17" t="str">
        <f t="shared" ref="M217:M221" si="45">IFERROR(I217*0/100,"")</f>
        <v/>
      </c>
      <c r="N217" s="16" t="str">
        <f t="shared" ref="N217:N221" si="46">IFERROR(SUM(I217*K217)-M217,"")</f>
        <v/>
      </c>
      <c r="O217" s="55"/>
      <c r="P217" s="57"/>
    </row>
    <row r="218" spans="1:19" ht="24" hidden="1" customHeight="1">
      <c r="A218" s="11">
        <v>3</v>
      </c>
      <c r="B218" s="12" t="str">
        <f t="shared" si="40"/>
        <v/>
      </c>
      <c r="C218" s="13"/>
      <c r="D218" s="32" t="str">
        <f t="shared" si="41"/>
        <v/>
      </c>
      <c r="E218" s="37" t="str">
        <f t="shared" ref="E218:H221" si="47">IF(E177="","",E177)</f>
        <v/>
      </c>
      <c r="F218" s="37" t="str">
        <f t="shared" si="47"/>
        <v/>
      </c>
      <c r="G218" s="37" t="str">
        <f t="shared" si="47"/>
        <v/>
      </c>
      <c r="H218" s="37" t="str">
        <f t="shared" si="47"/>
        <v/>
      </c>
      <c r="I218" s="16" t="str">
        <f t="shared" si="44"/>
        <v/>
      </c>
      <c r="J218" s="38" t="str">
        <f t="shared" si="42"/>
        <v/>
      </c>
      <c r="K218" s="38" t="str">
        <f t="shared" si="42"/>
        <v/>
      </c>
      <c r="L218" s="38" t="str">
        <f t="shared" si="42"/>
        <v/>
      </c>
      <c r="M218" s="17" t="str">
        <f t="shared" si="45"/>
        <v/>
      </c>
      <c r="N218" s="16" t="str">
        <f t="shared" si="46"/>
        <v/>
      </c>
      <c r="O218" s="54">
        <v>3</v>
      </c>
      <c r="P218" s="56">
        <v>4</v>
      </c>
    </row>
    <row r="219" spans="1:19" ht="24" hidden="1" customHeight="1">
      <c r="A219" s="11">
        <v>4</v>
      </c>
      <c r="B219" s="12" t="str">
        <f t="shared" si="40"/>
        <v/>
      </c>
      <c r="C219" s="13"/>
      <c r="D219" s="32" t="str">
        <f t="shared" si="41"/>
        <v/>
      </c>
      <c r="E219" s="37" t="str">
        <f t="shared" si="47"/>
        <v/>
      </c>
      <c r="F219" s="37" t="str">
        <f t="shared" si="47"/>
        <v/>
      </c>
      <c r="G219" s="37" t="str">
        <f t="shared" si="47"/>
        <v/>
      </c>
      <c r="H219" s="37" t="str">
        <f t="shared" si="47"/>
        <v/>
      </c>
      <c r="I219" s="16" t="str">
        <f t="shared" si="44"/>
        <v/>
      </c>
      <c r="J219" s="38" t="str">
        <f t="shared" si="42"/>
        <v/>
      </c>
      <c r="K219" s="38" t="str">
        <f t="shared" si="42"/>
        <v/>
      </c>
      <c r="L219" s="38" t="str">
        <f t="shared" si="42"/>
        <v/>
      </c>
      <c r="M219" s="17" t="str">
        <f t="shared" si="45"/>
        <v/>
      </c>
      <c r="N219" s="16" t="str">
        <f t="shared" si="46"/>
        <v/>
      </c>
      <c r="O219" s="55"/>
      <c r="P219" s="57"/>
    </row>
    <row r="220" spans="1:19" ht="24" hidden="1" customHeight="1">
      <c r="A220" s="11">
        <v>5</v>
      </c>
      <c r="B220" s="12" t="str">
        <f t="shared" si="40"/>
        <v/>
      </c>
      <c r="C220" s="13"/>
      <c r="D220" s="32" t="str">
        <f t="shared" si="41"/>
        <v/>
      </c>
      <c r="E220" s="37" t="str">
        <f t="shared" si="47"/>
        <v/>
      </c>
      <c r="F220" s="37" t="str">
        <f t="shared" si="47"/>
        <v/>
      </c>
      <c r="G220" s="37" t="str">
        <f t="shared" si="47"/>
        <v/>
      </c>
      <c r="H220" s="37" t="str">
        <f t="shared" si="47"/>
        <v/>
      </c>
      <c r="I220" s="16" t="str">
        <f t="shared" si="44"/>
        <v/>
      </c>
      <c r="J220" s="38" t="str">
        <f t="shared" si="42"/>
        <v/>
      </c>
      <c r="K220" s="38" t="str">
        <f t="shared" si="42"/>
        <v/>
      </c>
      <c r="L220" s="38" t="str">
        <f t="shared" si="42"/>
        <v/>
      </c>
      <c r="M220" s="17" t="str">
        <f t="shared" si="45"/>
        <v/>
      </c>
      <c r="N220" s="16" t="str">
        <f t="shared" si="46"/>
        <v/>
      </c>
      <c r="O220" s="58">
        <v>5</v>
      </c>
      <c r="P220" s="59">
        <v>6</v>
      </c>
    </row>
    <row r="221" spans="1:19" ht="24" hidden="1" customHeight="1">
      <c r="A221" s="11">
        <v>6</v>
      </c>
      <c r="B221" s="12" t="str">
        <f t="shared" si="40"/>
        <v/>
      </c>
      <c r="C221" s="13"/>
      <c r="D221" s="32" t="str">
        <f t="shared" si="41"/>
        <v/>
      </c>
      <c r="E221" s="37" t="str">
        <f t="shared" si="47"/>
        <v/>
      </c>
      <c r="F221" s="37" t="str">
        <f t="shared" si="47"/>
        <v/>
      </c>
      <c r="G221" s="37" t="str">
        <f t="shared" si="47"/>
        <v/>
      </c>
      <c r="H221" s="37" t="str">
        <f t="shared" si="47"/>
        <v/>
      </c>
      <c r="I221" s="16" t="str">
        <f t="shared" si="44"/>
        <v/>
      </c>
      <c r="J221" s="38" t="str">
        <f t="shared" si="42"/>
        <v/>
      </c>
      <c r="K221" s="38" t="str">
        <f t="shared" si="42"/>
        <v/>
      </c>
      <c r="L221" s="38" t="str">
        <f t="shared" si="42"/>
        <v/>
      </c>
      <c r="M221" s="17" t="str">
        <f t="shared" si="45"/>
        <v/>
      </c>
      <c r="N221" s="16" t="str">
        <f t="shared" si="46"/>
        <v/>
      </c>
      <c r="O221" s="58"/>
      <c r="P221" s="59"/>
    </row>
    <row r="222" spans="1:19" s="21" customFormat="1" ht="22.5" customHeight="1">
      <c r="A222" s="60" t="s">
        <v>20</v>
      </c>
      <c r="B222" s="61"/>
      <c r="C222" s="61"/>
      <c r="D222" s="61"/>
      <c r="E222" s="61"/>
      <c r="F222" s="61"/>
      <c r="G222" s="61"/>
      <c r="H222" s="36"/>
      <c r="I222" s="18">
        <f>SUM(I216:I221)</f>
        <v>0</v>
      </c>
      <c r="J222" s="36"/>
      <c r="K222" s="36"/>
      <c r="L222" s="36"/>
      <c r="M222" s="19">
        <f>SUM(M216:M221)</f>
        <v>0</v>
      </c>
      <c r="N222" s="18">
        <f>SUM(N216:N221)</f>
        <v>0</v>
      </c>
      <c r="O222" s="20"/>
      <c r="P222" s="20"/>
      <c r="S222" s="22"/>
    </row>
    <row r="223" spans="1:19" ht="23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N223" s="23"/>
    </row>
    <row r="224" spans="1:19" ht="17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O224" s="24" t="str">
        <f>Honor_guru!P198</f>
        <v>Cikalongwetan, 1 Juni 2026</v>
      </c>
    </row>
    <row r="225" spans="1:19" ht="18" customHeight="1">
      <c r="A225" s="8"/>
      <c r="C225" s="24" t="s">
        <v>21</v>
      </c>
      <c r="D225" s="24"/>
      <c r="E225" s="24"/>
      <c r="F225" s="24"/>
      <c r="G225" s="24"/>
      <c r="H225" s="24"/>
      <c r="I225" s="24"/>
      <c r="J225" s="24"/>
      <c r="K225" s="24"/>
      <c r="L225" s="8"/>
      <c r="O225" s="24" t="str">
        <f>Honor_guru!P199</f>
        <v>Dibayar Lunas Tgl. 3 Juni 2026</v>
      </c>
    </row>
    <row r="226" spans="1:19">
      <c r="A226" s="8"/>
      <c r="C226" s="24" t="s">
        <v>22</v>
      </c>
      <c r="D226" s="24"/>
      <c r="E226" s="24"/>
      <c r="F226" s="24"/>
      <c r="G226" s="24"/>
      <c r="H226" s="24"/>
      <c r="I226" s="24"/>
      <c r="J226" s="24"/>
      <c r="K226" s="24"/>
      <c r="L226" s="8"/>
      <c r="O226" s="24" t="s">
        <v>23</v>
      </c>
    </row>
    <row r="227" spans="1:19">
      <c r="A227" s="8"/>
      <c r="C227" s="24"/>
      <c r="D227" s="24"/>
      <c r="E227" s="24"/>
      <c r="F227" s="24"/>
      <c r="G227" s="24"/>
      <c r="H227" s="24"/>
      <c r="I227" s="24"/>
      <c r="J227" s="24"/>
      <c r="K227" s="24"/>
      <c r="L227" s="8"/>
      <c r="O227" s="25"/>
      <c r="S227" s="26"/>
    </row>
    <row r="228" spans="1:19">
      <c r="A228" s="8"/>
      <c r="C228" s="24"/>
      <c r="D228" s="24"/>
      <c r="E228" s="24"/>
      <c r="F228" s="24"/>
      <c r="G228" s="24"/>
      <c r="H228" s="24"/>
      <c r="I228" s="24"/>
      <c r="J228" s="24"/>
      <c r="K228" s="24"/>
      <c r="L228" s="8"/>
      <c r="O228" s="25"/>
    </row>
    <row r="229" spans="1:19">
      <c r="A229" s="8"/>
      <c r="C229" s="24"/>
      <c r="D229" s="24"/>
      <c r="E229" s="24"/>
      <c r="F229" s="24"/>
      <c r="G229" s="24"/>
      <c r="H229" s="24"/>
      <c r="I229" s="24"/>
      <c r="J229" s="24"/>
      <c r="K229" s="24"/>
      <c r="L229" s="8"/>
      <c r="O229" s="25"/>
    </row>
    <row r="230" spans="1:19">
      <c r="A230" s="8"/>
      <c r="C230" s="24"/>
      <c r="D230" s="24"/>
      <c r="E230" s="24"/>
      <c r="F230" s="24"/>
      <c r="G230" s="24"/>
      <c r="H230" s="24"/>
      <c r="I230" s="24"/>
      <c r="J230" s="24"/>
      <c r="K230" s="24"/>
      <c r="L230" s="8"/>
      <c r="O230" s="25"/>
    </row>
    <row r="231" spans="1:19">
      <c r="A231" s="8"/>
      <c r="C231" s="24"/>
      <c r="D231" s="24"/>
      <c r="E231" s="24"/>
      <c r="F231" s="24"/>
      <c r="G231" s="24"/>
      <c r="H231" s="24"/>
      <c r="I231" s="24"/>
      <c r="J231" s="24"/>
      <c r="K231" s="24"/>
      <c r="L231" s="8"/>
      <c r="O231" s="25"/>
    </row>
    <row r="232" spans="1:19" ht="15" customHeight="1">
      <c r="A232" s="8"/>
      <c r="C232" s="27" t="str">
        <f>IF(C191="","",C191)</f>
        <v>BADRUDDIN, S.Ag.</v>
      </c>
      <c r="D232" s="28"/>
      <c r="E232" s="28"/>
      <c r="F232" s="28"/>
      <c r="G232" s="28"/>
      <c r="H232" s="28"/>
      <c r="I232" s="28"/>
      <c r="J232" s="28"/>
      <c r="K232" s="8"/>
      <c r="L232" s="8"/>
      <c r="O232" s="27" t="str">
        <f>IF(O191="","",O191)</f>
        <v>DEDE GUNAWAN, S.Pd.</v>
      </c>
    </row>
    <row r="233" spans="1:19" ht="15" customHeight="1">
      <c r="A233" s="8"/>
      <c r="C233" s="27" t="str">
        <f>IF(C192="","",C192)</f>
        <v>NIP. 197405082014121002</v>
      </c>
      <c r="D233" s="28"/>
      <c r="E233" s="28"/>
      <c r="F233" s="28"/>
      <c r="G233" s="28"/>
      <c r="H233" s="28"/>
      <c r="I233" s="28"/>
      <c r="J233" s="28"/>
      <c r="K233" s="8"/>
      <c r="L233" s="8"/>
      <c r="O233" s="27" t="str">
        <f>IF(O192="","",O192)</f>
        <v>NIP. 198507172020121003</v>
      </c>
    </row>
    <row r="247" spans="1:16" ht="17.25" customHeight="1">
      <c r="A247" s="64" t="str">
        <f>$A$1</f>
        <v>DAFTAR PENERIMA HONORARIUM/GAJI TENAGA ADMINISTRASI SEKOLAH TIDAK TETAP (PEMBAYARAN NON TUNAI)</v>
      </c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</row>
    <row r="248" spans="1:16" ht="17.25" customHeight="1">
      <c r="A248" s="64" t="str">
        <f>Honor_guru!A217</f>
        <v>BULAN JULI 2025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</row>
    <row r="249" spans="1:16" ht="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5" customHeight="1">
      <c r="C250" s="4" t="s">
        <v>0</v>
      </c>
      <c r="D250" s="5" t="s">
        <v>1</v>
      </c>
      <c r="E250" s="5"/>
      <c r="F250" s="5"/>
      <c r="G250" s="5"/>
      <c r="H250" s="5"/>
      <c r="I250" s="5"/>
      <c r="K250" s="6"/>
      <c r="L250" s="7"/>
      <c r="M250" s="4" t="s">
        <v>26</v>
      </c>
      <c r="N250" s="4" t="str">
        <f>N209</f>
        <v>: 07 Pengembangan Standar Pembiayaan</v>
      </c>
      <c r="O250" s="3"/>
    </row>
    <row r="251" spans="1:16" ht="15" customHeight="1">
      <c r="C251" s="4" t="s">
        <v>2</v>
      </c>
      <c r="D251" s="4" t="str">
        <f>D210</f>
        <v>: SD NEGERI LEBAKLEUNGSIR</v>
      </c>
      <c r="E251" s="4"/>
      <c r="F251" s="4"/>
      <c r="G251" s="4"/>
      <c r="H251" s="4"/>
      <c r="I251" s="4"/>
      <c r="K251" s="6"/>
      <c r="M251" s="4" t="s">
        <v>27</v>
      </c>
      <c r="N251" s="4" t="str">
        <f>N210</f>
        <v>: Pembayaran Honor Tenaga Kependidikan</v>
      </c>
      <c r="O251" s="3"/>
    </row>
    <row r="252" spans="1:16" ht="15" customHeight="1">
      <c r="C252" s="4" t="s">
        <v>3</v>
      </c>
      <c r="D252" s="4" t="str">
        <f>D211</f>
        <v>: Cikalongwetan</v>
      </c>
      <c r="E252" s="4"/>
      <c r="F252" s="4"/>
      <c r="G252" s="4"/>
      <c r="H252" s="4"/>
      <c r="I252" s="4"/>
      <c r="K252" s="6"/>
      <c r="M252" s="8" t="s">
        <v>28</v>
      </c>
      <c r="N252" s="4" t="str">
        <f>N211</f>
        <v>: 5.1.02.02.01.0013</v>
      </c>
      <c r="O252" s="3"/>
    </row>
    <row r="253" spans="1:16" ht="15" customHeight="1">
      <c r="C253" s="4" t="s">
        <v>5</v>
      </c>
      <c r="D253" s="4" t="str">
        <f>D212</f>
        <v>: Bandung Barat</v>
      </c>
      <c r="E253" s="4"/>
      <c r="F253" s="4"/>
      <c r="G253" s="4"/>
      <c r="H253" s="4"/>
      <c r="I253" s="4"/>
      <c r="K253" s="6"/>
      <c r="M253" s="4" t="s">
        <v>7</v>
      </c>
      <c r="N253" s="4" t="str">
        <f>N212</f>
        <v>: 12</v>
      </c>
      <c r="O253" s="3"/>
      <c r="P253" s="8"/>
    </row>
    <row r="254" spans="1:16" ht="15" customHeight="1">
      <c r="M254" s="8"/>
      <c r="N254" s="8"/>
      <c r="O254" s="8"/>
    </row>
    <row r="255" spans="1:16" ht="18.5" customHeight="1">
      <c r="A255" s="62" t="s">
        <v>8</v>
      </c>
      <c r="B255" s="65" t="s">
        <v>9</v>
      </c>
      <c r="C255" s="66"/>
      <c r="D255" s="62" t="s">
        <v>10</v>
      </c>
      <c r="E255" s="69" t="s">
        <v>72</v>
      </c>
      <c r="F255" s="70"/>
      <c r="G255" s="70"/>
      <c r="H255" s="71"/>
      <c r="I255" s="72" t="s">
        <v>14</v>
      </c>
      <c r="J255" s="72" t="s">
        <v>11</v>
      </c>
      <c r="K255" s="65" t="s">
        <v>12</v>
      </c>
      <c r="L255" s="66"/>
      <c r="M255" s="74" t="s">
        <v>31</v>
      </c>
      <c r="N255" s="72" t="s">
        <v>16</v>
      </c>
      <c r="O255" s="65" t="s">
        <v>17</v>
      </c>
      <c r="P255" s="66"/>
    </row>
    <row r="256" spans="1:16" ht="34" customHeight="1">
      <c r="A256" s="63"/>
      <c r="B256" s="67"/>
      <c r="C256" s="68"/>
      <c r="D256" s="63"/>
      <c r="E256" s="35" t="str">
        <f>IF(E215="","",E215)</f>
        <v>TAS/ Operator</v>
      </c>
      <c r="F256" s="35" t="str">
        <f t="shared" ref="F256:H256" si="48">IF(F215="","",F215)</f>
        <v>Guru</v>
      </c>
      <c r="G256" s="35" t="str">
        <f t="shared" si="48"/>
        <v>Pembina Ekskul</v>
      </c>
      <c r="H256" s="39" t="str">
        <f t="shared" si="48"/>
        <v>Tenaga Perpustakaan</v>
      </c>
      <c r="I256" s="73"/>
      <c r="J256" s="73"/>
      <c r="K256" s="67"/>
      <c r="L256" s="68"/>
      <c r="M256" s="75"/>
      <c r="N256" s="73"/>
      <c r="O256" s="67"/>
      <c r="P256" s="68"/>
    </row>
    <row r="257" spans="1:19" ht="24" customHeight="1">
      <c r="A257" s="11">
        <v>1</v>
      </c>
      <c r="B257" s="12" t="str">
        <f>IF(B216="","",B216)</f>
        <v/>
      </c>
      <c r="C257" s="13"/>
      <c r="D257" s="32" t="str">
        <f>IF(D216="","",D216)</f>
        <v/>
      </c>
      <c r="E257" s="37">
        <v>400000</v>
      </c>
      <c r="F257" s="37">
        <v>150000</v>
      </c>
      <c r="G257" s="37" t="str">
        <f>IF(G216="","",G216)</f>
        <v/>
      </c>
      <c r="H257" s="37" t="str">
        <f>IF(H216="","",H216)</f>
        <v/>
      </c>
      <c r="I257" s="16" t="str">
        <f>IF(B257="","",SUM(E257:H257))</f>
        <v/>
      </c>
      <c r="J257" s="38" t="str">
        <f t="shared" ref="J257:L258" si="49">IF(J216="","",J216)</f>
        <v>PTT</v>
      </c>
      <c r="K257" s="38">
        <f t="shared" si="49"/>
        <v>1</v>
      </c>
      <c r="L257" s="38" t="str">
        <f t="shared" si="49"/>
        <v>Bulan</v>
      </c>
      <c r="M257" s="17" t="str">
        <f>IFERROR(I257*0/100,"")</f>
        <v/>
      </c>
      <c r="N257" s="16" t="str">
        <f>IFERROR(SUM(I257*K257)-M257,"")</f>
        <v/>
      </c>
      <c r="O257" s="54">
        <v>1</v>
      </c>
      <c r="P257" s="56">
        <v>2</v>
      </c>
    </row>
    <row r="258" spans="1:19" ht="24" customHeight="1">
      <c r="A258" s="11">
        <v>2</v>
      </c>
      <c r="B258" s="12"/>
      <c r="C258" s="13"/>
      <c r="D258" s="32"/>
      <c r="E258" s="37"/>
      <c r="F258" s="37"/>
      <c r="G258" s="37"/>
      <c r="H258" s="37"/>
      <c r="I258" s="16"/>
      <c r="J258" s="38" t="str">
        <f t="shared" si="49"/>
        <v/>
      </c>
      <c r="K258" s="38" t="str">
        <f t="shared" si="49"/>
        <v/>
      </c>
      <c r="L258" s="38" t="str">
        <f t="shared" si="49"/>
        <v/>
      </c>
      <c r="M258" s="17">
        <f t="shared" ref="M258:M262" si="50">IFERROR(I258*0/100,"")</f>
        <v>0</v>
      </c>
      <c r="N258" s="16" t="str">
        <f t="shared" ref="N258:N262" si="51">IFERROR(SUM(I258*K258)-M258,"")</f>
        <v/>
      </c>
      <c r="O258" s="55"/>
      <c r="P258" s="57"/>
    </row>
    <row r="259" spans="1:19" ht="24" hidden="1" customHeight="1">
      <c r="A259" s="11">
        <v>3</v>
      </c>
      <c r="B259" s="12"/>
      <c r="C259" s="13"/>
      <c r="D259" s="32"/>
      <c r="E259" s="37"/>
      <c r="F259" s="37"/>
      <c r="G259" s="37"/>
      <c r="H259" s="37"/>
      <c r="I259" s="16"/>
      <c r="J259" s="38"/>
      <c r="K259" s="38"/>
      <c r="L259" s="38"/>
      <c r="M259" s="17">
        <f t="shared" si="50"/>
        <v>0</v>
      </c>
      <c r="N259" s="16">
        <f t="shared" si="51"/>
        <v>0</v>
      </c>
      <c r="O259" s="54">
        <v>3</v>
      </c>
      <c r="P259" s="56">
        <v>4</v>
      </c>
    </row>
    <row r="260" spans="1:19" ht="24" hidden="1" customHeight="1">
      <c r="A260" s="11">
        <v>4</v>
      </c>
      <c r="B260" s="12"/>
      <c r="C260" s="13"/>
      <c r="D260" s="32"/>
      <c r="E260" s="37"/>
      <c r="F260" s="37"/>
      <c r="G260" s="37"/>
      <c r="H260" s="37"/>
      <c r="I260" s="16" t="str">
        <f t="shared" ref="I260:I262" si="52">IF(B260="","",SUM(E260:H260))</f>
        <v/>
      </c>
      <c r="J260" s="38"/>
      <c r="K260" s="38"/>
      <c r="L260" s="38"/>
      <c r="M260" s="17" t="str">
        <f t="shared" si="50"/>
        <v/>
      </c>
      <c r="N260" s="16" t="str">
        <f t="shared" si="51"/>
        <v/>
      </c>
      <c r="O260" s="55"/>
      <c r="P260" s="57"/>
    </row>
    <row r="261" spans="1:19" ht="24" hidden="1" customHeight="1">
      <c r="A261" s="11">
        <v>5</v>
      </c>
      <c r="B261" s="12" t="str">
        <f>IF(B220="","",B220)</f>
        <v/>
      </c>
      <c r="C261" s="13"/>
      <c r="D261" s="32" t="str">
        <f t="shared" ref="D261:H262" si="53">IF(D220="","",D220)</f>
        <v/>
      </c>
      <c r="E261" s="37" t="str">
        <f t="shared" si="53"/>
        <v/>
      </c>
      <c r="F261" s="37" t="str">
        <f t="shared" si="53"/>
        <v/>
      </c>
      <c r="G261" s="37" t="str">
        <f t="shared" si="53"/>
        <v/>
      </c>
      <c r="H261" s="37" t="str">
        <f t="shared" si="53"/>
        <v/>
      </c>
      <c r="I261" s="16" t="str">
        <f t="shared" si="52"/>
        <v/>
      </c>
      <c r="J261" s="38" t="str">
        <f t="shared" ref="J261:L262" si="54">IF(J220="","",J220)</f>
        <v/>
      </c>
      <c r="K261" s="38" t="str">
        <f t="shared" si="54"/>
        <v/>
      </c>
      <c r="L261" s="38" t="str">
        <f t="shared" si="54"/>
        <v/>
      </c>
      <c r="M261" s="17" t="str">
        <f t="shared" si="50"/>
        <v/>
      </c>
      <c r="N261" s="16" t="str">
        <f t="shared" si="51"/>
        <v/>
      </c>
      <c r="O261" s="58">
        <v>5</v>
      </c>
      <c r="P261" s="59">
        <v>6</v>
      </c>
    </row>
    <row r="262" spans="1:19" ht="24" hidden="1" customHeight="1">
      <c r="A262" s="11">
        <v>6</v>
      </c>
      <c r="B262" s="12" t="str">
        <f>IF(B221="","",B221)</f>
        <v/>
      </c>
      <c r="C262" s="13"/>
      <c r="D262" s="32" t="str">
        <f t="shared" si="53"/>
        <v/>
      </c>
      <c r="E262" s="37" t="str">
        <f t="shared" si="53"/>
        <v/>
      </c>
      <c r="F262" s="37" t="str">
        <f t="shared" si="53"/>
        <v/>
      </c>
      <c r="G262" s="37" t="str">
        <f t="shared" si="53"/>
        <v/>
      </c>
      <c r="H262" s="37" t="str">
        <f t="shared" si="53"/>
        <v/>
      </c>
      <c r="I262" s="16" t="str">
        <f t="shared" si="52"/>
        <v/>
      </c>
      <c r="J262" s="38" t="str">
        <f t="shared" si="54"/>
        <v/>
      </c>
      <c r="K262" s="38" t="str">
        <f t="shared" si="54"/>
        <v/>
      </c>
      <c r="L262" s="38" t="str">
        <f t="shared" si="54"/>
        <v/>
      </c>
      <c r="M262" s="17" t="str">
        <f t="shared" si="50"/>
        <v/>
      </c>
      <c r="N262" s="16" t="str">
        <f t="shared" si="51"/>
        <v/>
      </c>
      <c r="O262" s="58"/>
      <c r="P262" s="59"/>
    </row>
    <row r="263" spans="1:19" s="21" customFormat="1" ht="22.5" customHeight="1">
      <c r="A263" s="60" t="s">
        <v>20</v>
      </c>
      <c r="B263" s="61"/>
      <c r="C263" s="61"/>
      <c r="D263" s="61"/>
      <c r="E263" s="61"/>
      <c r="F263" s="61"/>
      <c r="G263" s="61"/>
      <c r="H263" s="36"/>
      <c r="I263" s="18">
        <f>SUM(I257:I262)</f>
        <v>0</v>
      </c>
      <c r="J263" s="36"/>
      <c r="K263" s="36"/>
      <c r="L263" s="36"/>
      <c r="M263" s="19">
        <f>SUM(M257:M262)</f>
        <v>0</v>
      </c>
      <c r="N263" s="18">
        <f>SUM(N257:N262)</f>
        <v>0</v>
      </c>
      <c r="O263" s="20"/>
      <c r="P263" s="20"/>
      <c r="S263" s="22"/>
    </row>
    <row r="264" spans="1:19" ht="23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N264" s="23"/>
    </row>
    <row r="265" spans="1:19" ht="17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O265" s="24" t="str">
        <f>Honor_guru!P234</f>
        <v>Cikalongwetan, 01 Juli 2025</v>
      </c>
    </row>
    <row r="266" spans="1:19" ht="18" customHeight="1">
      <c r="A266" s="8"/>
      <c r="C266" s="24" t="s">
        <v>21</v>
      </c>
      <c r="D266" s="24"/>
      <c r="E266" s="24"/>
      <c r="F266" s="24"/>
      <c r="G266" s="24"/>
      <c r="H266" s="24"/>
      <c r="I266" s="24"/>
      <c r="J266" s="24"/>
      <c r="K266" s="24"/>
      <c r="L266" s="8"/>
      <c r="O266" s="24" t="str">
        <f>Honor_guru!P235</f>
        <v>Dibayar Lunas Tgl. 11 Agustus 2025</v>
      </c>
    </row>
    <row r="267" spans="1:19">
      <c r="A267" s="8"/>
      <c r="C267" s="24" t="s">
        <v>22</v>
      </c>
      <c r="D267" s="24"/>
      <c r="E267" s="24"/>
      <c r="F267" s="24"/>
      <c r="G267" s="24"/>
      <c r="H267" s="24"/>
      <c r="I267" s="24"/>
      <c r="J267" s="24"/>
      <c r="K267" s="24"/>
      <c r="L267" s="8"/>
      <c r="O267" s="24" t="s">
        <v>23</v>
      </c>
    </row>
    <row r="268" spans="1:19">
      <c r="A268" s="8"/>
      <c r="C268" s="24"/>
      <c r="D268" s="24"/>
      <c r="E268" s="24"/>
      <c r="F268" s="24"/>
      <c r="G268" s="24"/>
      <c r="H268" s="24"/>
      <c r="I268" s="24"/>
      <c r="J268" s="24"/>
      <c r="K268" s="24"/>
      <c r="L268" s="8"/>
      <c r="O268" s="25"/>
      <c r="S268" s="26"/>
    </row>
    <row r="269" spans="1:19">
      <c r="A269" s="8"/>
      <c r="C269" s="24"/>
      <c r="D269" s="24"/>
      <c r="E269" s="24"/>
      <c r="F269" s="24"/>
      <c r="G269" s="24"/>
      <c r="H269" s="24"/>
      <c r="I269" s="24"/>
      <c r="J269" s="24"/>
      <c r="K269" s="24"/>
      <c r="L269" s="8"/>
      <c r="O269" s="25"/>
    </row>
    <row r="270" spans="1:19">
      <c r="A270" s="8"/>
      <c r="C270" s="24"/>
      <c r="D270" s="24"/>
      <c r="E270" s="24"/>
      <c r="F270" s="24"/>
      <c r="G270" s="24"/>
      <c r="H270" s="24"/>
      <c r="I270" s="24"/>
      <c r="J270" s="24"/>
      <c r="K270" s="24"/>
      <c r="L270" s="8"/>
      <c r="O270" s="25"/>
    </row>
    <row r="271" spans="1:19">
      <c r="A271" s="8"/>
      <c r="C271" s="24"/>
      <c r="D271" s="24"/>
      <c r="E271" s="24"/>
      <c r="F271" s="24"/>
      <c r="G271" s="24"/>
      <c r="H271" s="24"/>
      <c r="I271" s="24"/>
      <c r="J271" s="24"/>
      <c r="K271" s="24"/>
      <c r="L271" s="8"/>
      <c r="O271" s="25"/>
    </row>
    <row r="272" spans="1:19">
      <c r="A272" s="8"/>
      <c r="C272" s="24"/>
      <c r="D272" s="24"/>
      <c r="E272" s="24"/>
      <c r="F272" s="24"/>
      <c r="G272" s="24"/>
      <c r="H272" s="24"/>
      <c r="I272" s="24"/>
      <c r="J272" s="24"/>
      <c r="K272" s="24"/>
      <c r="L272" s="8"/>
      <c r="O272" s="25"/>
    </row>
    <row r="273" spans="1:16" ht="15" customHeight="1">
      <c r="A273" s="8"/>
      <c r="C273" s="27" t="str">
        <f>IF(C232="","",C232)</f>
        <v>BADRUDDIN, S.Ag.</v>
      </c>
      <c r="D273" s="28"/>
      <c r="E273" s="28"/>
      <c r="F273" s="28"/>
      <c r="G273" s="28"/>
      <c r="H273" s="28"/>
      <c r="I273" s="28"/>
      <c r="J273" s="28"/>
      <c r="K273" s="8"/>
      <c r="L273" s="8"/>
      <c r="O273" s="27" t="s">
        <v>76</v>
      </c>
    </row>
    <row r="274" spans="1:16" ht="15" customHeight="1">
      <c r="A274" s="8"/>
      <c r="C274" s="27" t="str">
        <f>IF(C233="","",C233)</f>
        <v>NIP. 197405082014121002</v>
      </c>
      <c r="D274" s="28"/>
      <c r="E274" s="28"/>
      <c r="F274" s="28"/>
      <c r="G274" s="28"/>
      <c r="H274" s="28"/>
      <c r="I274" s="28"/>
      <c r="J274" s="28"/>
      <c r="K274" s="8"/>
      <c r="L274" s="8"/>
      <c r="O274" s="27" t="s">
        <v>77</v>
      </c>
    </row>
    <row r="288" spans="1:16" ht="17.25" customHeight="1">
      <c r="A288" s="64" t="str">
        <f>$A$1</f>
        <v>DAFTAR PENERIMA HONORARIUM/GAJI TENAGA ADMINISTRASI SEKOLAH TIDAK TETAP (PEMBAYARAN NON TUNAI)</v>
      </c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</row>
    <row r="289" spans="1:19" ht="17.25" customHeight="1">
      <c r="A289" s="64" t="str">
        <f>Honor_guru!A257</f>
        <v>BULAN AGUSTUS 2025</v>
      </c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</row>
    <row r="290" spans="1:19" ht="1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9" ht="15" customHeight="1">
      <c r="C291" s="4" t="s">
        <v>0</v>
      </c>
      <c r="D291" s="5" t="s">
        <v>1</v>
      </c>
      <c r="E291" s="5"/>
      <c r="F291" s="5"/>
      <c r="G291" s="5"/>
      <c r="H291" s="5"/>
      <c r="I291" s="5"/>
      <c r="K291" s="6"/>
      <c r="L291" s="7"/>
      <c r="M291" s="4" t="s">
        <v>26</v>
      </c>
      <c r="N291" s="4" t="str">
        <f>N250</f>
        <v>: 07 Pengembangan Standar Pembiayaan</v>
      </c>
      <c r="O291" s="3"/>
    </row>
    <row r="292" spans="1:19" ht="15" customHeight="1">
      <c r="C292" s="4" t="s">
        <v>2</v>
      </c>
      <c r="D292" s="4" t="str">
        <f>D251</f>
        <v>: SD NEGERI LEBAKLEUNGSIR</v>
      </c>
      <c r="E292" s="4"/>
      <c r="F292" s="4"/>
      <c r="G292" s="4"/>
      <c r="H292" s="4"/>
      <c r="I292" s="4"/>
      <c r="K292" s="6"/>
      <c r="M292" s="4" t="s">
        <v>27</v>
      </c>
      <c r="N292" s="4" t="str">
        <f>N251</f>
        <v>: Pembayaran Honor Tenaga Kependidikan</v>
      </c>
      <c r="O292" s="3"/>
    </row>
    <row r="293" spans="1:19" ht="15" customHeight="1">
      <c r="C293" s="4" t="s">
        <v>3</v>
      </c>
      <c r="D293" s="4" t="str">
        <f>D252</f>
        <v>: Cikalongwetan</v>
      </c>
      <c r="E293" s="4"/>
      <c r="F293" s="4"/>
      <c r="G293" s="4"/>
      <c r="H293" s="4"/>
      <c r="I293" s="4"/>
      <c r="K293" s="6"/>
      <c r="M293" s="8" t="s">
        <v>28</v>
      </c>
      <c r="N293" s="4" t="str">
        <f>N252</f>
        <v>: 5.1.02.02.01.0013</v>
      </c>
      <c r="O293" s="3"/>
    </row>
    <row r="294" spans="1:19" ht="15" customHeight="1">
      <c r="C294" s="4" t="s">
        <v>5</v>
      </c>
      <c r="D294" s="4" t="str">
        <f>D253</f>
        <v>: Bandung Barat</v>
      </c>
      <c r="E294" s="4"/>
      <c r="F294" s="4"/>
      <c r="G294" s="4"/>
      <c r="H294" s="4"/>
      <c r="I294" s="4"/>
      <c r="K294" s="6"/>
      <c r="M294" s="4" t="s">
        <v>7</v>
      </c>
      <c r="N294" s="4" t="str">
        <f>N253</f>
        <v>: 12</v>
      </c>
      <c r="O294" s="3"/>
      <c r="P294" s="8"/>
    </row>
    <row r="295" spans="1:19" ht="15" customHeight="1">
      <c r="M295" s="8"/>
      <c r="N295" s="8"/>
      <c r="O295" s="8"/>
    </row>
    <row r="296" spans="1:19" ht="18.5" customHeight="1">
      <c r="A296" s="62" t="s">
        <v>8</v>
      </c>
      <c r="B296" s="65" t="s">
        <v>9</v>
      </c>
      <c r="C296" s="66"/>
      <c r="D296" s="62" t="s">
        <v>10</v>
      </c>
      <c r="E296" s="69" t="s">
        <v>72</v>
      </c>
      <c r="F296" s="70"/>
      <c r="G296" s="70"/>
      <c r="H296" s="71"/>
      <c r="I296" s="72" t="s">
        <v>14</v>
      </c>
      <c r="J296" s="72" t="s">
        <v>11</v>
      </c>
      <c r="K296" s="65" t="s">
        <v>12</v>
      </c>
      <c r="L296" s="66"/>
      <c r="M296" s="74" t="s">
        <v>31</v>
      </c>
      <c r="N296" s="72" t="s">
        <v>16</v>
      </c>
      <c r="O296" s="65" t="s">
        <v>17</v>
      </c>
      <c r="P296" s="66"/>
    </row>
    <row r="297" spans="1:19" ht="34" customHeight="1">
      <c r="A297" s="63"/>
      <c r="B297" s="67"/>
      <c r="C297" s="68"/>
      <c r="D297" s="63"/>
      <c r="E297" s="35" t="str">
        <f>IF(E256="","",E256)</f>
        <v>TAS/ Operator</v>
      </c>
      <c r="F297" s="35" t="str">
        <f t="shared" ref="F297:H297" si="55">IF(F256="","",F256)</f>
        <v>Guru</v>
      </c>
      <c r="G297" s="35" t="str">
        <f t="shared" si="55"/>
        <v>Pembina Ekskul</v>
      </c>
      <c r="H297" s="39" t="str">
        <f t="shared" si="55"/>
        <v>Tenaga Perpustakaan</v>
      </c>
      <c r="I297" s="73"/>
      <c r="J297" s="73"/>
      <c r="K297" s="67"/>
      <c r="L297" s="68"/>
      <c r="M297" s="75"/>
      <c r="N297" s="73"/>
      <c r="O297" s="67"/>
      <c r="P297" s="68"/>
    </row>
    <row r="298" spans="1:19" ht="24" customHeight="1">
      <c r="A298" s="11">
        <v>1</v>
      </c>
      <c r="B298" s="12" t="str">
        <f t="shared" ref="B298:B303" si="56">IF(B257="","",B257)</f>
        <v/>
      </c>
      <c r="C298" s="13"/>
      <c r="D298" s="32" t="str">
        <f t="shared" ref="D298:D303" si="57">IF(D257="","",D257)</f>
        <v/>
      </c>
      <c r="E298" s="37">
        <f>IF(E257="","",E257)</f>
        <v>400000</v>
      </c>
      <c r="F298" s="37">
        <f>IF(F257="","",F257)</f>
        <v>150000</v>
      </c>
      <c r="G298" s="37" t="str">
        <f>IF(G257="","",G257)</f>
        <v/>
      </c>
      <c r="H298" s="37" t="str">
        <f>IF(H257="","",H257)</f>
        <v/>
      </c>
      <c r="I298" s="16" t="str">
        <f>IF(B298="","",SUM(E298:H298))</f>
        <v/>
      </c>
      <c r="J298" s="38" t="str">
        <f t="shared" ref="J298:L303" si="58">IF(J257="","",J257)</f>
        <v>PTT</v>
      </c>
      <c r="K298" s="38">
        <f t="shared" si="58"/>
        <v>1</v>
      </c>
      <c r="L298" s="38" t="str">
        <f t="shared" si="58"/>
        <v>Bulan</v>
      </c>
      <c r="M298" s="17" t="str">
        <f>IFERROR(I298*0/100,"")</f>
        <v/>
      </c>
      <c r="N298" s="16" t="str">
        <f>IFERROR(SUM(I298*K298)-M298,"")</f>
        <v/>
      </c>
      <c r="O298" s="54">
        <v>1</v>
      </c>
      <c r="P298" s="56">
        <v>2</v>
      </c>
    </row>
    <row r="299" spans="1:19" ht="24" customHeight="1">
      <c r="A299" s="11">
        <v>2</v>
      </c>
      <c r="B299" s="12" t="str">
        <f t="shared" si="56"/>
        <v/>
      </c>
      <c r="C299" s="13"/>
      <c r="D299" s="32" t="str">
        <f t="shared" si="57"/>
        <v/>
      </c>
      <c r="E299" s="37" t="str">
        <f t="shared" ref="E299:H299" si="59">IF(E258="","",E258)</f>
        <v/>
      </c>
      <c r="F299" s="37" t="str">
        <f t="shared" si="59"/>
        <v/>
      </c>
      <c r="G299" s="37" t="str">
        <f t="shared" si="59"/>
        <v/>
      </c>
      <c r="H299" s="37" t="str">
        <f t="shared" si="59"/>
        <v/>
      </c>
      <c r="I299" s="16" t="str">
        <f t="shared" ref="I299:I303" si="60">IF(B299="","",SUM(E299:H299))</f>
        <v/>
      </c>
      <c r="J299" s="38" t="str">
        <f t="shared" si="58"/>
        <v/>
      </c>
      <c r="K299" s="38" t="str">
        <f t="shared" si="58"/>
        <v/>
      </c>
      <c r="L299" s="38" t="str">
        <f t="shared" si="58"/>
        <v/>
      </c>
      <c r="M299" s="17" t="str">
        <f t="shared" ref="M299:M303" si="61">IFERROR(I299*0/100,"")</f>
        <v/>
      </c>
      <c r="N299" s="16" t="str">
        <f t="shared" ref="N299:N303" si="62">IFERROR(SUM(I299*K299)-M299,"")</f>
        <v/>
      </c>
      <c r="O299" s="55"/>
      <c r="P299" s="57"/>
    </row>
    <row r="300" spans="1:19" ht="24" hidden="1" customHeight="1">
      <c r="A300" s="11">
        <v>3</v>
      </c>
      <c r="B300" s="12" t="str">
        <f t="shared" si="56"/>
        <v/>
      </c>
      <c r="C300" s="13"/>
      <c r="D300" s="32" t="str">
        <f t="shared" si="57"/>
        <v/>
      </c>
      <c r="E300" s="37" t="str">
        <f>IF(E259="","",E259)</f>
        <v/>
      </c>
      <c r="F300" s="37" t="s">
        <v>34</v>
      </c>
      <c r="G300" s="37" t="s">
        <v>34</v>
      </c>
      <c r="H300" s="37" t="str">
        <f>IF(H259="","",H259)</f>
        <v/>
      </c>
      <c r="I300" s="16" t="str">
        <f t="shared" si="60"/>
        <v/>
      </c>
      <c r="J300" s="38" t="str">
        <f t="shared" si="58"/>
        <v/>
      </c>
      <c r="K300" s="38" t="str">
        <f t="shared" si="58"/>
        <v/>
      </c>
      <c r="L300" s="38" t="str">
        <f t="shared" si="58"/>
        <v/>
      </c>
      <c r="M300" s="17" t="str">
        <f t="shared" si="61"/>
        <v/>
      </c>
      <c r="N300" s="16" t="str">
        <f t="shared" si="62"/>
        <v/>
      </c>
      <c r="O300" s="54">
        <v>3</v>
      </c>
      <c r="P300" s="56">
        <v>4</v>
      </c>
    </row>
    <row r="301" spans="1:19" ht="24" hidden="1" customHeight="1">
      <c r="A301" s="11">
        <v>4</v>
      </c>
      <c r="B301" s="12" t="str">
        <f t="shared" si="56"/>
        <v/>
      </c>
      <c r="C301" s="13"/>
      <c r="D301" s="32" t="str">
        <f t="shared" si="57"/>
        <v/>
      </c>
      <c r="E301" s="37" t="str">
        <f>IF(E260="","",E260)</f>
        <v/>
      </c>
      <c r="F301" s="37" t="str">
        <f t="shared" ref="F301:G303" si="63">IF(F260="","",F260)</f>
        <v/>
      </c>
      <c r="G301" s="37" t="str">
        <f t="shared" si="63"/>
        <v/>
      </c>
      <c r="H301" s="37" t="str">
        <f>IF(H260="","",H260)</f>
        <v/>
      </c>
      <c r="I301" s="16" t="str">
        <f t="shared" si="60"/>
        <v/>
      </c>
      <c r="J301" s="38" t="str">
        <f t="shared" si="58"/>
        <v/>
      </c>
      <c r="K301" s="38" t="str">
        <f t="shared" si="58"/>
        <v/>
      </c>
      <c r="L301" s="38" t="str">
        <f t="shared" si="58"/>
        <v/>
      </c>
      <c r="M301" s="17" t="str">
        <f t="shared" si="61"/>
        <v/>
      </c>
      <c r="N301" s="16" t="str">
        <f t="shared" si="62"/>
        <v/>
      </c>
      <c r="O301" s="55"/>
      <c r="P301" s="57"/>
    </row>
    <row r="302" spans="1:19" ht="24" hidden="1" customHeight="1">
      <c r="A302" s="11">
        <v>5</v>
      </c>
      <c r="B302" s="12" t="str">
        <f t="shared" si="56"/>
        <v/>
      </c>
      <c r="C302" s="13"/>
      <c r="D302" s="32" t="str">
        <f t="shared" si="57"/>
        <v/>
      </c>
      <c r="E302" s="37" t="str">
        <f>IF(E261="","",E261)</f>
        <v/>
      </c>
      <c r="F302" s="37" t="str">
        <f t="shared" si="63"/>
        <v/>
      </c>
      <c r="G302" s="37" t="str">
        <f t="shared" si="63"/>
        <v/>
      </c>
      <c r="H302" s="37" t="str">
        <f>IF(H261="","",H261)</f>
        <v/>
      </c>
      <c r="I302" s="16" t="str">
        <f t="shared" si="60"/>
        <v/>
      </c>
      <c r="J302" s="38" t="str">
        <f t="shared" si="58"/>
        <v/>
      </c>
      <c r="K302" s="38" t="str">
        <f t="shared" si="58"/>
        <v/>
      </c>
      <c r="L302" s="38" t="str">
        <f t="shared" si="58"/>
        <v/>
      </c>
      <c r="M302" s="17" t="str">
        <f t="shared" si="61"/>
        <v/>
      </c>
      <c r="N302" s="16" t="str">
        <f t="shared" si="62"/>
        <v/>
      </c>
      <c r="O302" s="58">
        <v>5</v>
      </c>
      <c r="P302" s="59">
        <v>6</v>
      </c>
    </row>
    <row r="303" spans="1:19" ht="24" hidden="1" customHeight="1">
      <c r="A303" s="11">
        <v>6</v>
      </c>
      <c r="B303" s="12" t="str">
        <f t="shared" si="56"/>
        <v/>
      </c>
      <c r="C303" s="13"/>
      <c r="D303" s="32" t="str">
        <f t="shared" si="57"/>
        <v/>
      </c>
      <c r="E303" s="37" t="str">
        <f>IF(E262="","",E262)</f>
        <v/>
      </c>
      <c r="F303" s="37" t="str">
        <f t="shared" si="63"/>
        <v/>
      </c>
      <c r="G303" s="37" t="str">
        <f t="shared" si="63"/>
        <v/>
      </c>
      <c r="H303" s="37" t="str">
        <f>IF(H262="","",H262)</f>
        <v/>
      </c>
      <c r="I303" s="16" t="str">
        <f t="shared" si="60"/>
        <v/>
      </c>
      <c r="J303" s="38" t="str">
        <f t="shared" si="58"/>
        <v/>
      </c>
      <c r="K303" s="38" t="str">
        <f t="shared" si="58"/>
        <v/>
      </c>
      <c r="L303" s="38" t="str">
        <f t="shared" si="58"/>
        <v/>
      </c>
      <c r="M303" s="17" t="str">
        <f t="shared" si="61"/>
        <v/>
      </c>
      <c r="N303" s="16" t="str">
        <f t="shared" si="62"/>
        <v/>
      </c>
      <c r="O303" s="58"/>
      <c r="P303" s="59"/>
    </row>
    <row r="304" spans="1:19" s="21" customFormat="1" ht="22.5" customHeight="1">
      <c r="A304" s="60" t="s">
        <v>20</v>
      </c>
      <c r="B304" s="61"/>
      <c r="C304" s="61"/>
      <c r="D304" s="61"/>
      <c r="E304" s="61"/>
      <c r="F304" s="61"/>
      <c r="G304" s="61"/>
      <c r="H304" s="36"/>
      <c r="I304" s="18">
        <f>SUM(I298:I303)</f>
        <v>0</v>
      </c>
      <c r="J304" s="36"/>
      <c r="K304" s="36"/>
      <c r="L304" s="36"/>
      <c r="M304" s="19">
        <f>SUM(M298:M303)</f>
        <v>0</v>
      </c>
      <c r="N304" s="18">
        <f>SUM(N298:N303)</f>
        <v>0</v>
      </c>
      <c r="O304" s="20"/>
      <c r="P304" s="20"/>
      <c r="S304" s="22"/>
    </row>
    <row r="305" spans="1:19" ht="23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N305" s="23"/>
    </row>
    <row r="306" spans="1:19" ht="17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O306" s="24" t="str">
        <f>Honor_guru!P274</f>
        <v>Cikalongwetan, 01 Agustus 2025</v>
      </c>
    </row>
    <row r="307" spans="1:19" ht="18" customHeight="1">
      <c r="A307" s="8"/>
      <c r="C307" s="24" t="s">
        <v>21</v>
      </c>
      <c r="D307" s="24"/>
      <c r="E307" s="24"/>
      <c r="F307" s="24"/>
      <c r="G307" s="24"/>
      <c r="H307" s="24"/>
      <c r="I307" s="24"/>
      <c r="J307" s="24"/>
      <c r="K307" s="24"/>
      <c r="L307" s="8"/>
      <c r="O307" s="24" t="str">
        <f>Honor_guru!P275</f>
        <v>Dibayar Lunas Tgl. 11 Agustus 2025</v>
      </c>
    </row>
    <row r="308" spans="1:19">
      <c r="A308" s="8"/>
      <c r="C308" s="24" t="s">
        <v>22</v>
      </c>
      <c r="D308" s="24"/>
      <c r="E308" s="24"/>
      <c r="F308" s="24"/>
      <c r="G308" s="24"/>
      <c r="H308" s="24"/>
      <c r="I308" s="24"/>
      <c r="J308" s="24"/>
      <c r="K308" s="24"/>
      <c r="L308" s="8"/>
      <c r="O308" s="24" t="s">
        <v>23</v>
      </c>
    </row>
    <row r="309" spans="1:19">
      <c r="A309" s="8"/>
      <c r="C309" s="24"/>
      <c r="D309" s="24"/>
      <c r="E309" s="24"/>
      <c r="F309" s="24"/>
      <c r="G309" s="24"/>
      <c r="H309" s="24"/>
      <c r="I309" s="24"/>
      <c r="J309" s="24"/>
      <c r="K309" s="24"/>
      <c r="L309" s="8"/>
      <c r="O309" s="25"/>
      <c r="S309" s="26"/>
    </row>
    <row r="310" spans="1:19">
      <c r="A310" s="8"/>
      <c r="C310" s="24"/>
      <c r="D310" s="24"/>
      <c r="E310" s="24"/>
      <c r="F310" s="24"/>
      <c r="G310" s="24"/>
      <c r="H310" s="24"/>
      <c r="I310" s="24"/>
      <c r="J310" s="24"/>
      <c r="K310" s="24"/>
      <c r="L310" s="8"/>
      <c r="O310" s="25"/>
    </row>
    <row r="311" spans="1:19">
      <c r="A311" s="8"/>
      <c r="C311" s="24"/>
      <c r="D311" s="24"/>
      <c r="E311" s="24"/>
      <c r="F311" s="24"/>
      <c r="G311" s="24"/>
      <c r="H311" s="24"/>
      <c r="I311" s="24"/>
      <c r="J311" s="24"/>
      <c r="K311" s="24"/>
      <c r="L311" s="8"/>
      <c r="O311" s="25"/>
    </row>
    <row r="312" spans="1:19">
      <c r="A312" s="8"/>
      <c r="C312" s="24"/>
      <c r="D312" s="24"/>
      <c r="E312" s="24"/>
      <c r="F312" s="24"/>
      <c r="G312" s="24"/>
      <c r="H312" s="24"/>
      <c r="I312" s="24"/>
      <c r="J312" s="24"/>
      <c r="K312" s="24"/>
      <c r="L312" s="8"/>
      <c r="O312" s="25"/>
    </row>
    <row r="313" spans="1:19">
      <c r="A313" s="8"/>
      <c r="C313" s="24"/>
      <c r="D313" s="24"/>
      <c r="E313" s="24"/>
      <c r="F313" s="24"/>
      <c r="G313" s="24"/>
      <c r="H313" s="24"/>
      <c r="I313" s="24"/>
      <c r="J313" s="24"/>
      <c r="K313" s="24"/>
      <c r="L313" s="8"/>
      <c r="O313" s="25"/>
    </row>
    <row r="314" spans="1:19" ht="15" customHeight="1">
      <c r="A314" s="8"/>
      <c r="C314" s="27" t="str">
        <f>IF(C273="","",C273)</f>
        <v>BADRUDDIN, S.Ag.</v>
      </c>
      <c r="D314" s="28"/>
      <c r="E314" s="28"/>
      <c r="F314" s="28"/>
      <c r="G314" s="28"/>
      <c r="H314" s="28"/>
      <c r="I314" s="28"/>
      <c r="J314" s="28"/>
      <c r="K314" s="8"/>
      <c r="L314" s="8"/>
      <c r="O314" s="27" t="s">
        <v>76</v>
      </c>
    </row>
    <row r="315" spans="1:19" ht="15" customHeight="1">
      <c r="A315" s="8"/>
      <c r="C315" s="27" t="str">
        <f>IF(C274="","",C274)</f>
        <v>NIP. 197405082014121002</v>
      </c>
      <c r="D315" s="28"/>
      <c r="E315" s="28"/>
      <c r="F315" s="28"/>
      <c r="G315" s="28"/>
      <c r="H315" s="28"/>
      <c r="I315" s="28"/>
      <c r="J315" s="28"/>
      <c r="K315" s="8"/>
      <c r="L315" s="8"/>
      <c r="O315" s="27" t="s">
        <v>77</v>
      </c>
    </row>
    <row r="329" spans="1:16" ht="17.25" customHeight="1">
      <c r="A329" s="64" t="str">
        <f>$A$1</f>
        <v>DAFTAR PENERIMA HONORARIUM/GAJI TENAGA ADMINISTRASI SEKOLAH TIDAK TETAP (PEMBAYARAN NON TUNAI)</v>
      </c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</row>
    <row r="330" spans="1:16" ht="17.25" customHeight="1">
      <c r="A330" s="64" t="s">
        <v>78</v>
      </c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</row>
    <row r="331" spans="1:16" ht="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5" customHeight="1">
      <c r="C332" s="4" t="s">
        <v>0</v>
      </c>
      <c r="D332" s="5" t="s">
        <v>1</v>
      </c>
      <c r="E332" s="5"/>
      <c r="F332" s="5"/>
      <c r="G332" s="5"/>
      <c r="H332" s="5"/>
      <c r="I332" s="5"/>
      <c r="K332" s="6"/>
      <c r="L332" s="7"/>
      <c r="M332" s="4" t="s">
        <v>26</v>
      </c>
      <c r="N332" s="4" t="str">
        <f>N291</f>
        <v>: 07 Pengembangan Standar Pembiayaan</v>
      </c>
      <c r="O332" s="3"/>
    </row>
    <row r="333" spans="1:16" ht="15" customHeight="1">
      <c r="C333" s="4" t="s">
        <v>2</v>
      </c>
      <c r="D333" s="4" t="str">
        <f>D292</f>
        <v>: SD NEGERI LEBAKLEUNGSIR</v>
      </c>
      <c r="E333" s="4"/>
      <c r="F333" s="4"/>
      <c r="G333" s="4"/>
      <c r="H333" s="4"/>
      <c r="I333" s="4"/>
      <c r="K333" s="6"/>
      <c r="M333" s="4" t="s">
        <v>27</v>
      </c>
      <c r="N333" s="4" t="str">
        <f>N292</f>
        <v>: Pembayaran Honor Tenaga Kependidikan</v>
      </c>
      <c r="O333" s="3"/>
    </row>
    <row r="334" spans="1:16" ht="15" customHeight="1">
      <c r="C334" s="4" t="s">
        <v>3</v>
      </c>
      <c r="D334" s="4" t="str">
        <f>D293</f>
        <v>: Cikalongwetan</v>
      </c>
      <c r="E334" s="4"/>
      <c r="F334" s="4"/>
      <c r="G334" s="4"/>
      <c r="H334" s="4"/>
      <c r="I334" s="4"/>
      <c r="K334" s="6"/>
      <c r="M334" s="8" t="s">
        <v>28</v>
      </c>
      <c r="N334" s="4" t="str">
        <f>N293</f>
        <v>: 5.1.02.02.01.0013</v>
      </c>
      <c r="O334" s="3"/>
    </row>
    <row r="335" spans="1:16" ht="15" customHeight="1">
      <c r="C335" s="4" t="s">
        <v>5</v>
      </c>
      <c r="D335" s="4" t="str">
        <f>D294</f>
        <v>: Bandung Barat</v>
      </c>
      <c r="E335" s="4"/>
      <c r="F335" s="4"/>
      <c r="G335" s="4"/>
      <c r="H335" s="4"/>
      <c r="I335" s="4"/>
      <c r="K335" s="6"/>
      <c r="M335" s="4" t="s">
        <v>7</v>
      </c>
      <c r="N335" s="4" t="str">
        <f>N294</f>
        <v>: 12</v>
      </c>
      <c r="O335" s="3"/>
      <c r="P335" s="8"/>
    </row>
    <row r="336" spans="1:16" ht="15" customHeight="1">
      <c r="M336" s="8"/>
      <c r="N336" s="8"/>
      <c r="O336" s="8"/>
    </row>
    <row r="337" spans="1:19" ht="18.5" customHeight="1">
      <c r="A337" s="62" t="s">
        <v>8</v>
      </c>
      <c r="B337" s="65" t="s">
        <v>9</v>
      </c>
      <c r="C337" s="66"/>
      <c r="D337" s="62" t="s">
        <v>10</v>
      </c>
      <c r="E337" s="69" t="s">
        <v>72</v>
      </c>
      <c r="F337" s="70"/>
      <c r="G337" s="70"/>
      <c r="H337" s="71"/>
      <c r="I337" s="72" t="s">
        <v>14</v>
      </c>
      <c r="J337" s="72" t="s">
        <v>11</v>
      </c>
      <c r="K337" s="65" t="s">
        <v>12</v>
      </c>
      <c r="L337" s="66"/>
      <c r="M337" s="74" t="s">
        <v>31</v>
      </c>
      <c r="N337" s="72" t="s">
        <v>16</v>
      </c>
      <c r="O337" s="65" t="s">
        <v>17</v>
      </c>
      <c r="P337" s="66"/>
    </row>
    <row r="338" spans="1:19" ht="34" customHeight="1">
      <c r="A338" s="63"/>
      <c r="B338" s="67"/>
      <c r="C338" s="68"/>
      <c r="D338" s="63"/>
      <c r="E338" s="35" t="str">
        <f>IF(E297="","",E297)</f>
        <v>TAS/ Operator</v>
      </c>
      <c r="F338" s="35" t="str">
        <f t="shared" ref="F338:H338" si="64">IF(F297="","",F297)</f>
        <v>Guru</v>
      </c>
      <c r="G338" s="35" t="str">
        <f t="shared" si="64"/>
        <v>Pembina Ekskul</v>
      </c>
      <c r="H338" s="39" t="str">
        <f t="shared" si="64"/>
        <v>Tenaga Perpustakaan</v>
      </c>
      <c r="I338" s="73"/>
      <c r="J338" s="73"/>
      <c r="K338" s="67"/>
      <c r="L338" s="68"/>
      <c r="M338" s="75"/>
      <c r="N338" s="73"/>
      <c r="O338" s="67"/>
      <c r="P338" s="68"/>
    </row>
    <row r="339" spans="1:19" ht="24" customHeight="1">
      <c r="A339" s="11">
        <v>1</v>
      </c>
      <c r="B339" s="12" t="str">
        <f t="shared" ref="B339:B344" si="65">IF(B298="","",B298)</f>
        <v/>
      </c>
      <c r="C339" s="13"/>
      <c r="D339" s="32" t="str">
        <f t="shared" ref="D339:D344" si="66">IF(D298="","",D298)</f>
        <v/>
      </c>
      <c r="E339" s="37">
        <f>IF(E298="","",E298)</f>
        <v>400000</v>
      </c>
      <c r="F339" s="37">
        <f>IF(F298="","",F298)</f>
        <v>150000</v>
      </c>
      <c r="G339" s="37" t="str">
        <f>IF(G298="","",G298)</f>
        <v/>
      </c>
      <c r="H339" s="37" t="str">
        <f>IF(H298="","",H298)</f>
        <v/>
      </c>
      <c r="I339" s="16" t="str">
        <f>IF(B339="","",SUM(E339:H339))</f>
        <v/>
      </c>
      <c r="J339" s="38" t="str">
        <f t="shared" ref="J339:L344" si="67">IF(J298="","",J298)</f>
        <v>PTT</v>
      </c>
      <c r="K339" s="38">
        <f t="shared" si="67"/>
        <v>1</v>
      </c>
      <c r="L339" s="38" t="str">
        <f t="shared" si="67"/>
        <v>Bulan</v>
      </c>
      <c r="M339" s="17" t="str">
        <f>IFERROR(I339*0/100,"")</f>
        <v/>
      </c>
      <c r="N339" s="16" t="str">
        <f>IFERROR(SUM(I339*K339)-M339,"")</f>
        <v/>
      </c>
      <c r="O339" s="54">
        <v>1</v>
      </c>
      <c r="P339" s="56">
        <v>2</v>
      </c>
    </row>
    <row r="340" spans="1:19" ht="24" customHeight="1">
      <c r="A340" s="11">
        <v>2</v>
      </c>
      <c r="B340" s="12" t="str">
        <f t="shared" si="65"/>
        <v/>
      </c>
      <c r="C340" s="13"/>
      <c r="D340" s="32" t="str">
        <f t="shared" si="66"/>
        <v/>
      </c>
      <c r="E340" s="37" t="str">
        <f t="shared" ref="E340:H340" si="68">IF(E299="","",E299)</f>
        <v/>
      </c>
      <c r="F340" s="37" t="str">
        <f t="shared" si="68"/>
        <v/>
      </c>
      <c r="G340" s="37" t="str">
        <f t="shared" si="68"/>
        <v/>
      </c>
      <c r="H340" s="37" t="str">
        <f t="shared" si="68"/>
        <v/>
      </c>
      <c r="I340" s="16" t="str">
        <f t="shared" ref="I340:I344" si="69">IF(B340="","",SUM(E340:H340))</f>
        <v/>
      </c>
      <c r="J340" s="38" t="str">
        <f t="shared" si="67"/>
        <v/>
      </c>
      <c r="K340" s="38" t="str">
        <f t="shared" si="67"/>
        <v/>
      </c>
      <c r="L340" s="38" t="str">
        <f t="shared" si="67"/>
        <v/>
      </c>
      <c r="M340" s="17" t="str">
        <f t="shared" ref="M340:M344" si="70">IFERROR(I340*0/100,"")</f>
        <v/>
      </c>
      <c r="N340" s="16" t="str">
        <f t="shared" ref="N340:N344" si="71">IFERROR(SUM(I340*K340)-M340,"")</f>
        <v/>
      </c>
      <c r="O340" s="55"/>
      <c r="P340" s="57"/>
    </row>
    <row r="341" spans="1:19" ht="24" customHeight="1">
      <c r="A341" s="11">
        <v>3</v>
      </c>
      <c r="B341" s="12" t="str">
        <f t="shared" si="65"/>
        <v/>
      </c>
      <c r="C341" s="13"/>
      <c r="D341" s="32" t="str">
        <f t="shared" si="66"/>
        <v/>
      </c>
      <c r="E341" s="37" t="str">
        <f t="shared" ref="E341:H344" si="72">IF(E300="","",E300)</f>
        <v/>
      </c>
      <c r="F341" s="37" t="str">
        <f t="shared" si="72"/>
        <v>-</v>
      </c>
      <c r="G341" s="37" t="str">
        <f t="shared" si="72"/>
        <v>-</v>
      </c>
      <c r="H341" s="37" t="str">
        <f t="shared" si="72"/>
        <v/>
      </c>
      <c r="I341" s="16" t="str">
        <f t="shared" si="69"/>
        <v/>
      </c>
      <c r="J341" s="38" t="str">
        <f t="shared" si="67"/>
        <v/>
      </c>
      <c r="K341" s="38" t="str">
        <f t="shared" si="67"/>
        <v/>
      </c>
      <c r="L341" s="38" t="str">
        <f t="shared" si="67"/>
        <v/>
      </c>
      <c r="M341" s="17" t="str">
        <f t="shared" si="70"/>
        <v/>
      </c>
      <c r="N341" s="16" t="str">
        <f t="shared" si="71"/>
        <v/>
      </c>
      <c r="O341" s="54">
        <v>3</v>
      </c>
      <c r="P341" s="56">
        <v>4</v>
      </c>
    </row>
    <row r="342" spans="1:19" ht="24" customHeight="1">
      <c r="A342" s="11">
        <v>4</v>
      </c>
      <c r="B342" s="12" t="str">
        <f t="shared" si="65"/>
        <v/>
      </c>
      <c r="C342" s="13"/>
      <c r="D342" s="32" t="str">
        <f t="shared" si="66"/>
        <v/>
      </c>
      <c r="E342" s="37" t="str">
        <f t="shared" si="72"/>
        <v/>
      </c>
      <c r="F342" s="37" t="str">
        <f t="shared" si="72"/>
        <v/>
      </c>
      <c r="G342" s="37" t="str">
        <f t="shared" si="72"/>
        <v/>
      </c>
      <c r="H342" s="37" t="str">
        <f t="shared" si="72"/>
        <v/>
      </c>
      <c r="I342" s="16" t="str">
        <f t="shared" si="69"/>
        <v/>
      </c>
      <c r="J342" s="38" t="str">
        <f t="shared" si="67"/>
        <v/>
      </c>
      <c r="K342" s="38" t="str">
        <f t="shared" si="67"/>
        <v/>
      </c>
      <c r="L342" s="38" t="str">
        <f t="shared" si="67"/>
        <v/>
      </c>
      <c r="M342" s="17" t="str">
        <f t="shared" si="70"/>
        <v/>
      </c>
      <c r="N342" s="16" t="str">
        <f t="shared" si="71"/>
        <v/>
      </c>
      <c r="O342" s="55"/>
      <c r="P342" s="57"/>
    </row>
    <row r="343" spans="1:19" ht="24" hidden="1" customHeight="1">
      <c r="A343" s="11">
        <v>5</v>
      </c>
      <c r="B343" s="12" t="str">
        <f t="shared" si="65"/>
        <v/>
      </c>
      <c r="C343" s="13"/>
      <c r="D343" s="32" t="str">
        <f t="shared" si="66"/>
        <v/>
      </c>
      <c r="E343" s="37" t="str">
        <f t="shared" si="72"/>
        <v/>
      </c>
      <c r="F343" s="37" t="str">
        <f t="shared" si="72"/>
        <v/>
      </c>
      <c r="G343" s="37" t="str">
        <f t="shared" si="72"/>
        <v/>
      </c>
      <c r="H343" s="37" t="str">
        <f t="shared" si="72"/>
        <v/>
      </c>
      <c r="I343" s="16" t="str">
        <f t="shared" si="69"/>
        <v/>
      </c>
      <c r="J343" s="38" t="str">
        <f t="shared" si="67"/>
        <v/>
      </c>
      <c r="K343" s="38" t="str">
        <f t="shared" si="67"/>
        <v/>
      </c>
      <c r="L343" s="38" t="str">
        <f t="shared" si="67"/>
        <v/>
      </c>
      <c r="M343" s="17" t="str">
        <f t="shared" si="70"/>
        <v/>
      </c>
      <c r="N343" s="16" t="str">
        <f t="shared" si="71"/>
        <v/>
      </c>
      <c r="O343" s="58">
        <v>5</v>
      </c>
      <c r="P343" s="59">
        <v>6</v>
      </c>
    </row>
    <row r="344" spans="1:19" ht="24" hidden="1" customHeight="1">
      <c r="A344" s="11">
        <v>6</v>
      </c>
      <c r="B344" s="12" t="str">
        <f t="shared" si="65"/>
        <v/>
      </c>
      <c r="C344" s="13"/>
      <c r="D344" s="32" t="str">
        <f t="shared" si="66"/>
        <v/>
      </c>
      <c r="E344" s="37" t="str">
        <f t="shared" si="72"/>
        <v/>
      </c>
      <c r="F344" s="37" t="str">
        <f t="shared" si="72"/>
        <v/>
      </c>
      <c r="G344" s="37" t="str">
        <f t="shared" si="72"/>
        <v/>
      </c>
      <c r="H344" s="37" t="str">
        <f t="shared" si="72"/>
        <v/>
      </c>
      <c r="I344" s="16" t="str">
        <f t="shared" si="69"/>
        <v/>
      </c>
      <c r="J344" s="38" t="str">
        <f t="shared" si="67"/>
        <v/>
      </c>
      <c r="K344" s="38" t="str">
        <f t="shared" si="67"/>
        <v/>
      </c>
      <c r="L344" s="38" t="str">
        <f t="shared" si="67"/>
        <v/>
      </c>
      <c r="M344" s="17" t="str">
        <f t="shared" si="70"/>
        <v/>
      </c>
      <c r="N344" s="16" t="str">
        <f t="shared" si="71"/>
        <v/>
      </c>
      <c r="O344" s="58"/>
      <c r="P344" s="59"/>
    </row>
    <row r="345" spans="1:19" s="21" customFormat="1" ht="22.5" customHeight="1">
      <c r="A345" s="60" t="s">
        <v>20</v>
      </c>
      <c r="B345" s="61"/>
      <c r="C345" s="61"/>
      <c r="D345" s="61"/>
      <c r="E345" s="61"/>
      <c r="F345" s="61"/>
      <c r="G345" s="61"/>
      <c r="H345" s="36"/>
      <c r="I345" s="18">
        <f>SUM(I339:I344)</f>
        <v>0</v>
      </c>
      <c r="J345" s="36"/>
      <c r="K345" s="36"/>
      <c r="L345" s="36"/>
      <c r="M345" s="19">
        <f>SUM(M339:M344)</f>
        <v>0</v>
      </c>
      <c r="N345" s="18">
        <f>SUM(N339:N344)</f>
        <v>0</v>
      </c>
      <c r="O345" s="20"/>
      <c r="P345" s="20"/>
      <c r="S345" s="22"/>
    </row>
    <row r="346" spans="1:19" ht="23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N346" s="23"/>
    </row>
    <row r="347" spans="1:19" ht="17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O347" s="24" t="s">
        <v>79</v>
      </c>
    </row>
    <row r="348" spans="1:19" ht="18" customHeight="1">
      <c r="A348" s="8"/>
      <c r="C348" s="24" t="s">
        <v>21</v>
      </c>
      <c r="D348" s="24"/>
      <c r="E348" s="24"/>
      <c r="F348" s="24"/>
      <c r="G348" s="24"/>
      <c r="H348" s="24"/>
      <c r="I348" s="24"/>
      <c r="J348" s="24"/>
      <c r="K348" s="24"/>
      <c r="L348" s="8"/>
      <c r="O348" s="24" t="s">
        <v>86</v>
      </c>
    </row>
    <row r="349" spans="1:19">
      <c r="A349" s="8"/>
      <c r="C349" s="24" t="s">
        <v>22</v>
      </c>
      <c r="D349" s="24"/>
      <c r="E349" s="24"/>
      <c r="F349" s="24"/>
      <c r="G349" s="24"/>
      <c r="H349" s="24"/>
      <c r="I349" s="24"/>
      <c r="J349" s="24"/>
      <c r="K349" s="24"/>
      <c r="L349" s="8"/>
      <c r="O349" s="24" t="s">
        <v>23</v>
      </c>
    </row>
    <row r="350" spans="1:19">
      <c r="A350" s="8"/>
      <c r="C350" s="24"/>
      <c r="D350" s="24"/>
      <c r="E350" s="24"/>
      <c r="F350" s="24"/>
      <c r="G350" s="24"/>
      <c r="H350" s="24"/>
      <c r="I350" s="24"/>
      <c r="J350" s="24"/>
      <c r="K350" s="24"/>
      <c r="L350" s="8"/>
      <c r="O350" s="25"/>
      <c r="S350" s="26"/>
    </row>
    <row r="351" spans="1:19">
      <c r="A351" s="8"/>
      <c r="C351" s="24"/>
      <c r="D351" s="24"/>
      <c r="E351" s="24"/>
      <c r="F351" s="24"/>
      <c r="G351" s="24"/>
      <c r="H351" s="24"/>
      <c r="I351" s="24"/>
      <c r="J351" s="24"/>
      <c r="K351" s="24"/>
      <c r="L351" s="8"/>
      <c r="O351" s="25"/>
    </row>
    <row r="352" spans="1:19">
      <c r="A352" s="8"/>
      <c r="C352" s="24"/>
      <c r="D352" s="24"/>
      <c r="E352" s="24"/>
      <c r="F352" s="24"/>
      <c r="G352" s="24"/>
      <c r="H352" s="24"/>
      <c r="I352" s="24"/>
      <c r="J352" s="24"/>
      <c r="K352" s="24"/>
      <c r="L352" s="8"/>
      <c r="O352" s="25"/>
    </row>
    <row r="353" spans="1:16">
      <c r="A353" s="8"/>
      <c r="C353" s="24"/>
      <c r="D353" s="24"/>
      <c r="E353" s="24"/>
      <c r="F353" s="24"/>
      <c r="G353" s="24"/>
      <c r="H353" s="24"/>
      <c r="I353" s="24"/>
      <c r="J353" s="24"/>
      <c r="K353" s="24"/>
      <c r="L353" s="8"/>
      <c r="O353" s="25"/>
    </row>
    <row r="354" spans="1:16">
      <c r="A354" s="8"/>
      <c r="C354" s="24"/>
      <c r="D354" s="24"/>
      <c r="E354" s="24"/>
      <c r="F354" s="24"/>
      <c r="G354" s="24"/>
      <c r="H354" s="24"/>
      <c r="I354" s="24"/>
      <c r="J354" s="24"/>
      <c r="K354" s="24"/>
      <c r="L354" s="8"/>
      <c r="O354" s="25"/>
    </row>
    <row r="355" spans="1:16" ht="15" customHeight="1">
      <c r="A355" s="8"/>
      <c r="C355" s="27" t="str">
        <f>IF(C314="","",C314)</f>
        <v>BADRUDDIN, S.Ag.</v>
      </c>
      <c r="D355" s="28"/>
      <c r="E355" s="28"/>
      <c r="F355" s="28"/>
      <c r="G355" s="28"/>
      <c r="H355" s="28"/>
      <c r="I355" s="28"/>
      <c r="J355" s="28"/>
      <c r="K355" s="8"/>
      <c r="L355" s="8"/>
      <c r="O355" s="27" t="s">
        <v>76</v>
      </c>
    </row>
    <row r="356" spans="1:16" ht="15" customHeight="1">
      <c r="A356" s="8"/>
      <c r="C356" s="27" t="str">
        <f>IF(C315="","",C315)</f>
        <v>NIP. 197405082014121002</v>
      </c>
      <c r="D356" s="28"/>
      <c r="E356" s="28"/>
      <c r="F356" s="28"/>
      <c r="G356" s="28"/>
      <c r="H356" s="28"/>
      <c r="I356" s="28"/>
      <c r="J356" s="28"/>
      <c r="K356" s="8"/>
      <c r="L356" s="8"/>
      <c r="O356" s="27" t="s">
        <v>77</v>
      </c>
    </row>
    <row r="366" spans="1:16" ht="17.25" customHeight="1">
      <c r="A366" s="64" t="str">
        <f>$A$1</f>
        <v>DAFTAR PENERIMA HONORARIUM/GAJI TENAGA ADMINISTRASI SEKOLAH TIDAK TETAP (PEMBAYARAN NON TUNAI)</v>
      </c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</row>
    <row r="367" spans="1:16" ht="17.25" customHeight="1">
      <c r="A367" s="64" t="s">
        <v>80</v>
      </c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</row>
    <row r="368" spans="1:16" ht="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9" ht="15" customHeight="1">
      <c r="C369" s="4" t="s">
        <v>0</v>
      </c>
      <c r="D369" s="5" t="s">
        <v>1</v>
      </c>
      <c r="E369" s="5"/>
      <c r="F369" s="5"/>
      <c r="G369" s="5"/>
      <c r="H369" s="5"/>
      <c r="I369" s="5"/>
      <c r="K369" s="6"/>
      <c r="L369" s="7"/>
      <c r="M369" s="4" t="s">
        <v>26</v>
      </c>
      <c r="N369" s="4" t="str">
        <f>N332</f>
        <v>: 07 Pengembangan Standar Pembiayaan</v>
      </c>
      <c r="O369" s="3"/>
    </row>
    <row r="370" spans="1:19" ht="15" customHeight="1">
      <c r="C370" s="4" t="s">
        <v>2</v>
      </c>
      <c r="D370" s="4" t="str">
        <f>D333</f>
        <v>: SD NEGERI LEBAKLEUNGSIR</v>
      </c>
      <c r="E370" s="4"/>
      <c r="F370" s="4"/>
      <c r="G370" s="4"/>
      <c r="H370" s="4"/>
      <c r="I370" s="4"/>
      <c r="K370" s="6"/>
      <c r="M370" s="4" t="s">
        <v>27</v>
      </c>
      <c r="N370" s="4" t="str">
        <f>N333</f>
        <v>: Pembayaran Honor Tenaga Kependidikan</v>
      </c>
      <c r="O370" s="3"/>
    </row>
    <row r="371" spans="1:19" ht="15" customHeight="1">
      <c r="C371" s="4" t="s">
        <v>3</v>
      </c>
      <c r="D371" s="4" t="str">
        <f>D334</f>
        <v>: Cikalongwetan</v>
      </c>
      <c r="E371" s="4"/>
      <c r="F371" s="4"/>
      <c r="G371" s="4"/>
      <c r="H371" s="4"/>
      <c r="I371" s="4"/>
      <c r="K371" s="6"/>
      <c r="M371" s="8" t="s">
        <v>28</v>
      </c>
      <c r="N371" s="4" t="str">
        <f>N334</f>
        <v>: 5.1.02.02.01.0013</v>
      </c>
      <c r="O371" s="3"/>
    </row>
    <row r="372" spans="1:19" ht="15" customHeight="1">
      <c r="C372" s="4" t="s">
        <v>5</v>
      </c>
      <c r="D372" s="4" t="str">
        <f>D335</f>
        <v>: Bandung Barat</v>
      </c>
      <c r="E372" s="4"/>
      <c r="F372" s="4"/>
      <c r="G372" s="4"/>
      <c r="H372" s="4"/>
      <c r="I372" s="4"/>
      <c r="K372" s="6"/>
      <c r="M372" s="4" t="s">
        <v>7</v>
      </c>
      <c r="N372" s="4" t="str">
        <f>N335</f>
        <v>: 12</v>
      </c>
      <c r="O372" s="3"/>
      <c r="P372" s="8"/>
    </row>
    <row r="373" spans="1:19" ht="15" customHeight="1">
      <c r="M373" s="8"/>
      <c r="N373" s="8"/>
      <c r="O373" s="8"/>
    </row>
    <row r="374" spans="1:19" ht="18.5" customHeight="1">
      <c r="A374" s="62" t="s">
        <v>8</v>
      </c>
      <c r="B374" s="65" t="s">
        <v>9</v>
      </c>
      <c r="C374" s="66"/>
      <c r="D374" s="62" t="s">
        <v>10</v>
      </c>
      <c r="E374" s="69" t="s">
        <v>72</v>
      </c>
      <c r="F374" s="70"/>
      <c r="G374" s="70"/>
      <c r="H374" s="71"/>
      <c r="I374" s="72" t="s">
        <v>14</v>
      </c>
      <c r="J374" s="72" t="s">
        <v>11</v>
      </c>
      <c r="K374" s="65" t="s">
        <v>12</v>
      </c>
      <c r="L374" s="66"/>
      <c r="M374" s="74" t="s">
        <v>31</v>
      </c>
      <c r="N374" s="72" t="s">
        <v>16</v>
      </c>
      <c r="O374" s="65" t="s">
        <v>17</v>
      </c>
      <c r="P374" s="66"/>
    </row>
    <row r="375" spans="1:19" ht="34" customHeight="1">
      <c r="A375" s="63"/>
      <c r="B375" s="67"/>
      <c r="C375" s="68"/>
      <c r="D375" s="63"/>
      <c r="E375" s="35" t="str">
        <f>IF(E338="","",E338)</f>
        <v>TAS/ Operator</v>
      </c>
      <c r="F375" s="35" t="str">
        <f t="shared" ref="F375:H375" si="73">IF(F338="","",F338)</f>
        <v>Guru</v>
      </c>
      <c r="G375" s="35" t="str">
        <f t="shared" si="73"/>
        <v>Pembina Ekskul</v>
      </c>
      <c r="H375" s="39" t="str">
        <f t="shared" si="73"/>
        <v>Tenaga Perpustakaan</v>
      </c>
      <c r="I375" s="73"/>
      <c r="J375" s="73"/>
      <c r="K375" s="67"/>
      <c r="L375" s="68"/>
      <c r="M375" s="75"/>
      <c r="N375" s="73"/>
      <c r="O375" s="67"/>
      <c r="P375" s="68"/>
    </row>
    <row r="376" spans="1:19" ht="24" customHeight="1">
      <c r="A376" s="11">
        <v>1</v>
      </c>
      <c r="B376" s="12" t="str">
        <f t="shared" ref="B376:B381" si="74">IF(B339="","",B339)</f>
        <v/>
      </c>
      <c r="C376" s="13"/>
      <c r="D376" s="32" t="str">
        <f t="shared" ref="D376:D381" si="75">IF(D339="","",D339)</f>
        <v/>
      </c>
      <c r="E376" s="37">
        <f>IF(E339="","",E339)</f>
        <v>400000</v>
      </c>
      <c r="F376" s="37">
        <f>IF(F339="","",F339)</f>
        <v>150000</v>
      </c>
      <c r="G376" s="37" t="str">
        <f>IF(G339="","",G339)</f>
        <v/>
      </c>
      <c r="H376" s="37" t="str">
        <f>IF(H339="","",H339)</f>
        <v/>
      </c>
      <c r="I376" s="16" t="str">
        <f>IF(B376="","",SUM(E376:H376))</f>
        <v/>
      </c>
      <c r="J376" s="38" t="str">
        <f t="shared" ref="J376:L381" si="76">IF(J339="","",J339)</f>
        <v>PTT</v>
      </c>
      <c r="K376" s="38">
        <f t="shared" si="76"/>
        <v>1</v>
      </c>
      <c r="L376" s="38" t="str">
        <f t="shared" si="76"/>
        <v>Bulan</v>
      </c>
      <c r="M376" s="17" t="str">
        <f>IFERROR(I376*0/100,"")</f>
        <v/>
      </c>
      <c r="N376" s="16" t="str">
        <f>IFERROR(SUM(I376*K376)-M376,"")</f>
        <v/>
      </c>
      <c r="O376" s="54">
        <v>1</v>
      </c>
      <c r="P376" s="56">
        <v>2</v>
      </c>
    </row>
    <row r="377" spans="1:19" ht="24" customHeight="1">
      <c r="A377" s="11">
        <v>2</v>
      </c>
      <c r="B377" s="12" t="str">
        <f t="shared" si="74"/>
        <v/>
      </c>
      <c r="C377" s="13"/>
      <c r="D377" s="32" t="str">
        <f t="shared" si="75"/>
        <v/>
      </c>
      <c r="E377" s="37" t="str">
        <f t="shared" ref="E377:H377" si="77">IF(E340="","",E340)</f>
        <v/>
      </c>
      <c r="F377" s="37" t="str">
        <f t="shared" si="77"/>
        <v/>
      </c>
      <c r="G377" s="37" t="str">
        <f t="shared" si="77"/>
        <v/>
      </c>
      <c r="H377" s="37" t="str">
        <f t="shared" si="77"/>
        <v/>
      </c>
      <c r="I377" s="16" t="str">
        <f t="shared" ref="I377:I381" si="78">IF(B377="","",SUM(E377:H377))</f>
        <v/>
      </c>
      <c r="J377" s="38" t="str">
        <f t="shared" si="76"/>
        <v/>
      </c>
      <c r="K377" s="38" t="str">
        <f t="shared" si="76"/>
        <v/>
      </c>
      <c r="L377" s="38" t="str">
        <f t="shared" si="76"/>
        <v/>
      </c>
      <c r="M377" s="17" t="str">
        <f t="shared" ref="M377:M381" si="79">IFERROR(I377*0/100,"")</f>
        <v/>
      </c>
      <c r="N377" s="16" t="str">
        <f t="shared" ref="N377:N381" si="80">IFERROR(SUM(I377*K377)-M377,"")</f>
        <v/>
      </c>
      <c r="O377" s="55"/>
      <c r="P377" s="57"/>
    </row>
    <row r="378" spans="1:19" ht="24" customHeight="1">
      <c r="A378" s="11">
        <v>3</v>
      </c>
      <c r="B378" s="12" t="str">
        <f t="shared" si="74"/>
        <v/>
      </c>
      <c r="C378" s="13"/>
      <c r="D378" s="32" t="str">
        <f t="shared" si="75"/>
        <v/>
      </c>
      <c r="E378" s="37" t="str">
        <f t="shared" ref="E378:H381" si="81">IF(E341="","",E341)</f>
        <v/>
      </c>
      <c r="F378" s="37" t="str">
        <f t="shared" si="81"/>
        <v>-</v>
      </c>
      <c r="G378" s="37" t="str">
        <f t="shared" si="81"/>
        <v>-</v>
      </c>
      <c r="H378" s="37" t="str">
        <f t="shared" si="81"/>
        <v/>
      </c>
      <c r="I378" s="16" t="str">
        <f t="shared" si="78"/>
        <v/>
      </c>
      <c r="J378" s="38" t="str">
        <f t="shared" si="76"/>
        <v/>
      </c>
      <c r="K378" s="38" t="str">
        <f t="shared" si="76"/>
        <v/>
      </c>
      <c r="L378" s="38" t="str">
        <f t="shared" si="76"/>
        <v/>
      </c>
      <c r="M378" s="17" t="str">
        <f t="shared" si="79"/>
        <v/>
      </c>
      <c r="N378" s="16" t="str">
        <f t="shared" si="80"/>
        <v/>
      </c>
      <c r="O378" s="54">
        <v>3</v>
      </c>
      <c r="P378" s="56">
        <v>4</v>
      </c>
    </row>
    <row r="379" spans="1:19" ht="24" customHeight="1">
      <c r="A379" s="11">
        <v>4</v>
      </c>
      <c r="B379" s="12" t="str">
        <f t="shared" si="74"/>
        <v/>
      </c>
      <c r="C379" s="13"/>
      <c r="D379" s="32" t="str">
        <f t="shared" si="75"/>
        <v/>
      </c>
      <c r="E379" s="37" t="str">
        <f t="shared" si="81"/>
        <v/>
      </c>
      <c r="F379" s="37" t="str">
        <f t="shared" si="81"/>
        <v/>
      </c>
      <c r="G379" s="37" t="str">
        <f t="shared" si="81"/>
        <v/>
      </c>
      <c r="H379" s="37" t="str">
        <f t="shared" si="81"/>
        <v/>
      </c>
      <c r="I379" s="16" t="str">
        <f t="shared" si="78"/>
        <v/>
      </c>
      <c r="J379" s="38" t="str">
        <f t="shared" si="76"/>
        <v/>
      </c>
      <c r="K379" s="38" t="str">
        <f t="shared" si="76"/>
        <v/>
      </c>
      <c r="L379" s="38" t="str">
        <f t="shared" si="76"/>
        <v/>
      </c>
      <c r="M379" s="17" t="str">
        <f t="shared" si="79"/>
        <v/>
      </c>
      <c r="N379" s="16" t="str">
        <f t="shared" si="80"/>
        <v/>
      </c>
      <c r="O379" s="55"/>
      <c r="P379" s="57"/>
    </row>
    <row r="380" spans="1:19" ht="24" hidden="1" customHeight="1">
      <c r="A380" s="11">
        <v>5</v>
      </c>
      <c r="B380" s="12" t="str">
        <f t="shared" si="74"/>
        <v/>
      </c>
      <c r="C380" s="13"/>
      <c r="D380" s="32" t="str">
        <f t="shared" si="75"/>
        <v/>
      </c>
      <c r="E380" s="37" t="str">
        <f t="shared" si="81"/>
        <v/>
      </c>
      <c r="F380" s="37" t="str">
        <f t="shared" si="81"/>
        <v/>
      </c>
      <c r="G380" s="37" t="str">
        <f t="shared" si="81"/>
        <v/>
      </c>
      <c r="H380" s="37" t="str">
        <f t="shared" si="81"/>
        <v/>
      </c>
      <c r="I380" s="16" t="str">
        <f t="shared" si="78"/>
        <v/>
      </c>
      <c r="J380" s="38" t="str">
        <f t="shared" si="76"/>
        <v/>
      </c>
      <c r="K380" s="38" t="str">
        <f t="shared" si="76"/>
        <v/>
      </c>
      <c r="L380" s="38" t="str">
        <f t="shared" si="76"/>
        <v/>
      </c>
      <c r="M380" s="17" t="str">
        <f t="shared" si="79"/>
        <v/>
      </c>
      <c r="N380" s="16" t="str">
        <f t="shared" si="80"/>
        <v/>
      </c>
      <c r="O380" s="58">
        <v>5</v>
      </c>
      <c r="P380" s="59">
        <v>6</v>
      </c>
    </row>
    <row r="381" spans="1:19" ht="24" hidden="1" customHeight="1">
      <c r="A381" s="11">
        <v>6</v>
      </c>
      <c r="B381" s="12" t="str">
        <f t="shared" si="74"/>
        <v/>
      </c>
      <c r="C381" s="13"/>
      <c r="D381" s="32" t="str">
        <f t="shared" si="75"/>
        <v/>
      </c>
      <c r="E381" s="37" t="str">
        <f t="shared" si="81"/>
        <v/>
      </c>
      <c r="F381" s="37" t="str">
        <f t="shared" si="81"/>
        <v/>
      </c>
      <c r="G381" s="37" t="str">
        <f t="shared" si="81"/>
        <v/>
      </c>
      <c r="H381" s="37" t="str">
        <f t="shared" si="81"/>
        <v/>
      </c>
      <c r="I381" s="16" t="str">
        <f t="shared" si="78"/>
        <v/>
      </c>
      <c r="J381" s="38" t="str">
        <f t="shared" si="76"/>
        <v/>
      </c>
      <c r="K381" s="38" t="str">
        <f t="shared" si="76"/>
        <v/>
      </c>
      <c r="L381" s="38" t="str">
        <f t="shared" si="76"/>
        <v/>
      </c>
      <c r="M381" s="17" t="str">
        <f t="shared" si="79"/>
        <v/>
      </c>
      <c r="N381" s="16" t="str">
        <f t="shared" si="80"/>
        <v/>
      </c>
      <c r="O381" s="58"/>
      <c r="P381" s="59"/>
    </row>
    <row r="382" spans="1:19" s="21" customFormat="1" ht="22.5" customHeight="1">
      <c r="A382" s="60" t="s">
        <v>20</v>
      </c>
      <c r="B382" s="61"/>
      <c r="C382" s="61"/>
      <c r="D382" s="61"/>
      <c r="E382" s="61"/>
      <c r="F382" s="61"/>
      <c r="G382" s="61"/>
      <c r="H382" s="36"/>
      <c r="I382" s="18">
        <f>SUM(I376:I381)</f>
        <v>0</v>
      </c>
      <c r="J382" s="36"/>
      <c r="K382" s="36"/>
      <c r="L382" s="36"/>
      <c r="M382" s="19">
        <f>SUM(M376:M381)</f>
        <v>0</v>
      </c>
      <c r="N382" s="18">
        <f>SUM(N376:N381)</f>
        <v>0</v>
      </c>
      <c r="O382" s="20"/>
      <c r="P382" s="20"/>
      <c r="S382" s="22"/>
    </row>
    <row r="383" spans="1:19" ht="23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N383" s="23"/>
    </row>
    <row r="384" spans="1:19" ht="17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O384" s="24" t="s">
        <v>81</v>
      </c>
    </row>
    <row r="385" spans="1:19" ht="18" customHeight="1">
      <c r="A385" s="8"/>
      <c r="C385" s="24" t="s">
        <v>21</v>
      </c>
      <c r="D385" s="24"/>
      <c r="E385" s="24"/>
      <c r="F385" s="24"/>
      <c r="G385" s="24"/>
      <c r="H385" s="24"/>
      <c r="I385" s="24"/>
      <c r="J385" s="24"/>
      <c r="K385" s="24"/>
      <c r="L385" s="8"/>
      <c r="O385" s="24" t="s">
        <v>87</v>
      </c>
    </row>
    <row r="386" spans="1:19">
      <c r="A386" s="8"/>
      <c r="C386" s="24" t="s">
        <v>22</v>
      </c>
      <c r="D386" s="24"/>
      <c r="E386" s="24"/>
      <c r="F386" s="24"/>
      <c r="G386" s="24"/>
      <c r="H386" s="24"/>
      <c r="I386" s="24"/>
      <c r="J386" s="24"/>
      <c r="K386" s="24"/>
      <c r="L386" s="8"/>
      <c r="O386" s="24" t="s">
        <v>23</v>
      </c>
    </row>
    <row r="387" spans="1:19">
      <c r="A387" s="8"/>
      <c r="C387" s="24"/>
      <c r="D387" s="24"/>
      <c r="E387" s="24"/>
      <c r="F387" s="24"/>
      <c r="G387" s="24"/>
      <c r="H387" s="24"/>
      <c r="I387" s="24"/>
      <c r="J387" s="24"/>
      <c r="K387" s="24"/>
      <c r="L387" s="8"/>
      <c r="O387" s="25"/>
      <c r="S387" s="26"/>
    </row>
    <row r="388" spans="1:19">
      <c r="A388" s="8"/>
      <c r="C388" s="24"/>
      <c r="D388" s="24"/>
      <c r="E388" s="24"/>
      <c r="F388" s="24"/>
      <c r="G388" s="24"/>
      <c r="H388" s="24"/>
      <c r="I388" s="24"/>
      <c r="J388" s="24"/>
      <c r="K388" s="24"/>
      <c r="L388" s="8"/>
      <c r="O388" s="25"/>
    </row>
    <row r="389" spans="1:19">
      <c r="A389" s="8"/>
      <c r="C389" s="24"/>
      <c r="D389" s="24"/>
      <c r="E389" s="24"/>
      <c r="F389" s="24"/>
      <c r="G389" s="24"/>
      <c r="H389" s="24"/>
      <c r="I389" s="24"/>
      <c r="J389" s="24"/>
      <c r="K389" s="24"/>
      <c r="L389" s="8"/>
      <c r="O389" s="25"/>
    </row>
    <row r="390" spans="1:19">
      <c r="A390" s="8"/>
      <c r="C390" s="24"/>
      <c r="D390" s="24"/>
      <c r="E390" s="24"/>
      <c r="F390" s="24"/>
      <c r="G390" s="24"/>
      <c r="H390" s="24"/>
      <c r="I390" s="24"/>
      <c r="J390" s="24"/>
      <c r="K390" s="24"/>
      <c r="L390" s="8"/>
      <c r="O390" s="25"/>
    </row>
    <row r="391" spans="1:19">
      <c r="A391" s="8"/>
      <c r="C391" s="24"/>
      <c r="D391" s="24"/>
      <c r="E391" s="24"/>
      <c r="F391" s="24"/>
      <c r="G391" s="24"/>
      <c r="H391" s="24"/>
      <c r="I391" s="24"/>
      <c r="J391" s="24"/>
      <c r="K391" s="24"/>
      <c r="L391" s="8"/>
      <c r="O391" s="25"/>
    </row>
    <row r="392" spans="1:19" ht="15" customHeight="1">
      <c r="A392" s="8"/>
      <c r="C392" s="27" t="str">
        <f>IF(C355="","",C355)</f>
        <v>BADRUDDIN, S.Ag.</v>
      </c>
      <c r="D392" s="28"/>
      <c r="E392" s="28"/>
      <c r="F392" s="28"/>
      <c r="G392" s="28"/>
      <c r="H392" s="28"/>
      <c r="I392" s="28"/>
      <c r="J392" s="28"/>
      <c r="K392" s="8"/>
      <c r="L392" s="8"/>
      <c r="O392" s="27" t="s">
        <v>76</v>
      </c>
    </row>
    <row r="393" spans="1:19" ht="15" customHeight="1">
      <c r="A393" s="8"/>
      <c r="C393" s="27" t="str">
        <f>IF(C356="","",C356)</f>
        <v>NIP. 197405082014121002</v>
      </c>
      <c r="D393" s="28"/>
      <c r="E393" s="28"/>
      <c r="F393" s="28"/>
      <c r="G393" s="28"/>
      <c r="H393" s="28"/>
      <c r="I393" s="28"/>
      <c r="J393" s="28"/>
      <c r="K393" s="8"/>
      <c r="L393" s="8"/>
      <c r="O393" s="27" t="s">
        <v>77</v>
      </c>
    </row>
    <row r="403" spans="1:16" ht="17.25" customHeight="1">
      <c r="A403" s="64" t="str">
        <f>$A$1</f>
        <v>DAFTAR PENERIMA HONORARIUM/GAJI TENAGA ADMINISTRASI SEKOLAH TIDAK TETAP (PEMBAYARAN NON TUNAI)</v>
      </c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</row>
    <row r="404" spans="1:16" ht="17.25" customHeight="1">
      <c r="A404" s="64" t="s">
        <v>82</v>
      </c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</row>
    <row r="405" spans="1:16" ht="1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5" customHeight="1">
      <c r="C406" s="4" t="s">
        <v>0</v>
      </c>
      <c r="D406" s="5" t="s">
        <v>1</v>
      </c>
      <c r="E406" s="5"/>
      <c r="F406" s="5"/>
      <c r="G406" s="5"/>
      <c r="H406" s="5"/>
      <c r="I406" s="5"/>
      <c r="K406" s="6"/>
      <c r="L406" s="7"/>
      <c r="M406" s="4" t="s">
        <v>26</v>
      </c>
      <c r="N406" s="4" t="str">
        <f>N369</f>
        <v>: 07 Pengembangan Standar Pembiayaan</v>
      </c>
      <c r="O406" s="3"/>
    </row>
    <row r="407" spans="1:16" ht="15" customHeight="1">
      <c r="C407" s="4" t="s">
        <v>2</v>
      </c>
      <c r="D407" s="4" t="str">
        <f>D370</f>
        <v>: SD NEGERI LEBAKLEUNGSIR</v>
      </c>
      <c r="E407" s="4"/>
      <c r="F407" s="4"/>
      <c r="G407" s="4"/>
      <c r="H407" s="4"/>
      <c r="I407" s="4"/>
      <c r="K407" s="6"/>
      <c r="M407" s="4" t="s">
        <v>27</v>
      </c>
      <c r="N407" s="4" t="str">
        <f>N370</f>
        <v>: Pembayaran Honor Tenaga Kependidikan</v>
      </c>
      <c r="O407" s="3"/>
    </row>
    <row r="408" spans="1:16" ht="15" customHeight="1">
      <c r="C408" s="4" t="s">
        <v>3</v>
      </c>
      <c r="D408" s="4" t="str">
        <f>D371</f>
        <v>: Cikalongwetan</v>
      </c>
      <c r="E408" s="4"/>
      <c r="F408" s="4"/>
      <c r="G408" s="4"/>
      <c r="H408" s="4"/>
      <c r="I408" s="4"/>
      <c r="K408" s="6"/>
      <c r="M408" s="8" t="s">
        <v>28</v>
      </c>
      <c r="N408" s="4" t="str">
        <f>N371</f>
        <v>: 5.1.02.02.01.0013</v>
      </c>
      <c r="O408" s="3"/>
    </row>
    <row r="409" spans="1:16" ht="15" customHeight="1">
      <c r="C409" s="4" t="s">
        <v>5</v>
      </c>
      <c r="D409" s="4" t="str">
        <f>D372</f>
        <v>: Bandung Barat</v>
      </c>
      <c r="E409" s="4"/>
      <c r="F409" s="4"/>
      <c r="G409" s="4"/>
      <c r="H409" s="4"/>
      <c r="I409" s="4"/>
      <c r="K409" s="6"/>
      <c r="M409" s="4" t="s">
        <v>7</v>
      </c>
      <c r="N409" s="4" t="str">
        <f>N372</f>
        <v>: 12</v>
      </c>
      <c r="O409" s="3"/>
      <c r="P409" s="8"/>
    </row>
    <row r="410" spans="1:16" ht="15" customHeight="1">
      <c r="M410" s="8"/>
      <c r="N410" s="8"/>
      <c r="O410" s="8"/>
    </row>
    <row r="411" spans="1:16" ht="18.5" customHeight="1">
      <c r="A411" s="62" t="s">
        <v>8</v>
      </c>
      <c r="B411" s="65" t="s">
        <v>9</v>
      </c>
      <c r="C411" s="66"/>
      <c r="D411" s="62" t="s">
        <v>10</v>
      </c>
      <c r="E411" s="69" t="s">
        <v>72</v>
      </c>
      <c r="F411" s="70"/>
      <c r="G411" s="70"/>
      <c r="H411" s="71"/>
      <c r="I411" s="72" t="s">
        <v>14</v>
      </c>
      <c r="J411" s="72" t="s">
        <v>11</v>
      </c>
      <c r="K411" s="65" t="s">
        <v>12</v>
      </c>
      <c r="L411" s="66"/>
      <c r="M411" s="74" t="s">
        <v>31</v>
      </c>
      <c r="N411" s="72" t="s">
        <v>16</v>
      </c>
      <c r="O411" s="65" t="s">
        <v>17</v>
      </c>
      <c r="P411" s="66"/>
    </row>
    <row r="412" spans="1:16" ht="34" customHeight="1">
      <c r="A412" s="63"/>
      <c r="B412" s="67"/>
      <c r="C412" s="68"/>
      <c r="D412" s="63"/>
      <c r="E412" s="35" t="str">
        <f>IF(E375="","",E375)</f>
        <v>TAS/ Operator</v>
      </c>
      <c r="F412" s="35" t="str">
        <f t="shared" ref="F412:H412" si="82">IF(F375="","",F375)</f>
        <v>Guru</v>
      </c>
      <c r="G412" s="35" t="str">
        <f t="shared" si="82"/>
        <v>Pembina Ekskul</v>
      </c>
      <c r="H412" s="39" t="str">
        <f t="shared" si="82"/>
        <v>Tenaga Perpustakaan</v>
      </c>
      <c r="I412" s="73"/>
      <c r="J412" s="73"/>
      <c r="K412" s="67"/>
      <c r="L412" s="68"/>
      <c r="M412" s="75"/>
      <c r="N412" s="73"/>
      <c r="O412" s="67"/>
      <c r="P412" s="68"/>
    </row>
    <row r="413" spans="1:16" ht="24" customHeight="1">
      <c r="A413" s="11">
        <v>1</v>
      </c>
      <c r="B413" s="12" t="str">
        <f t="shared" ref="B413:B418" si="83">IF(B376="","",B376)</f>
        <v/>
      </c>
      <c r="C413" s="13"/>
      <c r="D413" s="32" t="str">
        <f t="shared" ref="D413:D418" si="84">IF(D376="","",D376)</f>
        <v/>
      </c>
      <c r="E413" s="37">
        <f>IF(E376="","",E376)</f>
        <v>400000</v>
      </c>
      <c r="F413" s="37">
        <f>IF(F376="","",F376)</f>
        <v>150000</v>
      </c>
      <c r="G413" s="37" t="str">
        <f>IF(G376="","",G376)</f>
        <v/>
      </c>
      <c r="H413" s="37" t="str">
        <f>IF(H376="","",H376)</f>
        <v/>
      </c>
      <c r="I413" s="16" t="str">
        <f>IF(B413="","",SUM(E413:H413))</f>
        <v/>
      </c>
      <c r="J413" s="38" t="str">
        <f t="shared" ref="J413:L418" si="85">IF(J376="","",J376)</f>
        <v>PTT</v>
      </c>
      <c r="K413" s="38">
        <f t="shared" si="85"/>
        <v>1</v>
      </c>
      <c r="L413" s="38" t="str">
        <f t="shared" si="85"/>
        <v>Bulan</v>
      </c>
      <c r="M413" s="17" t="str">
        <f>IFERROR(I413*0/100,"")</f>
        <v/>
      </c>
      <c r="N413" s="16" t="str">
        <f>IFERROR(SUM(I413*K413)-M413,"")</f>
        <v/>
      </c>
      <c r="O413" s="54">
        <v>1</v>
      </c>
      <c r="P413" s="56">
        <v>2</v>
      </c>
    </row>
    <row r="414" spans="1:16" ht="24" customHeight="1">
      <c r="A414" s="11">
        <v>2</v>
      </c>
      <c r="B414" s="12" t="str">
        <f t="shared" si="83"/>
        <v/>
      </c>
      <c r="C414" s="13"/>
      <c r="D414" s="32" t="str">
        <f t="shared" si="84"/>
        <v/>
      </c>
      <c r="E414" s="37" t="str">
        <f t="shared" ref="E414:H414" si="86">IF(E377="","",E377)</f>
        <v/>
      </c>
      <c r="F414" s="37" t="str">
        <f t="shared" si="86"/>
        <v/>
      </c>
      <c r="G414" s="37" t="str">
        <f t="shared" si="86"/>
        <v/>
      </c>
      <c r="H414" s="37" t="str">
        <f t="shared" si="86"/>
        <v/>
      </c>
      <c r="I414" s="16" t="str">
        <f t="shared" ref="I414:I418" si="87">IF(B414="","",SUM(E414:H414))</f>
        <v/>
      </c>
      <c r="J414" s="38" t="str">
        <f t="shared" si="85"/>
        <v/>
      </c>
      <c r="K414" s="38" t="str">
        <f t="shared" si="85"/>
        <v/>
      </c>
      <c r="L414" s="38" t="str">
        <f t="shared" si="85"/>
        <v/>
      </c>
      <c r="M414" s="17" t="str">
        <f t="shared" ref="M414:M418" si="88">IFERROR(I414*0/100,"")</f>
        <v/>
      </c>
      <c r="N414" s="16" t="str">
        <f t="shared" ref="N414:N418" si="89">IFERROR(SUM(I414*K414)-M414,"")</f>
        <v/>
      </c>
      <c r="O414" s="55"/>
      <c r="P414" s="57"/>
    </row>
    <row r="415" spans="1:16" ht="24" customHeight="1">
      <c r="A415" s="11">
        <v>3</v>
      </c>
      <c r="B415" s="12" t="str">
        <f t="shared" si="83"/>
        <v/>
      </c>
      <c r="C415" s="13"/>
      <c r="D415" s="32" t="str">
        <f t="shared" si="84"/>
        <v/>
      </c>
      <c r="E415" s="37" t="str">
        <f t="shared" ref="E415:H418" si="90">IF(E378="","",E378)</f>
        <v/>
      </c>
      <c r="F415" s="37" t="str">
        <f t="shared" si="90"/>
        <v>-</v>
      </c>
      <c r="G415" s="37" t="str">
        <f t="shared" si="90"/>
        <v>-</v>
      </c>
      <c r="H415" s="37" t="str">
        <f t="shared" si="90"/>
        <v/>
      </c>
      <c r="I415" s="16" t="str">
        <f t="shared" si="87"/>
        <v/>
      </c>
      <c r="J415" s="38" t="str">
        <f t="shared" si="85"/>
        <v/>
      </c>
      <c r="K415" s="38" t="str">
        <f t="shared" si="85"/>
        <v/>
      </c>
      <c r="L415" s="38" t="str">
        <f t="shared" si="85"/>
        <v/>
      </c>
      <c r="M415" s="17" t="str">
        <f t="shared" si="88"/>
        <v/>
      </c>
      <c r="N415" s="16" t="str">
        <f t="shared" si="89"/>
        <v/>
      </c>
      <c r="O415" s="54">
        <v>3</v>
      </c>
      <c r="P415" s="56">
        <v>4</v>
      </c>
    </row>
    <row r="416" spans="1:16" ht="24" customHeight="1">
      <c r="A416" s="11">
        <v>4</v>
      </c>
      <c r="B416" s="12" t="str">
        <f t="shared" si="83"/>
        <v/>
      </c>
      <c r="C416" s="13"/>
      <c r="D416" s="32" t="str">
        <f t="shared" si="84"/>
        <v/>
      </c>
      <c r="E416" s="37" t="str">
        <f t="shared" si="90"/>
        <v/>
      </c>
      <c r="F416" s="37" t="str">
        <f t="shared" si="90"/>
        <v/>
      </c>
      <c r="G416" s="37" t="str">
        <f t="shared" si="90"/>
        <v/>
      </c>
      <c r="H416" s="37" t="str">
        <f t="shared" si="90"/>
        <v/>
      </c>
      <c r="I416" s="16" t="str">
        <f t="shared" si="87"/>
        <v/>
      </c>
      <c r="J416" s="38" t="str">
        <f t="shared" si="85"/>
        <v/>
      </c>
      <c r="K416" s="38" t="str">
        <f t="shared" si="85"/>
        <v/>
      </c>
      <c r="L416" s="38" t="str">
        <f t="shared" si="85"/>
        <v/>
      </c>
      <c r="M416" s="17" t="str">
        <f t="shared" si="88"/>
        <v/>
      </c>
      <c r="N416" s="16" t="str">
        <f t="shared" si="89"/>
        <v/>
      </c>
      <c r="O416" s="55"/>
      <c r="P416" s="57"/>
    </row>
    <row r="417" spans="1:19" ht="24" hidden="1" customHeight="1">
      <c r="A417" s="11">
        <v>5</v>
      </c>
      <c r="B417" s="12" t="str">
        <f t="shared" si="83"/>
        <v/>
      </c>
      <c r="C417" s="13"/>
      <c r="D417" s="32" t="str">
        <f t="shared" si="84"/>
        <v/>
      </c>
      <c r="E417" s="37" t="str">
        <f t="shared" si="90"/>
        <v/>
      </c>
      <c r="F417" s="37" t="str">
        <f t="shared" si="90"/>
        <v/>
      </c>
      <c r="G417" s="37" t="str">
        <f t="shared" si="90"/>
        <v/>
      </c>
      <c r="H417" s="37" t="str">
        <f t="shared" si="90"/>
        <v/>
      </c>
      <c r="I417" s="16" t="str">
        <f t="shared" si="87"/>
        <v/>
      </c>
      <c r="J417" s="38" t="str">
        <f t="shared" si="85"/>
        <v/>
      </c>
      <c r="K417" s="38" t="str">
        <f t="shared" si="85"/>
        <v/>
      </c>
      <c r="L417" s="38" t="str">
        <f t="shared" si="85"/>
        <v/>
      </c>
      <c r="M417" s="17" t="str">
        <f t="shared" si="88"/>
        <v/>
      </c>
      <c r="N417" s="16" t="str">
        <f t="shared" si="89"/>
        <v/>
      </c>
      <c r="O417" s="58">
        <v>5</v>
      </c>
      <c r="P417" s="59">
        <v>6</v>
      </c>
    </row>
    <row r="418" spans="1:19" ht="24" hidden="1" customHeight="1">
      <c r="A418" s="11">
        <v>6</v>
      </c>
      <c r="B418" s="12" t="str">
        <f t="shared" si="83"/>
        <v/>
      </c>
      <c r="C418" s="13"/>
      <c r="D418" s="32" t="str">
        <f t="shared" si="84"/>
        <v/>
      </c>
      <c r="E418" s="37" t="str">
        <f t="shared" si="90"/>
        <v/>
      </c>
      <c r="F418" s="37" t="str">
        <f t="shared" si="90"/>
        <v/>
      </c>
      <c r="G418" s="37" t="str">
        <f t="shared" si="90"/>
        <v/>
      </c>
      <c r="H418" s="37" t="str">
        <f t="shared" si="90"/>
        <v/>
      </c>
      <c r="I418" s="16" t="str">
        <f t="shared" si="87"/>
        <v/>
      </c>
      <c r="J418" s="38" t="str">
        <f t="shared" si="85"/>
        <v/>
      </c>
      <c r="K418" s="38" t="str">
        <f t="shared" si="85"/>
        <v/>
      </c>
      <c r="L418" s="38" t="str">
        <f t="shared" si="85"/>
        <v/>
      </c>
      <c r="M418" s="17" t="str">
        <f t="shared" si="88"/>
        <v/>
      </c>
      <c r="N418" s="16" t="str">
        <f t="shared" si="89"/>
        <v/>
      </c>
      <c r="O418" s="58"/>
      <c r="P418" s="59"/>
    </row>
    <row r="419" spans="1:19" s="21" customFormat="1" ht="22.5" customHeight="1">
      <c r="A419" s="60" t="s">
        <v>20</v>
      </c>
      <c r="B419" s="61"/>
      <c r="C419" s="61"/>
      <c r="D419" s="61"/>
      <c r="E419" s="61"/>
      <c r="F419" s="61"/>
      <c r="G419" s="61"/>
      <c r="H419" s="36"/>
      <c r="I419" s="18">
        <f>SUM(I413:I418)</f>
        <v>0</v>
      </c>
      <c r="J419" s="36"/>
      <c r="K419" s="36"/>
      <c r="L419" s="36"/>
      <c r="M419" s="19">
        <f>SUM(M413:M418)</f>
        <v>0</v>
      </c>
      <c r="N419" s="18">
        <f>SUM(N413:N418)</f>
        <v>0</v>
      </c>
      <c r="O419" s="20"/>
      <c r="P419" s="20"/>
      <c r="S419" s="22"/>
    </row>
    <row r="420" spans="1:19" ht="23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N420" s="23"/>
    </row>
    <row r="421" spans="1:19" ht="17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O421" s="24" t="s">
        <v>83</v>
      </c>
    </row>
    <row r="422" spans="1:19" ht="18" customHeight="1">
      <c r="A422" s="8"/>
      <c r="C422" s="24" t="s">
        <v>21</v>
      </c>
      <c r="D422" s="24"/>
      <c r="E422" s="24"/>
      <c r="F422" s="24"/>
      <c r="G422" s="24"/>
      <c r="H422" s="24"/>
      <c r="I422" s="24"/>
      <c r="J422" s="24"/>
      <c r="K422" s="24"/>
      <c r="L422" s="8"/>
      <c r="O422" s="24" t="s">
        <v>88</v>
      </c>
    </row>
    <row r="423" spans="1:19">
      <c r="A423" s="8"/>
      <c r="C423" s="24" t="s">
        <v>22</v>
      </c>
      <c r="D423" s="24"/>
      <c r="E423" s="24"/>
      <c r="F423" s="24"/>
      <c r="G423" s="24"/>
      <c r="H423" s="24"/>
      <c r="I423" s="24"/>
      <c r="J423" s="24"/>
      <c r="K423" s="24"/>
      <c r="L423" s="8"/>
      <c r="O423" s="24" t="s">
        <v>23</v>
      </c>
    </row>
    <row r="424" spans="1:19">
      <c r="A424" s="8"/>
      <c r="C424" s="24"/>
      <c r="D424" s="24"/>
      <c r="E424" s="24"/>
      <c r="F424" s="24"/>
      <c r="G424" s="24"/>
      <c r="H424" s="24"/>
      <c r="I424" s="24"/>
      <c r="J424" s="24"/>
      <c r="K424" s="24"/>
      <c r="L424" s="8"/>
      <c r="O424" s="25"/>
      <c r="S424" s="26"/>
    </row>
    <row r="425" spans="1:19">
      <c r="A425" s="8"/>
      <c r="C425" s="24"/>
      <c r="D425" s="24"/>
      <c r="E425" s="24"/>
      <c r="F425" s="24"/>
      <c r="G425" s="24"/>
      <c r="H425" s="24"/>
      <c r="I425" s="24"/>
      <c r="J425" s="24"/>
      <c r="K425" s="24"/>
      <c r="L425" s="8"/>
      <c r="O425" s="25"/>
    </row>
    <row r="426" spans="1:19">
      <c r="A426" s="8"/>
      <c r="C426" s="24"/>
      <c r="D426" s="24"/>
      <c r="E426" s="24"/>
      <c r="F426" s="24"/>
      <c r="G426" s="24"/>
      <c r="H426" s="24"/>
      <c r="I426" s="24"/>
      <c r="J426" s="24"/>
      <c r="K426" s="24"/>
      <c r="L426" s="8"/>
      <c r="O426" s="25"/>
    </row>
    <row r="427" spans="1:19">
      <c r="A427" s="8"/>
      <c r="C427" s="24"/>
      <c r="D427" s="24"/>
      <c r="E427" s="24"/>
      <c r="F427" s="24"/>
      <c r="G427" s="24"/>
      <c r="H427" s="24"/>
      <c r="I427" s="24"/>
      <c r="J427" s="24"/>
      <c r="K427" s="24"/>
      <c r="L427" s="8"/>
      <c r="O427" s="25"/>
    </row>
    <row r="428" spans="1:19">
      <c r="A428" s="8"/>
      <c r="C428" s="24"/>
      <c r="D428" s="24"/>
      <c r="E428" s="24"/>
      <c r="F428" s="24"/>
      <c r="G428" s="24"/>
      <c r="H428" s="24"/>
      <c r="I428" s="24"/>
      <c r="J428" s="24"/>
      <c r="K428" s="24"/>
      <c r="L428" s="8"/>
      <c r="O428" s="25"/>
    </row>
    <row r="429" spans="1:19" ht="15" customHeight="1">
      <c r="A429" s="8"/>
      <c r="C429" s="27" t="str">
        <f>IF(C392="","",C392)</f>
        <v>BADRUDDIN, S.Ag.</v>
      </c>
      <c r="D429" s="28"/>
      <c r="E429" s="28"/>
      <c r="F429" s="28"/>
      <c r="G429" s="28"/>
      <c r="H429" s="28"/>
      <c r="I429" s="28"/>
      <c r="J429" s="28"/>
      <c r="K429" s="8"/>
      <c r="L429" s="8"/>
      <c r="O429" s="27" t="s">
        <v>76</v>
      </c>
    </row>
    <row r="430" spans="1:19" ht="15" customHeight="1">
      <c r="A430" s="8"/>
      <c r="C430" s="27" t="str">
        <f>IF(C393="","",C393)</f>
        <v>NIP. 197405082014121002</v>
      </c>
      <c r="D430" s="28"/>
      <c r="E430" s="28"/>
      <c r="F430" s="28"/>
      <c r="G430" s="28"/>
      <c r="H430" s="28"/>
      <c r="I430" s="28"/>
      <c r="J430" s="28"/>
      <c r="K430" s="8"/>
      <c r="L430" s="8"/>
      <c r="O430" s="27" t="s">
        <v>77</v>
      </c>
    </row>
    <row r="440" spans="1:16" ht="17.25" customHeight="1">
      <c r="A440" s="64" t="str">
        <f>$A$1</f>
        <v>DAFTAR PENERIMA HONORARIUM/GAJI TENAGA ADMINISTRASI SEKOLAH TIDAK TETAP (PEMBAYARAN NON TUNAI)</v>
      </c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</row>
    <row r="441" spans="1:16" ht="17.25" customHeight="1">
      <c r="A441" s="64" t="s">
        <v>84</v>
      </c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</row>
    <row r="442" spans="1:16" ht="1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15" customHeight="1">
      <c r="C443" s="4" t="s">
        <v>0</v>
      </c>
      <c r="D443" s="5" t="s">
        <v>1</v>
      </c>
      <c r="E443" s="5"/>
      <c r="F443" s="5"/>
      <c r="G443" s="5"/>
      <c r="H443" s="5"/>
      <c r="I443" s="5"/>
      <c r="K443" s="6"/>
      <c r="L443" s="7"/>
      <c r="M443" s="4" t="s">
        <v>26</v>
      </c>
      <c r="N443" s="4" t="str">
        <f>N406</f>
        <v>: 07 Pengembangan Standar Pembiayaan</v>
      </c>
      <c r="O443" s="3"/>
    </row>
    <row r="444" spans="1:16" ht="15" customHeight="1">
      <c r="C444" s="4" t="s">
        <v>2</v>
      </c>
      <c r="D444" s="4" t="str">
        <f>D407</f>
        <v>: SD NEGERI LEBAKLEUNGSIR</v>
      </c>
      <c r="E444" s="4"/>
      <c r="F444" s="4"/>
      <c r="G444" s="4"/>
      <c r="H444" s="4"/>
      <c r="I444" s="4"/>
      <c r="K444" s="6"/>
      <c r="M444" s="4" t="s">
        <v>27</v>
      </c>
      <c r="N444" s="4" t="str">
        <f>N407</f>
        <v>: Pembayaran Honor Tenaga Kependidikan</v>
      </c>
      <c r="O444" s="3"/>
    </row>
    <row r="445" spans="1:16" ht="15" customHeight="1">
      <c r="C445" s="4" t="s">
        <v>3</v>
      </c>
      <c r="D445" s="4" t="str">
        <f>D408</f>
        <v>: Cikalongwetan</v>
      </c>
      <c r="E445" s="4"/>
      <c r="F445" s="4"/>
      <c r="G445" s="4"/>
      <c r="H445" s="4"/>
      <c r="I445" s="4"/>
      <c r="K445" s="6"/>
      <c r="M445" s="8" t="s">
        <v>28</v>
      </c>
      <c r="N445" s="4" t="str">
        <f>N408</f>
        <v>: 5.1.02.02.01.0013</v>
      </c>
      <c r="O445" s="3"/>
    </row>
    <row r="446" spans="1:16" ht="15" customHeight="1">
      <c r="C446" s="4" t="s">
        <v>5</v>
      </c>
      <c r="D446" s="4" t="str">
        <f>D409</f>
        <v>: Bandung Barat</v>
      </c>
      <c r="E446" s="4"/>
      <c r="F446" s="4"/>
      <c r="G446" s="4"/>
      <c r="H446" s="4"/>
      <c r="I446" s="4"/>
      <c r="K446" s="6"/>
      <c r="M446" s="4" t="s">
        <v>7</v>
      </c>
      <c r="N446" s="4" t="str">
        <f>N409</f>
        <v>: 12</v>
      </c>
      <c r="O446" s="3"/>
      <c r="P446" s="8"/>
    </row>
    <row r="447" spans="1:16" ht="15" customHeight="1">
      <c r="M447" s="8"/>
      <c r="N447" s="8"/>
      <c r="O447" s="8"/>
    </row>
    <row r="448" spans="1:16" ht="18.5" customHeight="1">
      <c r="A448" s="62" t="s">
        <v>8</v>
      </c>
      <c r="B448" s="65" t="s">
        <v>9</v>
      </c>
      <c r="C448" s="66"/>
      <c r="D448" s="62" t="s">
        <v>10</v>
      </c>
      <c r="E448" s="69" t="s">
        <v>72</v>
      </c>
      <c r="F448" s="70"/>
      <c r="G448" s="70"/>
      <c r="H448" s="71"/>
      <c r="I448" s="72" t="s">
        <v>14</v>
      </c>
      <c r="J448" s="72" t="s">
        <v>11</v>
      </c>
      <c r="K448" s="65" t="s">
        <v>12</v>
      </c>
      <c r="L448" s="66"/>
      <c r="M448" s="74" t="s">
        <v>31</v>
      </c>
      <c r="N448" s="72" t="s">
        <v>16</v>
      </c>
      <c r="O448" s="65" t="s">
        <v>17</v>
      </c>
      <c r="P448" s="66"/>
    </row>
    <row r="449" spans="1:19" ht="34" customHeight="1">
      <c r="A449" s="63"/>
      <c r="B449" s="67"/>
      <c r="C449" s="68"/>
      <c r="D449" s="63"/>
      <c r="E449" s="35" t="str">
        <f>IF(E412="","",E412)</f>
        <v>TAS/ Operator</v>
      </c>
      <c r="F449" s="35" t="str">
        <f t="shared" ref="F449:H449" si="91">IF(F412="","",F412)</f>
        <v>Guru</v>
      </c>
      <c r="G449" s="35" t="str">
        <f t="shared" si="91"/>
        <v>Pembina Ekskul</v>
      </c>
      <c r="H449" s="39" t="str">
        <f t="shared" si="91"/>
        <v>Tenaga Perpustakaan</v>
      </c>
      <c r="I449" s="73"/>
      <c r="J449" s="73"/>
      <c r="K449" s="67"/>
      <c r="L449" s="68"/>
      <c r="M449" s="75"/>
      <c r="N449" s="73"/>
      <c r="O449" s="67"/>
      <c r="P449" s="68"/>
    </row>
    <row r="450" spans="1:19" ht="24" customHeight="1">
      <c r="A450" s="11">
        <v>1</v>
      </c>
      <c r="B450" s="12" t="str">
        <f>IF(B413="","",B413)</f>
        <v/>
      </c>
      <c r="C450" s="13"/>
      <c r="D450" s="32" t="str">
        <f>IF(D413="","",D413)</f>
        <v/>
      </c>
      <c r="E450" s="37">
        <f>IF(E413="","",E413)</f>
        <v>400000</v>
      </c>
      <c r="F450" s="37">
        <f>IF(F413="","",F413)</f>
        <v>150000</v>
      </c>
      <c r="G450" s="37" t="str">
        <f>IF(G413="","",G413)</f>
        <v/>
      </c>
      <c r="H450" s="37" t="str">
        <f>IF(H413="","",H413)</f>
        <v/>
      </c>
      <c r="I450" s="16" t="str">
        <f>IF(B450="","",SUM(E450:H450))</f>
        <v/>
      </c>
      <c r="J450" s="38" t="str">
        <f t="shared" ref="J450:L451" si="92">IF(J413="","",J413)</f>
        <v>PTT</v>
      </c>
      <c r="K450" s="38">
        <f t="shared" si="92"/>
        <v>1</v>
      </c>
      <c r="L450" s="38" t="str">
        <f t="shared" si="92"/>
        <v>Bulan</v>
      </c>
      <c r="M450" s="17" t="str">
        <f>IFERROR(I450*0/100,"")</f>
        <v/>
      </c>
      <c r="N450" s="16" t="str">
        <f>IFERROR(SUM(I450*K450)-M450,"")</f>
        <v/>
      </c>
      <c r="O450" s="54">
        <v>1</v>
      </c>
      <c r="P450" s="56">
        <v>2</v>
      </c>
    </row>
    <row r="451" spans="1:19" ht="24" customHeight="1">
      <c r="A451" s="11">
        <v>2</v>
      </c>
      <c r="B451" s="12" t="str">
        <f>IF(B414="","",B414)</f>
        <v/>
      </c>
      <c r="C451" s="13"/>
      <c r="D451" s="32" t="str">
        <f>IF(D414="","",D414)</f>
        <v/>
      </c>
      <c r="E451" s="37" t="str">
        <f t="shared" ref="E451:H451" si="93">IF(E414="","",E414)</f>
        <v/>
      </c>
      <c r="F451" s="37" t="str">
        <f t="shared" si="93"/>
        <v/>
      </c>
      <c r="G451" s="37" t="str">
        <f t="shared" si="93"/>
        <v/>
      </c>
      <c r="H451" s="37" t="str">
        <f t="shared" si="93"/>
        <v/>
      </c>
      <c r="I451" s="16" t="str">
        <f t="shared" ref="I451:I455" si="94">IF(B451="","",SUM(E451:H451))</f>
        <v/>
      </c>
      <c r="J451" s="38" t="str">
        <f t="shared" si="92"/>
        <v/>
      </c>
      <c r="K451" s="38" t="str">
        <f t="shared" si="92"/>
        <v/>
      </c>
      <c r="L451" s="38" t="str">
        <f t="shared" si="92"/>
        <v/>
      </c>
      <c r="M451" s="17" t="str">
        <f t="shared" ref="M451:M455" si="95">IFERROR(I451*0/100,"")</f>
        <v/>
      </c>
      <c r="N451" s="16" t="str">
        <f t="shared" ref="N451:N455" si="96">IFERROR(SUM(I451*K451)-M451,"")</f>
        <v/>
      </c>
      <c r="O451" s="55"/>
      <c r="P451" s="57"/>
    </row>
    <row r="452" spans="1:19" ht="24" customHeight="1">
      <c r="A452" s="11">
        <v>3</v>
      </c>
      <c r="B452" s="12" t="str">
        <f t="shared" ref="B452:B455" si="97">IF(B415="","",B415)</f>
        <v/>
      </c>
      <c r="C452" s="13"/>
      <c r="D452" s="32" t="str">
        <f t="shared" ref="D452:H455" si="98">IF(D415="","",D415)</f>
        <v/>
      </c>
      <c r="E452" s="37" t="str">
        <f t="shared" si="98"/>
        <v/>
      </c>
      <c r="F452" s="37" t="str">
        <f t="shared" si="98"/>
        <v>-</v>
      </c>
      <c r="G452" s="37" t="str">
        <f t="shared" si="98"/>
        <v>-</v>
      </c>
      <c r="H452" s="37" t="str">
        <f t="shared" si="98"/>
        <v/>
      </c>
      <c r="I452" s="16" t="str">
        <f t="shared" si="94"/>
        <v/>
      </c>
      <c r="J452" s="38" t="str">
        <f t="shared" ref="J452:L455" si="99">IF(J415="","",J415)</f>
        <v/>
      </c>
      <c r="K452" s="38" t="str">
        <f t="shared" si="99"/>
        <v/>
      </c>
      <c r="L452" s="38" t="str">
        <f t="shared" si="99"/>
        <v/>
      </c>
      <c r="M452" s="17" t="str">
        <f t="shared" si="95"/>
        <v/>
      </c>
      <c r="N452" s="16" t="str">
        <f t="shared" si="96"/>
        <v/>
      </c>
      <c r="O452" s="54">
        <v>3</v>
      </c>
      <c r="P452" s="56">
        <v>4</v>
      </c>
    </row>
    <row r="453" spans="1:19" ht="24" customHeight="1">
      <c r="A453" s="11">
        <v>4</v>
      </c>
      <c r="B453" s="12" t="str">
        <f t="shared" si="97"/>
        <v/>
      </c>
      <c r="C453" s="13"/>
      <c r="D453" s="32" t="str">
        <f t="shared" si="98"/>
        <v/>
      </c>
      <c r="E453" s="37" t="str">
        <f t="shared" si="98"/>
        <v/>
      </c>
      <c r="F453" s="37" t="str">
        <f t="shared" si="98"/>
        <v/>
      </c>
      <c r="G453" s="37" t="str">
        <f t="shared" si="98"/>
        <v/>
      </c>
      <c r="H453" s="37" t="str">
        <f t="shared" si="98"/>
        <v/>
      </c>
      <c r="I453" s="16" t="str">
        <f t="shared" si="94"/>
        <v/>
      </c>
      <c r="J453" s="38" t="str">
        <f t="shared" si="99"/>
        <v/>
      </c>
      <c r="K453" s="38" t="str">
        <f t="shared" si="99"/>
        <v/>
      </c>
      <c r="L453" s="38" t="str">
        <f t="shared" si="99"/>
        <v/>
      </c>
      <c r="M453" s="17" t="str">
        <f t="shared" si="95"/>
        <v/>
      </c>
      <c r="N453" s="16" t="str">
        <f t="shared" si="96"/>
        <v/>
      </c>
      <c r="O453" s="55"/>
      <c r="P453" s="57"/>
    </row>
    <row r="454" spans="1:19" ht="24" hidden="1" customHeight="1">
      <c r="A454" s="11">
        <v>5</v>
      </c>
      <c r="B454" s="12" t="str">
        <f t="shared" si="97"/>
        <v/>
      </c>
      <c r="C454" s="13"/>
      <c r="D454" s="32" t="str">
        <f t="shared" si="98"/>
        <v/>
      </c>
      <c r="E454" s="37" t="str">
        <f t="shared" si="98"/>
        <v/>
      </c>
      <c r="F454" s="37" t="str">
        <f t="shared" si="98"/>
        <v/>
      </c>
      <c r="G454" s="37" t="str">
        <f t="shared" si="98"/>
        <v/>
      </c>
      <c r="H454" s="37" t="str">
        <f t="shared" si="98"/>
        <v/>
      </c>
      <c r="I454" s="16" t="str">
        <f t="shared" si="94"/>
        <v/>
      </c>
      <c r="J454" s="38" t="str">
        <f t="shared" si="99"/>
        <v/>
      </c>
      <c r="K454" s="38" t="str">
        <f t="shared" si="99"/>
        <v/>
      </c>
      <c r="L454" s="38" t="str">
        <f t="shared" si="99"/>
        <v/>
      </c>
      <c r="M454" s="17" t="str">
        <f t="shared" si="95"/>
        <v/>
      </c>
      <c r="N454" s="16" t="str">
        <f t="shared" si="96"/>
        <v/>
      </c>
      <c r="O454" s="58">
        <v>5</v>
      </c>
      <c r="P454" s="59">
        <v>6</v>
      </c>
    </row>
    <row r="455" spans="1:19" ht="24" hidden="1" customHeight="1">
      <c r="A455" s="11">
        <v>6</v>
      </c>
      <c r="B455" s="12" t="str">
        <f t="shared" si="97"/>
        <v/>
      </c>
      <c r="C455" s="13"/>
      <c r="D455" s="32" t="str">
        <f t="shared" si="98"/>
        <v/>
      </c>
      <c r="E455" s="37" t="str">
        <f t="shared" si="98"/>
        <v/>
      </c>
      <c r="F455" s="37" t="str">
        <f t="shared" si="98"/>
        <v/>
      </c>
      <c r="G455" s="37" t="str">
        <f t="shared" si="98"/>
        <v/>
      </c>
      <c r="H455" s="37" t="str">
        <f t="shared" si="98"/>
        <v/>
      </c>
      <c r="I455" s="16" t="str">
        <f t="shared" si="94"/>
        <v/>
      </c>
      <c r="J455" s="38" t="str">
        <f t="shared" si="99"/>
        <v/>
      </c>
      <c r="K455" s="38" t="str">
        <f t="shared" si="99"/>
        <v/>
      </c>
      <c r="L455" s="38" t="str">
        <f t="shared" si="99"/>
        <v/>
      </c>
      <c r="M455" s="17" t="str">
        <f t="shared" si="95"/>
        <v/>
      </c>
      <c r="N455" s="16" t="str">
        <f t="shared" si="96"/>
        <v/>
      </c>
      <c r="O455" s="58"/>
      <c r="P455" s="59"/>
    </row>
    <row r="456" spans="1:19" s="21" customFormat="1" ht="22.5" customHeight="1">
      <c r="A456" s="60" t="s">
        <v>20</v>
      </c>
      <c r="B456" s="61"/>
      <c r="C456" s="61"/>
      <c r="D456" s="61"/>
      <c r="E456" s="61"/>
      <c r="F456" s="61"/>
      <c r="G456" s="61"/>
      <c r="H456" s="36"/>
      <c r="I456" s="18">
        <f>SUM(I450:I455)</f>
        <v>0</v>
      </c>
      <c r="J456" s="36"/>
      <c r="K456" s="36"/>
      <c r="L456" s="36"/>
      <c r="M456" s="19">
        <f>SUM(M450:M455)</f>
        <v>0</v>
      </c>
      <c r="N456" s="18">
        <f>SUM(N450:N455)</f>
        <v>0</v>
      </c>
      <c r="O456" s="20"/>
      <c r="P456" s="20"/>
      <c r="S456" s="22"/>
    </row>
    <row r="457" spans="1:19" ht="23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N457" s="23"/>
    </row>
    <row r="458" spans="1:19" ht="17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O458" s="24" t="s">
        <v>85</v>
      </c>
    </row>
    <row r="459" spans="1:19" ht="18" customHeight="1">
      <c r="A459" s="8"/>
      <c r="C459" s="24" t="s">
        <v>21</v>
      </c>
      <c r="D459" s="24"/>
      <c r="E459" s="24"/>
      <c r="F459" s="24"/>
      <c r="G459" s="24"/>
      <c r="H459" s="24"/>
      <c r="I459" s="24"/>
      <c r="J459" s="24"/>
      <c r="K459" s="24"/>
      <c r="L459" s="8"/>
      <c r="O459" s="24" t="s">
        <v>89</v>
      </c>
    </row>
    <row r="460" spans="1:19">
      <c r="A460" s="8"/>
      <c r="C460" s="24" t="s">
        <v>22</v>
      </c>
      <c r="D460" s="24"/>
      <c r="E460" s="24"/>
      <c r="F460" s="24"/>
      <c r="G460" s="24"/>
      <c r="H460" s="24"/>
      <c r="I460" s="24"/>
      <c r="J460" s="24"/>
      <c r="K460" s="24"/>
      <c r="L460" s="8"/>
      <c r="O460" s="24" t="s">
        <v>23</v>
      </c>
    </row>
    <row r="461" spans="1:19">
      <c r="A461" s="8"/>
      <c r="C461" s="24"/>
      <c r="D461" s="24"/>
      <c r="E461" s="24"/>
      <c r="F461" s="24"/>
      <c r="G461" s="24"/>
      <c r="H461" s="24"/>
      <c r="I461" s="24"/>
      <c r="J461" s="24"/>
      <c r="K461" s="24"/>
      <c r="L461" s="8"/>
      <c r="O461" s="25"/>
      <c r="S461" s="26"/>
    </row>
    <row r="462" spans="1:19">
      <c r="A462" s="8"/>
      <c r="C462" s="24"/>
      <c r="D462" s="24"/>
      <c r="E462" s="24"/>
      <c r="F462" s="24"/>
      <c r="G462" s="24"/>
      <c r="H462" s="24"/>
      <c r="I462" s="24"/>
      <c r="J462" s="24"/>
      <c r="K462" s="24"/>
      <c r="L462" s="8"/>
      <c r="O462" s="25"/>
    </row>
    <row r="463" spans="1:19">
      <c r="A463" s="8"/>
      <c r="C463" s="24"/>
      <c r="D463" s="24"/>
      <c r="E463" s="24"/>
      <c r="F463" s="24"/>
      <c r="G463" s="24"/>
      <c r="H463" s="24"/>
      <c r="I463" s="24"/>
      <c r="J463" s="24"/>
      <c r="K463" s="24"/>
      <c r="L463" s="8"/>
      <c r="O463" s="25"/>
    </row>
    <row r="464" spans="1:19">
      <c r="A464" s="8"/>
      <c r="C464" s="24"/>
      <c r="D464" s="24"/>
      <c r="E464" s="24"/>
      <c r="F464" s="24"/>
      <c r="G464" s="24"/>
      <c r="H464" s="24"/>
      <c r="I464" s="24"/>
      <c r="J464" s="24"/>
      <c r="K464" s="24"/>
      <c r="L464" s="8"/>
      <c r="O464" s="25"/>
    </row>
    <row r="465" spans="1:15">
      <c r="A465" s="8"/>
      <c r="C465" s="24"/>
      <c r="D465" s="24"/>
      <c r="E465" s="24"/>
      <c r="F465" s="24"/>
      <c r="G465" s="24"/>
      <c r="H465" s="24"/>
      <c r="I465" s="24"/>
      <c r="J465" s="24"/>
      <c r="K465" s="24"/>
      <c r="L465" s="8"/>
      <c r="O465" s="25"/>
    </row>
    <row r="466" spans="1:15" ht="15" customHeight="1">
      <c r="A466" s="8"/>
      <c r="C466" s="27" t="str">
        <f>IF(C429="","",C429)</f>
        <v>BADRUDDIN, S.Ag.</v>
      </c>
      <c r="D466" s="28"/>
      <c r="E466" s="28"/>
      <c r="F466" s="28"/>
      <c r="G466" s="28"/>
      <c r="H466" s="28"/>
      <c r="I466" s="28"/>
      <c r="J466" s="28"/>
      <c r="K466" s="8"/>
      <c r="L466" s="8"/>
      <c r="O466" s="27" t="s">
        <v>76</v>
      </c>
    </row>
    <row r="467" spans="1:15" ht="15" customHeight="1">
      <c r="A467" s="8"/>
      <c r="C467" s="27" t="str">
        <f>IF(C430="","",C430)</f>
        <v>NIP. 197405082014121002</v>
      </c>
      <c r="D467" s="28"/>
      <c r="E467" s="28"/>
      <c r="F467" s="28"/>
      <c r="G467" s="28"/>
      <c r="H467" s="28"/>
      <c r="I467" s="28"/>
      <c r="J467" s="28"/>
      <c r="K467" s="8"/>
      <c r="L467" s="8"/>
      <c r="O467" s="27" t="s">
        <v>77</v>
      </c>
    </row>
  </sheetData>
  <mergeCells count="228">
    <mergeCell ref="N9:N10"/>
    <mergeCell ref="O9:P10"/>
    <mergeCell ref="O11:O12"/>
    <mergeCell ref="P11:P12"/>
    <mergeCell ref="O13:O14"/>
    <mergeCell ref="P13:P14"/>
    <mergeCell ref="A1:P1"/>
    <mergeCell ref="A2:P2"/>
    <mergeCell ref="A9:A10"/>
    <mergeCell ref="B9:C10"/>
    <mergeCell ref="D9:D10"/>
    <mergeCell ref="E9:H9"/>
    <mergeCell ref="I9:I10"/>
    <mergeCell ref="J9:J10"/>
    <mergeCell ref="K9:L10"/>
    <mergeCell ref="M9:M10"/>
    <mergeCell ref="O15:O16"/>
    <mergeCell ref="P15:P16"/>
    <mergeCell ref="A17:G17"/>
    <mergeCell ref="A42:P42"/>
    <mergeCell ref="A43:P43"/>
    <mergeCell ref="A50:A51"/>
    <mergeCell ref="B50:C51"/>
    <mergeCell ref="D50:D51"/>
    <mergeCell ref="E50:H50"/>
    <mergeCell ref="I50:I51"/>
    <mergeCell ref="O54:O55"/>
    <mergeCell ref="P54:P55"/>
    <mergeCell ref="O56:O57"/>
    <mergeCell ref="P56:P57"/>
    <mergeCell ref="A58:G58"/>
    <mergeCell ref="A83:P83"/>
    <mergeCell ref="J50:J51"/>
    <mergeCell ref="K50:L51"/>
    <mergeCell ref="M50:M51"/>
    <mergeCell ref="N50:N51"/>
    <mergeCell ref="O50:P51"/>
    <mergeCell ref="O52:O53"/>
    <mergeCell ref="P52:P53"/>
    <mergeCell ref="O91:P92"/>
    <mergeCell ref="O93:O94"/>
    <mergeCell ref="P93:P94"/>
    <mergeCell ref="O95:O96"/>
    <mergeCell ref="P95:P96"/>
    <mergeCell ref="O97:O98"/>
    <mergeCell ref="P97:P98"/>
    <mergeCell ref="A84:P84"/>
    <mergeCell ref="A91:A92"/>
    <mergeCell ref="B91:C92"/>
    <mergeCell ref="D91:D92"/>
    <mergeCell ref="E91:H91"/>
    <mergeCell ref="I91:I92"/>
    <mergeCell ref="J91:J92"/>
    <mergeCell ref="K91:L92"/>
    <mergeCell ref="M91:M92"/>
    <mergeCell ref="N91:N92"/>
    <mergeCell ref="M132:M133"/>
    <mergeCell ref="N132:N133"/>
    <mergeCell ref="O132:P133"/>
    <mergeCell ref="O134:O135"/>
    <mergeCell ref="P134:P135"/>
    <mergeCell ref="O136:O137"/>
    <mergeCell ref="P136:P137"/>
    <mergeCell ref="A99:G99"/>
    <mergeCell ref="A124:P124"/>
    <mergeCell ref="A125:P125"/>
    <mergeCell ref="A132:A133"/>
    <mergeCell ref="B132:C133"/>
    <mergeCell ref="D132:D133"/>
    <mergeCell ref="E132:H132"/>
    <mergeCell ref="I132:I133"/>
    <mergeCell ref="J132:J133"/>
    <mergeCell ref="K132:L133"/>
    <mergeCell ref="O138:O139"/>
    <mergeCell ref="P138:P139"/>
    <mergeCell ref="A140:G140"/>
    <mergeCell ref="A165:P165"/>
    <mergeCell ref="A166:P166"/>
    <mergeCell ref="A173:A174"/>
    <mergeCell ref="B173:C174"/>
    <mergeCell ref="D173:D174"/>
    <mergeCell ref="E173:H173"/>
    <mergeCell ref="I173:I174"/>
    <mergeCell ref="O177:O178"/>
    <mergeCell ref="P177:P178"/>
    <mergeCell ref="O179:O180"/>
    <mergeCell ref="P179:P180"/>
    <mergeCell ref="A181:G181"/>
    <mergeCell ref="A206:P206"/>
    <mergeCell ref="J173:J174"/>
    <mergeCell ref="K173:L174"/>
    <mergeCell ref="M173:M174"/>
    <mergeCell ref="N173:N174"/>
    <mergeCell ref="O173:P174"/>
    <mergeCell ref="O175:O176"/>
    <mergeCell ref="P175:P176"/>
    <mergeCell ref="O214:P215"/>
    <mergeCell ref="O216:O217"/>
    <mergeCell ref="P216:P217"/>
    <mergeCell ref="O218:O219"/>
    <mergeCell ref="P218:P219"/>
    <mergeCell ref="O220:O221"/>
    <mergeCell ref="P220:P221"/>
    <mergeCell ref="A207:P207"/>
    <mergeCell ref="A214:A215"/>
    <mergeCell ref="B214:C215"/>
    <mergeCell ref="D214:D215"/>
    <mergeCell ref="E214:H214"/>
    <mergeCell ref="I214:I215"/>
    <mergeCell ref="J214:J215"/>
    <mergeCell ref="K214:L215"/>
    <mergeCell ref="M214:M215"/>
    <mergeCell ref="N214:N215"/>
    <mergeCell ref="M255:M256"/>
    <mergeCell ref="N255:N256"/>
    <mergeCell ref="O255:P256"/>
    <mergeCell ref="O257:O258"/>
    <mergeCell ref="P257:P258"/>
    <mergeCell ref="O259:O260"/>
    <mergeCell ref="P259:P260"/>
    <mergeCell ref="A222:G222"/>
    <mergeCell ref="A247:P247"/>
    <mergeCell ref="A248:P248"/>
    <mergeCell ref="A255:A256"/>
    <mergeCell ref="B255:C256"/>
    <mergeCell ref="D255:D256"/>
    <mergeCell ref="E255:H255"/>
    <mergeCell ref="I255:I256"/>
    <mergeCell ref="J255:J256"/>
    <mergeCell ref="K255:L256"/>
    <mergeCell ref="O261:O262"/>
    <mergeCell ref="P261:P262"/>
    <mergeCell ref="A263:G263"/>
    <mergeCell ref="A288:P288"/>
    <mergeCell ref="A289:P289"/>
    <mergeCell ref="A296:A297"/>
    <mergeCell ref="B296:C297"/>
    <mergeCell ref="D296:D297"/>
    <mergeCell ref="E296:H296"/>
    <mergeCell ref="I296:I297"/>
    <mergeCell ref="O300:O301"/>
    <mergeCell ref="P300:P301"/>
    <mergeCell ref="O302:O303"/>
    <mergeCell ref="P302:P303"/>
    <mergeCell ref="A304:G304"/>
    <mergeCell ref="A329:P329"/>
    <mergeCell ref="J296:J297"/>
    <mergeCell ref="K296:L297"/>
    <mergeCell ref="M296:M297"/>
    <mergeCell ref="N296:N297"/>
    <mergeCell ref="O296:P297"/>
    <mergeCell ref="O298:O299"/>
    <mergeCell ref="P298:P299"/>
    <mergeCell ref="O337:P338"/>
    <mergeCell ref="O339:O340"/>
    <mergeCell ref="P339:P340"/>
    <mergeCell ref="O341:O342"/>
    <mergeCell ref="P341:P342"/>
    <mergeCell ref="O343:O344"/>
    <mergeCell ref="P343:P344"/>
    <mergeCell ref="A330:P330"/>
    <mergeCell ref="A337:A338"/>
    <mergeCell ref="B337:C338"/>
    <mergeCell ref="D337:D338"/>
    <mergeCell ref="E337:H337"/>
    <mergeCell ref="I337:I338"/>
    <mergeCell ref="J337:J338"/>
    <mergeCell ref="K337:L338"/>
    <mergeCell ref="M337:M338"/>
    <mergeCell ref="N337:N338"/>
    <mergeCell ref="M374:M375"/>
    <mergeCell ref="N374:N375"/>
    <mergeCell ref="O374:P375"/>
    <mergeCell ref="O376:O377"/>
    <mergeCell ref="P376:P377"/>
    <mergeCell ref="O378:O379"/>
    <mergeCell ref="P378:P379"/>
    <mergeCell ref="A345:G345"/>
    <mergeCell ref="A366:P366"/>
    <mergeCell ref="A367:P367"/>
    <mergeCell ref="A374:A375"/>
    <mergeCell ref="B374:C375"/>
    <mergeCell ref="D374:D375"/>
    <mergeCell ref="E374:H374"/>
    <mergeCell ref="I374:I375"/>
    <mergeCell ref="J374:J375"/>
    <mergeCell ref="K374:L375"/>
    <mergeCell ref="O380:O381"/>
    <mergeCell ref="P380:P381"/>
    <mergeCell ref="A382:G382"/>
    <mergeCell ref="A403:P403"/>
    <mergeCell ref="A404:P404"/>
    <mergeCell ref="A411:A412"/>
    <mergeCell ref="B411:C412"/>
    <mergeCell ref="D411:D412"/>
    <mergeCell ref="E411:H411"/>
    <mergeCell ref="I411:I412"/>
    <mergeCell ref="O415:O416"/>
    <mergeCell ref="P415:P416"/>
    <mergeCell ref="O417:O418"/>
    <mergeCell ref="P417:P418"/>
    <mergeCell ref="A419:G419"/>
    <mergeCell ref="A440:P440"/>
    <mergeCell ref="J411:J412"/>
    <mergeCell ref="K411:L412"/>
    <mergeCell ref="M411:M412"/>
    <mergeCell ref="N411:N412"/>
    <mergeCell ref="O411:P412"/>
    <mergeCell ref="O413:O414"/>
    <mergeCell ref="P413:P414"/>
    <mergeCell ref="A456:G456"/>
    <mergeCell ref="O448:P449"/>
    <mergeCell ref="O450:O451"/>
    <mergeCell ref="P450:P451"/>
    <mergeCell ref="O452:O453"/>
    <mergeCell ref="P452:P453"/>
    <mergeCell ref="O454:O455"/>
    <mergeCell ref="P454:P455"/>
    <mergeCell ref="A441:P441"/>
    <mergeCell ref="A448:A449"/>
    <mergeCell ref="B448:C449"/>
    <mergeCell ref="D448:D449"/>
    <mergeCell ref="E448:H448"/>
    <mergeCell ref="I448:I449"/>
    <mergeCell ref="J448:J449"/>
    <mergeCell ref="K448:L449"/>
    <mergeCell ref="M448:M449"/>
    <mergeCell ref="N448:N449"/>
  </mergeCells>
  <pageMargins left="0.86614173228346458" right="0.74803149606299213" top="0.94488188976377963" bottom="0.59055118110236227" header="0.31496062992125984" footer="0.31496062992125984"/>
  <pageSetup paperSize="10000" scale="89" fitToHeight="0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1F9-4CA4-410B-A2D1-5DEA9FAACC84}">
  <sheetPr>
    <tabColor rgb="FF92D050"/>
    <pageSetUpPr fitToPage="1"/>
  </sheetPr>
  <dimension ref="A1:S431"/>
  <sheetViews>
    <sheetView showGridLines="0" zoomScale="70" zoomScaleNormal="70" workbookViewId="0">
      <selection activeCell="R8" sqref="R8"/>
    </sheetView>
  </sheetViews>
  <sheetFormatPr defaultRowHeight="11.5"/>
  <cols>
    <col min="1" max="1" width="4.453125" style="1" customWidth="1"/>
    <col min="2" max="2" width="7.453125" style="1" customWidth="1"/>
    <col min="3" max="3" width="15.26953125" style="1" customWidth="1"/>
    <col min="4" max="4" width="27.26953125" style="1" customWidth="1"/>
    <col min="5" max="8" width="9.81640625" style="1" hidden="1" customWidth="1"/>
    <col min="9" max="9" width="9.81640625" style="1" customWidth="1"/>
    <col min="10" max="10" width="7.81640625" style="1" customWidth="1"/>
    <col min="11" max="11" width="3.7265625" style="1" customWidth="1"/>
    <col min="12" max="12" width="7.6328125" style="1" customWidth="1"/>
    <col min="13" max="13" width="15.08984375" style="1" customWidth="1"/>
    <col min="14" max="14" width="12.90625" style="1" customWidth="1"/>
    <col min="15" max="16" width="18.7265625" style="1" customWidth="1"/>
    <col min="17" max="17" width="5.54296875" style="1" customWidth="1"/>
    <col min="18" max="18" width="15.26953125" style="1" customWidth="1"/>
    <col min="19" max="19" width="35.26953125" style="2" customWidth="1"/>
    <col min="20" max="20" width="10.26953125" style="1" customWidth="1"/>
    <col min="21" max="21" width="12.54296875" style="1" customWidth="1"/>
    <col min="22" max="22" width="16" style="1" customWidth="1"/>
    <col min="23" max="23" width="16.54296875" style="1" customWidth="1"/>
    <col min="24" max="24" width="21.81640625" style="1" customWidth="1"/>
    <col min="25" max="255" width="8.7265625" style="1"/>
    <col min="256" max="256" width="7.81640625" style="1" customWidth="1"/>
    <col min="257" max="257" width="8.54296875" style="1" customWidth="1"/>
    <col min="258" max="258" width="20.1796875" style="1" customWidth="1"/>
    <col min="259" max="259" width="16.453125" style="1" customWidth="1"/>
    <col min="260" max="260" width="22.26953125" style="1" customWidth="1"/>
    <col min="261" max="261" width="17.81640625" style="1" customWidth="1"/>
    <col min="262" max="262" width="22.81640625" style="1" customWidth="1"/>
    <col min="263" max="263" width="25.453125" style="1" customWidth="1"/>
    <col min="264" max="265" width="6.7265625" style="1" customWidth="1"/>
    <col min="266" max="266" width="26.453125" style="1" customWidth="1"/>
    <col min="267" max="267" width="18.54296875" style="1" customWidth="1"/>
    <col min="268" max="268" width="29.81640625" style="1" customWidth="1"/>
    <col min="269" max="269" width="23.54296875" style="1" customWidth="1"/>
    <col min="270" max="270" width="31.453125" style="1" customWidth="1"/>
    <col min="271" max="511" width="8.7265625" style="1"/>
    <col min="512" max="512" width="7.81640625" style="1" customWidth="1"/>
    <col min="513" max="513" width="8.54296875" style="1" customWidth="1"/>
    <col min="514" max="514" width="20.1796875" style="1" customWidth="1"/>
    <col min="515" max="515" width="16.453125" style="1" customWidth="1"/>
    <col min="516" max="516" width="22.26953125" style="1" customWidth="1"/>
    <col min="517" max="517" width="17.81640625" style="1" customWidth="1"/>
    <col min="518" max="518" width="22.81640625" style="1" customWidth="1"/>
    <col min="519" max="519" width="25.453125" style="1" customWidth="1"/>
    <col min="520" max="521" width="6.7265625" style="1" customWidth="1"/>
    <col min="522" max="522" width="26.453125" style="1" customWidth="1"/>
    <col min="523" max="523" width="18.54296875" style="1" customWidth="1"/>
    <col min="524" max="524" width="29.81640625" style="1" customWidth="1"/>
    <col min="525" max="525" width="23.54296875" style="1" customWidth="1"/>
    <col min="526" max="526" width="31.453125" style="1" customWidth="1"/>
    <col min="527" max="767" width="8.7265625" style="1"/>
    <col min="768" max="768" width="7.81640625" style="1" customWidth="1"/>
    <col min="769" max="769" width="8.54296875" style="1" customWidth="1"/>
    <col min="770" max="770" width="20.1796875" style="1" customWidth="1"/>
    <col min="771" max="771" width="16.453125" style="1" customWidth="1"/>
    <col min="772" max="772" width="22.26953125" style="1" customWidth="1"/>
    <col min="773" max="773" width="17.81640625" style="1" customWidth="1"/>
    <col min="774" max="774" width="22.81640625" style="1" customWidth="1"/>
    <col min="775" max="775" width="25.453125" style="1" customWidth="1"/>
    <col min="776" max="777" width="6.7265625" style="1" customWidth="1"/>
    <col min="778" max="778" width="26.453125" style="1" customWidth="1"/>
    <col min="779" max="779" width="18.54296875" style="1" customWidth="1"/>
    <col min="780" max="780" width="29.81640625" style="1" customWidth="1"/>
    <col min="781" max="781" width="23.54296875" style="1" customWidth="1"/>
    <col min="782" max="782" width="31.453125" style="1" customWidth="1"/>
    <col min="783" max="1023" width="8.7265625" style="1"/>
    <col min="1024" max="1024" width="7.81640625" style="1" customWidth="1"/>
    <col min="1025" max="1025" width="8.54296875" style="1" customWidth="1"/>
    <col min="1026" max="1026" width="20.1796875" style="1" customWidth="1"/>
    <col min="1027" max="1027" width="16.453125" style="1" customWidth="1"/>
    <col min="1028" max="1028" width="22.26953125" style="1" customWidth="1"/>
    <col min="1029" max="1029" width="17.81640625" style="1" customWidth="1"/>
    <col min="1030" max="1030" width="22.81640625" style="1" customWidth="1"/>
    <col min="1031" max="1031" width="25.453125" style="1" customWidth="1"/>
    <col min="1032" max="1033" width="6.7265625" style="1" customWidth="1"/>
    <col min="1034" max="1034" width="26.453125" style="1" customWidth="1"/>
    <col min="1035" max="1035" width="18.54296875" style="1" customWidth="1"/>
    <col min="1036" max="1036" width="29.81640625" style="1" customWidth="1"/>
    <col min="1037" max="1037" width="23.54296875" style="1" customWidth="1"/>
    <col min="1038" max="1038" width="31.453125" style="1" customWidth="1"/>
    <col min="1039" max="1279" width="8.7265625" style="1"/>
    <col min="1280" max="1280" width="7.81640625" style="1" customWidth="1"/>
    <col min="1281" max="1281" width="8.54296875" style="1" customWidth="1"/>
    <col min="1282" max="1282" width="20.1796875" style="1" customWidth="1"/>
    <col min="1283" max="1283" width="16.453125" style="1" customWidth="1"/>
    <col min="1284" max="1284" width="22.26953125" style="1" customWidth="1"/>
    <col min="1285" max="1285" width="17.81640625" style="1" customWidth="1"/>
    <col min="1286" max="1286" width="22.81640625" style="1" customWidth="1"/>
    <col min="1287" max="1287" width="25.453125" style="1" customWidth="1"/>
    <col min="1288" max="1289" width="6.7265625" style="1" customWidth="1"/>
    <col min="1290" max="1290" width="26.453125" style="1" customWidth="1"/>
    <col min="1291" max="1291" width="18.54296875" style="1" customWidth="1"/>
    <col min="1292" max="1292" width="29.81640625" style="1" customWidth="1"/>
    <col min="1293" max="1293" width="23.54296875" style="1" customWidth="1"/>
    <col min="1294" max="1294" width="31.453125" style="1" customWidth="1"/>
    <col min="1295" max="1535" width="8.7265625" style="1"/>
    <col min="1536" max="1536" width="7.81640625" style="1" customWidth="1"/>
    <col min="1537" max="1537" width="8.54296875" style="1" customWidth="1"/>
    <col min="1538" max="1538" width="20.1796875" style="1" customWidth="1"/>
    <col min="1539" max="1539" width="16.453125" style="1" customWidth="1"/>
    <col min="1540" max="1540" width="22.26953125" style="1" customWidth="1"/>
    <col min="1541" max="1541" width="17.81640625" style="1" customWidth="1"/>
    <col min="1542" max="1542" width="22.81640625" style="1" customWidth="1"/>
    <col min="1543" max="1543" width="25.453125" style="1" customWidth="1"/>
    <col min="1544" max="1545" width="6.7265625" style="1" customWidth="1"/>
    <col min="1546" max="1546" width="26.453125" style="1" customWidth="1"/>
    <col min="1547" max="1547" width="18.54296875" style="1" customWidth="1"/>
    <col min="1548" max="1548" width="29.81640625" style="1" customWidth="1"/>
    <col min="1549" max="1549" width="23.54296875" style="1" customWidth="1"/>
    <col min="1550" max="1550" width="31.453125" style="1" customWidth="1"/>
    <col min="1551" max="1791" width="8.7265625" style="1"/>
    <col min="1792" max="1792" width="7.81640625" style="1" customWidth="1"/>
    <col min="1793" max="1793" width="8.54296875" style="1" customWidth="1"/>
    <col min="1794" max="1794" width="20.1796875" style="1" customWidth="1"/>
    <col min="1795" max="1795" width="16.453125" style="1" customWidth="1"/>
    <col min="1796" max="1796" width="22.26953125" style="1" customWidth="1"/>
    <col min="1797" max="1797" width="17.81640625" style="1" customWidth="1"/>
    <col min="1798" max="1798" width="22.81640625" style="1" customWidth="1"/>
    <col min="1799" max="1799" width="25.453125" style="1" customWidth="1"/>
    <col min="1800" max="1801" width="6.7265625" style="1" customWidth="1"/>
    <col min="1802" max="1802" width="26.453125" style="1" customWidth="1"/>
    <col min="1803" max="1803" width="18.54296875" style="1" customWidth="1"/>
    <col min="1804" max="1804" width="29.81640625" style="1" customWidth="1"/>
    <col min="1805" max="1805" width="23.54296875" style="1" customWidth="1"/>
    <col min="1806" max="1806" width="31.453125" style="1" customWidth="1"/>
    <col min="1807" max="2047" width="8.7265625" style="1"/>
    <col min="2048" max="2048" width="7.81640625" style="1" customWidth="1"/>
    <col min="2049" max="2049" width="8.54296875" style="1" customWidth="1"/>
    <col min="2050" max="2050" width="20.1796875" style="1" customWidth="1"/>
    <col min="2051" max="2051" width="16.453125" style="1" customWidth="1"/>
    <col min="2052" max="2052" width="22.26953125" style="1" customWidth="1"/>
    <col min="2053" max="2053" width="17.81640625" style="1" customWidth="1"/>
    <col min="2054" max="2054" width="22.81640625" style="1" customWidth="1"/>
    <col min="2055" max="2055" width="25.453125" style="1" customWidth="1"/>
    <col min="2056" max="2057" width="6.7265625" style="1" customWidth="1"/>
    <col min="2058" max="2058" width="26.453125" style="1" customWidth="1"/>
    <col min="2059" max="2059" width="18.54296875" style="1" customWidth="1"/>
    <col min="2060" max="2060" width="29.81640625" style="1" customWidth="1"/>
    <col min="2061" max="2061" width="23.54296875" style="1" customWidth="1"/>
    <col min="2062" max="2062" width="31.453125" style="1" customWidth="1"/>
    <col min="2063" max="2303" width="8.7265625" style="1"/>
    <col min="2304" max="2304" width="7.81640625" style="1" customWidth="1"/>
    <col min="2305" max="2305" width="8.54296875" style="1" customWidth="1"/>
    <col min="2306" max="2306" width="20.1796875" style="1" customWidth="1"/>
    <col min="2307" max="2307" width="16.453125" style="1" customWidth="1"/>
    <col min="2308" max="2308" width="22.26953125" style="1" customWidth="1"/>
    <col min="2309" max="2309" width="17.81640625" style="1" customWidth="1"/>
    <col min="2310" max="2310" width="22.81640625" style="1" customWidth="1"/>
    <col min="2311" max="2311" width="25.453125" style="1" customWidth="1"/>
    <col min="2312" max="2313" width="6.7265625" style="1" customWidth="1"/>
    <col min="2314" max="2314" width="26.453125" style="1" customWidth="1"/>
    <col min="2315" max="2315" width="18.54296875" style="1" customWidth="1"/>
    <col min="2316" max="2316" width="29.81640625" style="1" customWidth="1"/>
    <col min="2317" max="2317" width="23.54296875" style="1" customWidth="1"/>
    <col min="2318" max="2318" width="31.453125" style="1" customWidth="1"/>
    <col min="2319" max="2559" width="8.7265625" style="1"/>
    <col min="2560" max="2560" width="7.81640625" style="1" customWidth="1"/>
    <col min="2561" max="2561" width="8.54296875" style="1" customWidth="1"/>
    <col min="2562" max="2562" width="20.1796875" style="1" customWidth="1"/>
    <col min="2563" max="2563" width="16.453125" style="1" customWidth="1"/>
    <col min="2564" max="2564" width="22.26953125" style="1" customWidth="1"/>
    <col min="2565" max="2565" width="17.81640625" style="1" customWidth="1"/>
    <col min="2566" max="2566" width="22.81640625" style="1" customWidth="1"/>
    <col min="2567" max="2567" width="25.453125" style="1" customWidth="1"/>
    <col min="2568" max="2569" width="6.7265625" style="1" customWidth="1"/>
    <col min="2570" max="2570" width="26.453125" style="1" customWidth="1"/>
    <col min="2571" max="2571" width="18.54296875" style="1" customWidth="1"/>
    <col min="2572" max="2572" width="29.81640625" style="1" customWidth="1"/>
    <col min="2573" max="2573" width="23.54296875" style="1" customWidth="1"/>
    <col min="2574" max="2574" width="31.453125" style="1" customWidth="1"/>
    <col min="2575" max="2815" width="8.7265625" style="1"/>
    <col min="2816" max="2816" width="7.81640625" style="1" customWidth="1"/>
    <col min="2817" max="2817" width="8.54296875" style="1" customWidth="1"/>
    <col min="2818" max="2818" width="20.1796875" style="1" customWidth="1"/>
    <col min="2819" max="2819" width="16.453125" style="1" customWidth="1"/>
    <col min="2820" max="2820" width="22.26953125" style="1" customWidth="1"/>
    <col min="2821" max="2821" width="17.81640625" style="1" customWidth="1"/>
    <col min="2822" max="2822" width="22.81640625" style="1" customWidth="1"/>
    <col min="2823" max="2823" width="25.453125" style="1" customWidth="1"/>
    <col min="2824" max="2825" width="6.7265625" style="1" customWidth="1"/>
    <col min="2826" max="2826" width="26.453125" style="1" customWidth="1"/>
    <col min="2827" max="2827" width="18.54296875" style="1" customWidth="1"/>
    <col min="2828" max="2828" width="29.81640625" style="1" customWidth="1"/>
    <col min="2829" max="2829" width="23.54296875" style="1" customWidth="1"/>
    <col min="2830" max="2830" width="31.453125" style="1" customWidth="1"/>
    <col min="2831" max="3071" width="8.7265625" style="1"/>
    <col min="3072" max="3072" width="7.81640625" style="1" customWidth="1"/>
    <col min="3073" max="3073" width="8.54296875" style="1" customWidth="1"/>
    <col min="3074" max="3074" width="20.1796875" style="1" customWidth="1"/>
    <col min="3075" max="3075" width="16.453125" style="1" customWidth="1"/>
    <col min="3076" max="3076" width="22.26953125" style="1" customWidth="1"/>
    <col min="3077" max="3077" width="17.81640625" style="1" customWidth="1"/>
    <col min="3078" max="3078" width="22.81640625" style="1" customWidth="1"/>
    <col min="3079" max="3079" width="25.453125" style="1" customWidth="1"/>
    <col min="3080" max="3081" width="6.7265625" style="1" customWidth="1"/>
    <col min="3082" max="3082" width="26.453125" style="1" customWidth="1"/>
    <col min="3083" max="3083" width="18.54296875" style="1" customWidth="1"/>
    <col min="3084" max="3084" width="29.81640625" style="1" customWidth="1"/>
    <col min="3085" max="3085" width="23.54296875" style="1" customWidth="1"/>
    <col min="3086" max="3086" width="31.453125" style="1" customWidth="1"/>
    <col min="3087" max="3327" width="8.7265625" style="1"/>
    <col min="3328" max="3328" width="7.81640625" style="1" customWidth="1"/>
    <col min="3329" max="3329" width="8.54296875" style="1" customWidth="1"/>
    <col min="3330" max="3330" width="20.1796875" style="1" customWidth="1"/>
    <col min="3331" max="3331" width="16.453125" style="1" customWidth="1"/>
    <col min="3332" max="3332" width="22.26953125" style="1" customWidth="1"/>
    <col min="3333" max="3333" width="17.81640625" style="1" customWidth="1"/>
    <col min="3334" max="3334" width="22.81640625" style="1" customWidth="1"/>
    <col min="3335" max="3335" width="25.453125" style="1" customWidth="1"/>
    <col min="3336" max="3337" width="6.7265625" style="1" customWidth="1"/>
    <col min="3338" max="3338" width="26.453125" style="1" customWidth="1"/>
    <col min="3339" max="3339" width="18.54296875" style="1" customWidth="1"/>
    <col min="3340" max="3340" width="29.81640625" style="1" customWidth="1"/>
    <col min="3341" max="3341" width="23.54296875" style="1" customWidth="1"/>
    <col min="3342" max="3342" width="31.453125" style="1" customWidth="1"/>
    <col min="3343" max="3583" width="8.7265625" style="1"/>
    <col min="3584" max="3584" width="7.81640625" style="1" customWidth="1"/>
    <col min="3585" max="3585" width="8.54296875" style="1" customWidth="1"/>
    <col min="3586" max="3586" width="20.1796875" style="1" customWidth="1"/>
    <col min="3587" max="3587" width="16.453125" style="1" customWidth="1"/>
    <col min="3588" max="3588" width="22.26953125" style="1" customWidth="1"/>
    <col min="3589" max="3589" width="17.81640625" style="1" customWidth="1"/>
    <col min="3590" max="3590" width="22.81640625" style="1" customWidth="1"/>
    <col min="3591" max="3591" width="25.453125" style="1" customWidth="1"/>
    <col min="3592" max="3593" width="6.7265625" style="1" customWidth="1"/>
    <col min="3594" max="3594" width="26.453125" style="1" customWidth="1"/>
    <col min="3595" max="3595" width="18.54296875" style="1" customWidth="1"/>
    <col min="3596" max="3596" width="29.81640625" style="1" customWidth="1"/>
    <col min="3597" max="3597" width="23.54296875" style="1" customWidth="1"/>
    <col min="3598" max="3598" width="31.453125" style="1" customWidth="1"/>
    <col min="3599" max="3839" width="8.7265625" style="1"/>
    <col min="3840" max="3840" width="7.81640625" style="1" customWidth="1"/>
    <col min="3841" max="3841" width="8.54296875" style="1" customWidth="1"/>
    <col min="3842" max="3842" width="20.1796875" style="1" customWidth="1"/>
    <col min="3843" max="3843" width="16.453125" style="1" customWidth="1"/>
    <col min="3844" max="3844" width="22.26953125" style="1" customWidth="1"/>
    <col min="3845" max="3845" width="17.81640625" style="1" customWidth="1"/>
    <col min="3846" max="3846" width="22.81640625" style="1" customWidth="1"/>
    <col min="3847" max="3847" width="25.453125" style="1" customWidth="1"/>
    <col min="3848" max="3849" width="6.7265625" style="1" customWidth="1"/>
    <col min="3850" max="3850" width="26.453125" style="1" customWidth="1"/>
    <col min="3851" max="3851" width="18.54296875" style="1" customWidth="1"/>
    <col min="3852" max="3852" width="29.81640625" style="1" customWidth="1"/>
    <col min="3853" max="3853" width="23.54296875" style="1" customWidth="1"/>
    <col min="3854" max="3854" width="31.453125" style="1" customWidth="1"/>
    <col min="3855" max="4095" width="8.7265625" style="1"/>
    <col min="4096" max="4096" width="7.81640625" style="1" customWidth="1"/>
    <col min="4097" max="4097" width="8.54296875" style="1" customWidth="1"/>
    <col min="4098" max="4098" width="20.1796875" style="1" customWidth="1"/>
    <col min="4099" max="4099" width="16.453125" style="1" customWidth="1"/>
    <col min="4100" max="4100" width="22.26953125" style="1" customWidth="1"/>
    <col min="4101" max="4101" width="17.81640625" style="1" customWidth="1"/>
    <col min="4102" max="4102" width="22.81640625" style="1" customWidth="1"/>
    <col min="4103" max="4103" width="25.453125" style="1" customWidth="1"/>
    <col min="4104" max="4105" width="6.7265625" style="1" customWidth="1"/>
    <col min="4106" max="4106" width="26.453125" style="1" customWidth="1"/>
    <col min="4107" max="4107" width="18.54296875" style="1" customWidth="1"/>
    <col min="4108" max="4108" width="29.81640625" style="1" customWidth="1"/>
    <col min="4109" max="4109" width="23.54296875" style="1" customWidth="1"/>
    <col min="4110" max="4110" width="31.453125" style="1" customWidth="1"/>
    <col min="4111" max="4351" width="8.7265625" style="1"/>
    <col min="4352" max="4352" width="7.81640625" style="1" customWidth="1"/>
    <col min="4353" max="4353" width="8.54296875" style="1" customWidth="1"/>
    <col min="4354" max="4354" width="20.1796875" style="1" customWidth="1"/>
    <col min="4355" max="4355" width="16.453125" style="1" customWidth="1"/>
    <col min="4356" max="4356" width="22.26953125" style="1" customWidth="1"/>
    <col min="4357" max="4357" width="17.81640625" style="1" customWidth="1"/>
    <col min="4358" max="4358" width="22.81640625" style="1" customWidth="1"/>
    <col min="4359" max="4359" width="25.453125" style="1" customWidth="1"/>
    <col min="4360" max="4361" width="6.7265625" style="1" customWidth="1"/>
    <col min="4362" max="4362" width="26.453125" style="1" customWidth="1"/>
    <col min="4363" max="4363" width="18.54296875" style="1" customWidth="1"/>
    <col min="4364" max="4364" width="29.81640625" style="1" customWidth="1"/>
    <col min="4365" max="4365" width="23.54296875" style="1" customWidth="1"/>
    <col min="4366" max="4366" width="31.453125" style="1" customWidth="1"/>
    <col min="4367" max="4607" width="8.7265625" style="1"/>
    <col min="4608" max="4608" width="7.81640625" style="1" customWidth="1"/>
    <col min="4609" max="4609" width="8.54296875" style="1" customWidth="1"/>
    <col min="4610" max="4610" width="20.1796875" style="1" customWidth="1"/>
    <col min="4611" max="4611" width="16.453125" style="1" customWidth="1"/>
    <col min="4612" max="4612" width="22.26953125" style="1" customWidth="1"/>
    <col min="4613" max="4613" width="17.81640625" style="1" customWidth="1"/>
    <col min="4614" max="4614" width="22.81640625" style="1" customWidth="1"/>
    <col min="4615" max="4615" width="25.453125" style="1" customWidth="1"/>
    <col min="4616" max="4617" width="6.7265625" style="1" customWidth="1"/>
    <col min="4618" max="4618" width="26.453125" style="1" customWidth="1"/>
    <col min="4619" max="4619" width="18.54296875" style="1" customWidth="1"/>
    <col min="4620" max="4620" width="29.81640625" style="1" customWidth="1"/>
    <col min="4621" max="4621" width="23.54296875" style="1" customWidth="1"/>
    <col min="4622" max="4622" width="31.453125" style="1" customWidth="1"/>
    <col min="4623" max="4863" width="8.7265625" style="1"/>
    <col min="4864" max="4864" width="7.81640625" style="1" customWidth="1"/>
    <col min="4865" max="4865" width="8.54296875" style="1" customWidth="1"/>
    <col min="4866" max="4866" width="20.1796875" style="1" customWidth="1"/>
    <col min="4867" max="4867" width="16.453125" style="1" customWidth="1"/>
    <col min="4868" max="4868" width="22.26953125" style="1" customWidth="1"/>
    <col min="4869" max="4869" width="17.81640625" style="1" customWidth="1"/>
    <col min="4870" max="4870" width="22.81640625" style="1" customWidth="1"/>
    <col min="4871" max="4871" width="25.453125" style="1" customWidth="1"/>
    <col min="4872" max="4873" width="6.7265625" style="1" customWidth="1"/>
    <col min="4874" max="4874" width="26.453125" style="1" customWidth="1"/>
    <col min="4875" max="4875" width="18.54296875" style="1" customWidth="1"/>
    <col min="4876" max="4876" width="29.81640625" style="1" customWidth="1"/>
    <col min="4877" max="4877" width="23.54296875" style="1" customWidth="1"/>
    <col min="4878" max="4878" width="31.453125" style="1" customWidth="1"/>
    <col min="4879" max="5119" width="8.7265625" style="1"/>
    <col min="5120" max="5120" width="7.81640625" style="1" customWidth="1"/>
    <col min="5121" max="5121" width="8.54296875" style="1" customWidth="1"/>
    <col min="5122" max="5122" width="20.1796875" style="1" customWidth="1"/>
    <col min="5123" max="5123" width="16.453125" style="1" customWidth="1"/>
    <col min="5124" max="5124" width="22.26953125" style="1" customWidth="1"/>
    <col min="5125" max="5125" width="17.81640625" style="1" customWidth="1"/>
    <col min="5126" max="5126" width="22.81640625" style="1" customWidth="1"/>
    <col min="5127" max="5127" width="25.453125" style="1" customWidth="1"/>
    <col min="5128" max="5129" width="6.7265625" style="1" customWidth="1"/>
    <col min="5130" max="5130" width="26.453125" style="1" customWidth="1"/>
    <col min="5131" max="5131" width="18.54296875" style="1" customWidth="1"/>
    <col min="5132" max="5132" width="29.81640625" style="1" customWidth="1"/>
    <col min="5133" max="5133" width="23.54296875" style="1" customWidth="1"/>
    <col min="5134" max="5134" width="31.453125" style="1" customWidth="1"/>
    <col min="5135" max="5375" width="8.7265625" style="1"/>
    <col min="5376" max="5376" width="7.81640625" style="1" customWidth="1"/>
    <col min="5377" max="5377" width="8.54296875" style="1" customWidth="1"/>
    <col min="5378" max="5378" width="20.1796875" style="1" customWidth="1"/>
    <col min="5379" max="5379" width="16.453125" style="1" customWidth="1"/>
    <col min="5380" max="5380" width="22.26953125" style="1" customWidth="1"/>
    <col min="5381" max="5381" width="17.81640625" style="1" customWidth="1"/>
    <col min="5382" max="5382" width="22.81640625" style="1" customWidth="1"/>
    <col min="5383" max="5383" width="25.453125" style="1" customWidth="1"/>
    <col min="5384" max="5385" width="6.7265625" style="1" customWidth="1"/>
    <col min="5386" max="5386" width="26.453125" style="1" customWidth="1"/>
    <col min="5387" max="5387" width="18.54296875" style="1" customWidth="1"/>
    <col min="5388" max="5388" width="29.81640625" style="1" customWidth="1"/>
    <col min="5389" max="5389" width="23.54296875" style="1" customWidth="1"/>
    <col min="5390" max="5390" width="31.453125" style="1" customWidth="1"/>
    <col min="5391" max="5631" width="8.7265625" style="1"/>
    <col min="5632" max="5632" width="7.81640625" style="1" customWidth="1"/>
    <col min="5633" max="5633" width="8.54296875" style="1" customWidth="1"/>
    <col min="5634" max="5634" width="20.1796875" style="1" customWidth="1"/>
    <col min="5635" max="5635" width="16.453125" style="1" customWidth="1"/>
    <col min="5636" max="5636" width="22.26953125" style="1" customWidth="1"/>
    <col min="5637" max="5637" width="17.81640625" style="1" customWidth="1"/>
    <col min="5638" max="5638" width="22.81640625" style="1" customWidth="1"/>
    <col min="5639" max="5639" width="25.453125" style="1" customWidth="1"/>
    <col min="5640" max="5641" width="6.7265625" style="1" customWidth="1"/>
    <col min="5642" max="5642" width="26.453125" style="1" customWidth="1"/>
    <col min="5643" max="5643" width="18.54296875" style="1" customWidth="1"/>
    <col min="5644" max="5644" width="29.81640625" style="1" customWidth="1"/>
    <col min="5645" max="5645" width="23.54296875" style="1" customWidth="1"/>
    <col min="5646" max="5646" width="31.453125" style="1" customWidth="1"/>
    <col min="5647" max="5887" width="8.7265625" style="1"/>
    <col min="5888" max="5888" width="7.81640625" style="1" customWidth="1"/>
    <col min="5889" max="5889" width="8.54296875" style="1" customWidth="1"/>
    <col min="5890" max="5890" width="20.1796875" style="1" customWidth="1"/>
    <col min="5891" max="5891" width="16.453125" style="1" customWidth="1"/>
    <col min="5892" max="5892" width="22.26953125" style="1" customWidth="1"/>
    <col min="5893" max="5893" width="17.81640625" style="1" customWidth="1"/>
    <col min="5894" max="5894" width="22.81640625" style="1" customWidth="1"/>
    <col min="5895" max="5895" width="25.453125" style="1" customWidth="1"/>
    <col min="5896" max="5897" width="6.7265625" style="1" customWidth="1"/>
    <col min="5898" max="5898" width="26.453125" style="1" customWidth="1"/>
    <col min="5899" max="5899" width="18.54296875" style="1" customWidth="1"/>
    <col min="5900" max="5900" width="29.81640625" style="1" customWidth="1"/>
    <col min="5901" max="5901" width="23.54296875" style="1" customWidth="1"/>
    <col min="5902" max="5902" width="31.453125" style="1" customWidth="1"/>
    <col min="5903" max="6143" width="8.7265625" style="1"/>
    <col min="6144" max="6144" width="7.81640625" style="1" customWidth="1"/>
    <col min="6145" max="6145" width="8.54296875" style="1" customWidth="1"/>
    <col min="6146" max="6146" width="20.1796875" style="1" customWidth="1"/>
    <col min="6147" max="6147" width="16.453125" style="1" customWidth="1"/>
    <col min="6148" max="6148" width="22.26953125" style="1" customWidth="1"/>
    <col min="6149" max="6149" width="17.81640625" style="1" customWidth="1"/>
    <col min="6150" max="6150" width="22.81640625" style="1" customWidth="1"/>
    <col min="6151" max="6151" width="25.453125" style="1" customWidth="1"/>
    <col min="6152" max="6153" width="6.7265625" style="1" customWidth="1"/>
    <col min="6154" max="6154" width="26.453125" style="1" customWidth="1"/>
    <col min="6155" max="6155" width="18.54296875" style="1" customWidth="1"/>
    <col min="6156" max="6156" width="29.81640625" style="1" customWidth="1"/>
    <col min="6157" max="6157" width="23.54296875" style="1" customWidth="1"/>
    <col min="6158" max="6158" width="31.453125" style="1" customWidth="1"/>
    <col min="6159" max="6399" width="8.7265625" style="1"/>
    <col min="6400" max="6400" width="7.81640625" style="1" customWidth="1"/>
    <col min="6401" max="6401" width="8.54296875" style="1" customWidth="1"/>
    <col min="6402" max="6402" width="20.1796875" style="1" customWidth="1"/>
    <col min="6403" max="6403" width="16.453125" style="1" customWidth="1"/>
    <col min="6404" max="6404" width="22.26953125" style="1" customWidth="1"/>
    <col min="6405" max="6405" width="17.81640625" style="1" customWidth="1"/>
    <col min="6406" max="6406" width="22.81640625" style="1" customWidth="1"/>
    <col min="6407" max="6407" width="25.453125" style="1" customWidth="1"/>
    <col min="6408" max="6409" width="6.7265625" style="1" customWidth="1"/>
    <col min="6410" max="6410" width="26.453125" style="1" customWidth="1"/>
    <col min="6411" max="6411" width="18.54296875" style="1" customWidth="1"/>
    <col min="6412" max="6412" width="29.81640625" style="1" customWidth="1"/>
    <col min="6413" max="6413" width="23.54296875" style="1" customWidth="1"/>
    <col min="6414" max="6414" width="31.453125" style="1" customWidth="1"/>
    <col min="6415" max="6655" width="8.7265625" style="1"/>
    <col min="6656" max="6656" width="7.81640625" style="1" customWidth="1"/>
    <col min="6657" max="6657" width="8.54296875" style="1" customWidth="1"/>
    <col min="6658" max="6658" width="20.1796875" style="1" customWidth="1"/>
    <col min="6659" max="6659" width="16.453125" style="1" customWidth="1"/>
    <col min="6660" max="6660" width="22.26953125" style="1" customWidth="1"/>
    <col min="6661" max="6661" width="17.81640625" style="1" customWidth="1"/>
    <col min="6662" max="6662" width="22.81640625" style="1" customWidth="1"/>
    <col min="6663" max="6663" width="25.453125" style="1" customWidth="1"/>
    <col min="6664" max="6665" width="6.7265625" style="1" customWidth="1"/>
    <col min="6666" max="6666" width="26.453125" style="1" customWidth="1"/>
    <col min="6667" max="6667" width="18.54296875" style="1" customWidth="1"/>
    <col min="6668" max="6668" width="29.81640625" style="1" customWidth="1"/>
    <col min="6669" max="6669" width="23.54296875" style="1" customWidth="1"/>
    <col min="6670" max="6670" width="31.453125" style="1" customWidth="1"/>
    <col min="6671" max="6911" width="8.7265625" style="1"/>
    <col min="6912" max="6912" width="7.81640625" style="1" customWidth="1"/>
    <col min="6913" max="6913" width="8.54296875" style="1" customWidth="1"/>
    <col min="6914" max="6914" width="20.1796875" style="1" customWidth="1"/>
    <col min="6915" max="6915" width="16.453125" style="1" customWidth="1"/>
    <col min="6916" max="6916" width="22.26953125" style="1" customWidth="1"/>
    <col min="6917" max="6917" width="17.81640625" style="1" customWidth="1"/>
    <col min="6918" max="6918" width="22.81640625" style="1" customWidth="1"/>
    <col min="6919" max="6919" width="25.453125" style="1" customWidth="1"/>
    <col min="6920" max="6921" width="6.7265625" style="1" customWidth="1"/>
    <col min="6922" max="6922" width="26.453125" style="1" customWidth="1"/>
    <col min="6923" max="6923" width="18.54296875" style="1" customWidth="1"/>
    <col min="6924" max="6924" width="29.81640625" style="1" customWidth="1"/>
    <col min="6925" max="6925" width="23.54296875" style="1" customWidth="1"/>
    <col min="6926" max="6926" width="31.453125" style="1" customWidth="1"/>
    <col min="6927" max="7167" width="8.7265625" style="1"/>
    <col min="7168" max="7168" width="7.81640625" style="1" customWidth="1"/>
    <col min="7169" max="7169" width="8.54296875" style="1" customWidth="1"/>
    <col min="7170" max="7170" width="20.1796875" style="1" customWidth="1"/>
    <col min="7171" max="7171" width="16.453125" style="1" customWidth="1"/>
    <col min="7172" max="7172" width="22.26953125" style="1" customWidth="1"/>
    <col min="7173" max="7173" width="17.81640625" style="1" customWidth="1"/>
    <col min="7174" max="7174" width="22.81640625" style="1" customWidth="1"/>
    <col min="7175" max="7175" width="25.453125" style="1" customWidth="1"/>
    <col min="7176" max="7177" width="6.7265625" style="1" customWidth="1"/>
    <col min="7178" max="7178" width="26.453125" style="1" customWidth="1"/>
    <col min="7179" max="7179" width="18.54296875" style="1" customWidth="1"/>
    <col min="7180" max="7180" width="29.81640625" style="1" customWidth="1"/>
    <col min="7181" max="7181" width="23.54296875" style="1" customWidth="1"/>
    <col min="7182" max="7182" width="31.453125" style="1" customWidth="1"/>
    <col min="7183" max="7423" width="8.7265625" style="1"/>
    <col min="7424" max="7424" width="7.81640625" style="1" customWidth="1"/>
    <col min="7425" max="7425" width="8.54296875" style="1" customWidth="1"/>
    <col min="7426" max="7426" width="20.1796875" style="1" customWidth="1"/>
    <col min="7427" max="7427" width="16.453125" style="1" customWidth="1"/>
    <col min="7428" max="7428" width="22.26953125" style="1" customWidth="1"/>
    <col min="7429" max="7429" width="17.81640625" style="1" customWidth="1"/>
    <col min="7430" max="7430" width="22.81640625" style="1" customWidth="1"/>
    <col min="7431" max="7431" width="25.453125" style="1" customWidth="1"/>
    <col min="7432" max="7433" width="6.7265625" style="1" customWidth="1"/>
    <col min="7434" max="7434" width="26.453125" style="1" customWidth="1"/>
    <col min="7435" max="7435" width="18.54296875" style="1" customWidth="1"/>
    <col min="7436" max="7436" width="29.81640625" style="1" customWidth="1"/>
    <col min="7437" max="7437" width="23.54296875" style="1" customWidth="1"/>
    <col min="7438" max="7438" width="31.453125" style="1" customWidth="1"/>
    <col min="7439" max="7679" width="8.7265625" style="1"/>
    <col min="7680" max="7680" width="7.81640625" style="1" customWidth="1"/>
    <col min="7681" max="7681" width="8.54296875" style="1" customWidth="1"/>
    <col min="7682" max="7682" width="20.1796875" style="1" customWidth="1"/>
    <col min="7683" max="7683" width="16.453125" style="1" customWidth="1"/>
    <col min="7684" max="7684" width="22.26953125" style="1" customWidth="1"/>
    <col min="7685" max="7685" width="17.81640625" style="1" customWidth="1"/>
    <col min="7686" max="7686" width="22.81640625" style="1" customWidth="1"/>
    <col min="7687" max="7687" width="25.453125" style="1" customWidth="1"/>
    <col min="7688" max="7689" width="6.7265625" style="1" customWidth="1"/>
    <col min="7690" max="7690" width="26.453125" style="1" customWidth="1"/>
    <col min="7691" max="7691" width="18.54296875" style="1" customWidth="1"/>
    <col min="7692" max="7692" width="29.81640625" style="1" customWidth="1"/>
    <col min="7693" max="7693" width="23.54296875" style="1" customWidth="1"/>
    <col min="7694" max="7694" width="31.453125" style="1" customWidth="1"/>
    <col min="7695" max="7935" width="8.7265625" style="1"/>
    <col min="7936" max="7936" width="7.81640625" style="1" customWidth="1"/>
    <col min="7937" max="7937" width="8.54296875" style="1" customWidth="1"/>
    <col min="7938" max="7938" width="20.1796875" style="1" customWidth="1"/>
    <col min="7939" max="7939" width="16.453125" style="1" customWidth="1"/>
    <col min="7940" max="7940" width="22.26953125" style="1" customWidth="1"/>
    <col min="7941" max="7941" width="17.81640625" style="1" customWidth="1"/>
    <col min="7942" max="7942" width="22.81640625" style="1" customWidth="1"/>
    <col min="7943" max="7943" width="25.453125" style="1" customWidth="1"/>
    <col min="7944" max="7945" width="6.7265625" style="1" customWidth="1"/>
    <col min="7946" max="7946" width="26.453125" style="1" customWidth="1"/>
    <col min="7947" max="7947" width="18.54296875" style="1" customWidth="1"/>
    <col min="7948" max="7948" width="29.81640625" style="1" customWidth="1"/>
    <col min="7949" max="7949" width="23.54296875" style="1" customWidth="1"/>
    <col min="7950" max="7950" width="31.453125" style="1" customWidth="1"/>
    <col min="7951" max="8191" width="8.7265625" style="1"/>
    <col min="8192" max="8192" width="7.81640625" style="1" customWidth="1"/>
    <col min="8193" max="8193" width="8.54296875" style="1" customWidth="1"/>
    <col min="8194" max="8194" width="20.1796875" style="1" customWidth="1"/>
    <col min="8195" max="8195" width="16.453125" style="1" customWidth="1"/>
    <col min="8196" max="8196" width="22.26953125" style="1" customWidth="1"/>
    <col min="8197" max="8197" width="17.81640625" style="1" customWidth="1"/>
    <col min="8198" max="8198" width="22.81640625" style="1" customWidth="1"/>
    <col min="8199" max="8199" width="25.453125" style="1" customWidth="1"/>
    <col min="8200" max="8201" width="6.7265625" style="1" customWidth="1"/>
    <col min="8202" max="8202" width="26.453125" style="1" customWidth="1"/>
    <col min="8203" max="8203" width="18.54296875" style="1" customWidth="1"/>
    <col min="8204" max="8204" width="29.81640625" style="1" customWidth="1"/>
    <col min="8205" max="8205" width="23.54296875" style="1" customWidth="1"/>
    <col min="8206" max="8206" width="31.453125" style="1" customWidth="1"/>
    <col min="8207" max="8447" width="8.7265625" style="1"/>
    <col min="8448" max="8448" width="7.81640625" style="1" customWidth="1"/>
    <col min="8449" max="8449" width="8.54296875" style="1" customWidth="1"/>
    <col min="8450" max="8450" width="20.1796875" style="1" customWidth="1"/>
    <col min="8451" max="8451" width="16.453125" style="1" customWidth="1"/>
    <col min="8452" max="8452" width="22.26953125" style="1" customWidth="1"/>
    <col min="8453" max="8453" width="17.81640625" style="1" customWidth="1"/>
    <col min="8454" max="8454" width="22.81640625" style="1" customWidth="1"/>
    <col min="8455" max="8455" width="25.453125" style="1" customWidth="1"/>
    <col min="8456" max="8457" width="6.7265625" style="1" customWidth="1"/>
    <col min="8458" max="8458" width="26.453125" style="1" customWidth="1"/>
    <col min="8459" max="8459" width="18.54296875" style="1" customWidth="1"/>
    <col min="8460" max="8460" width="29.81640625" style="1" customWidth="1"/>
    <col min="8461" max="8461" width="23.54296875" style="1" customWidth="1"/>
    <col min="8462" max="8462" width="31.453125" style="1" customWidth="1"/>
    <col min="8463" max="8703" width="8.7265625" style="1"/>
    <col min="8704" max="8704" width="7.81640625" style="1" customWidth="1"/>
    <col min="8705" max="8705" width="8.54296875" style="1" customWidth="1"/>
    <col min="8706" max="8706" width="20.1796875" style="1" customWidth="1"/>
    <col min="8707" max="8707" width="16.453125" style="1" customWidth="1"/>
    <col min="8708" max="8708" width="22.26953125" style="1" customWidth="1"/>
    <col min="8709" max="8709" width="17.81640625" style="1" customWidth="1"/>
    <col min="8710" max="8710" width="22.81640625" style="1" customWidth="1"/>
    <col min="8711" max="8711" width="25.453125" style="1" customWidth="1"/>
    <col min="8712" max="8713" width="6.7265625" style="1" customWidth="1"/>
    <col min="8714" max="8714" width="26.453125" style="1" customWidth="1"/>
    <col min="8715" max="8715" width="18.54296875" style="1" customWidth="1"/>
    <col min="8716" max="8716" width="29.81640625" style="1" customWidth="1"/>
    <col min="8717" max="8717" width="23.54296875" style="1" customWidth="1"/>
    <col min="8718" max="8718" width="31.453125" style="1" customWidth="1"/>
    <col min="8719" max="8959" width="8.7265625" style="1"/>
    <col min="8960" max="8960" width="7.81640625" style="1" customWidth="1"/>
    <col min="8961" max="8961" width="8.54296875" style="1" customWidth="1"/>
    <col min="8962" max="8962" width="20.1796875" style="1" customWidth="1"/>
    <col min="8963" max="8963" width="16.453125" style="1" customWidth="1"/>
    <col min="8964" max="8964" width="22.26953125" style="1" customWidth="1"/>
    <col min="8965" max="8965" width="17.81640625" style="1" customWidth="1"/>
    <col min="8966" max="8966" width="22.81640625" style="1" customWidth="1"/>
    <col min="8967" max="8967" width="25.453125" style="1" customWidth="1"/>
    <col min="8968" max="8969" width="6.7265625" style="1" customWidth="1"/>
    <col min="8970" max="8970" width="26.453125" style="1" customWidth="1"/>
    <col min="8971" max="8971" width="18.54296875" style="1" customWidth="1"/>
    <col min="8972" max="8972" width="29.81640625" style="1" customWidth="1"/>
    <col min="8973" max="8973" width="23.54296875" style="1" customWidth="1"/>
    <col min="8974" max="8974" width="31.453125" style="1" customWidth="1"/>
    <col min="8975" max="9215" width="8.7265625" style="1"/>
    <col min="9216" max="9216" width="7.81640625" style="1" customWidth="1"/>
    <col min="9217" max="9217" width="8.54296875" style="1" customWidth="1"/>
    <col min="9218" max="9218" width="20.1796875" style="1" customWidth="1"/>
    <col min="9219" max="9219" width="16.453125" style="1" customWidth="1"/>
    <col min="9220" max="9220" width="22.26953125" style="1" customWidth="1"/>
    <col min="9221" max="9221" width="17.81640625" style="1" customWidth="1"/>
    <col min="9222" max="9222" width="22.81640625" style="1" customWidth="1"/>
    <col min="9223" max="9223" width="25.453125" style="1" customWidth="1"/>
    <col min="9224" max="9225" width="6.7265625" style="1" customWidth="1"/>
    <col min="9226" max="9226" width="26.453125" style="1" customWidth="1"/>
    <col min="9227" max="9227" width="18.54296875" style="1" customWidth="1"/>
    <col min="9228" max="9228" width="29.81640625" style="1" customWidth="1"/>
    <col min="9229" max="9229" width="23.54296875" style="1" customWidth="1"/>
    <col min="9230" max="9230" width="31.453125" style="1" customWidth="1"/>
    <col min="9231" max="9471" width="8.7265625" style="1"/>
    <col min="9472" max="9472" width="7.81640625" style="1" customWidth="1"/>
    <col min="9473" max="9473" width="8.54296875" style="1" customWidth="1"/>
    <col min="9474" max="9474" width="20.1796875" style="1" customWidth="1"/>
    <col min="9475" max="9475" width="16.453125" style="1" customWidth="1"/>
    <col min="9476" max="9476" width="22.26953125" style="1" customWidth="1"/>
    <col min="9477" max="9477" width="17.81640625" style="1" customWidth="1"/>
    <col min="9478" max="9478" width="22.81640625" style="1" customWidth="1"/>
    <col min="9479" max="9479" width="25.453125" style="1" customWidth="1"/>
    <col min="9480" max="9481" width="6.7265625" style="1" customWidth="1"/>
    <col min="9482" max="9482" width="26.453125" style="1" customWidth="1"/>
    <col min="9483" max="9483" width="18.54296875" style="1" customWidth="1"/>
    <col min="9484" max="9484" width="29.81640625" style="1" customWidth="1"/>
    <col min="9485" max="9485" width="23.54296875" style="1" customWidth="1"/>
    <col min="9486" max="9486" width="31.453125" style="1" customWidth="1"/>
    <col min="9487" max="9727" width="8.7265625" style="1"/>
    <col min="9728" max="9728" width="7.81640625" style="1" customWidth="1"/>
    <col min="9729" max="9729" width="8.54296875" style="1" customWidth="1"/>
    <col min="9730" max="9730" width="20.1796875" style="1" customWidth="1"/>
    <col min="9731" max="9731" width="16.453125" style="1" customWidth="1"/>
    <col min="9732" max="9732" width="22.26953125" style="1" customWidth="1"/>
    <col min="9733" max="9733" width="17.81640625" style="1" customWidth="1"/>
    <col min="9734" max="9734" width="22.81640625" style="1" customWidth="1"/>
    <col min="9735" max="9735" width="25.453125" style="1" customWidth="1"/>
    <col min="9736" max="9737" width="6.7265625" style="1" customWidth="1"/>
    <col min="9738" max="9738" width="26.453125" style="1" customWidth="1"/>
    <col min="9739" max="9739" width="18.54296875" style="1" customWidth="1"/>
    <col min="9740" max="9740" width="29.81640625" style="1" customWidth="1"/>
    <col min="9741" max="9741" width="23.54296875" style="1" customWidth="1"/>
    <col min="9742" max="9742" width="31.453125" style="1" customWidth="1"/>
    <col min="9743" max="9983" width="8.7265625" style="1"/>
    <col min="9984" max="9984" width="7.81640625" style="1" customWidth="1"/>
    <col min="9985" max="9985" width="8.54296875" style="1" customWidth="1"/>
    <col min="9986" max="9986" width="20.1796875" style="1" customWidth="1"/>
    <col min="9987" max="9987" width="16.453125" style="1" customWidth="1"/>
    <col min="9988" max="9988" width="22.26953125" style="1" customWidth="1"/>
    <col min="9989" max="9989" width="17.81640625" style="1" customWidth="1"/>
    <col min="9990" max="9990" width="22.81640625" style="1" customWidth="1"/>
    <col min="9991" max="9991" width="25.453125" style="1" customWidth="1"/>
    <col min="9992" max="9993" width="6.7265625" style="1" customWidth="1"/>
    <col min="9994" max="9994" width="26.453125" style="1" customWidth="1"/>
    <col min="9995" max="9995" width="18.54296875" style="1" customWidth="1"/>
    <col min="9996" max="9996" width="29.81640625" style="1" customWidth="1"/>
    <col min="9997" max="9997" width="23.54296875" style="1" customWidth="1"/>
    <col min="9998" max="9998" width="31.453125" style="1" customWidth="1"/>
    <col min="9999" max="10239" width="8.7265625" style="1"/>
    <col min="10240" max="10240" width="7.81640625" style="1" customWidth="1"/>
    <col min="10241" max="10241" width="8.54296875" style="1" customWidth="1"/>
    <col min="10242" max="10242" width="20.1796875" style="1" customWidth="1"/>
    <col min="10243" max="10243" width="16.453125" style="1" customWidth="1"/>
    <col min="10244" max="10244" width="22.26953125" style="1" customWidth="1"/>
    <col min="10245" max="10245" width="17.81640625" style="1" customWidth="1"/>
    <col min="10246" max="10246" width="22.81640625" style="1" customWidth="1"/>
    <col min="10247" max="10247" width="25.453125" style="1" customWidth="1"/>
    <col min="10248" max="10249" width="6.7265625" style="1" customWidth="1"/>
    <col min="10250" max="10250" width="26.453125" style="1" customWidth="1"/>
    <col min="10251" max="10251" width="18.54296875" style="1" customWidth="1"/>
    <col min="10252" max="10252" width="29.81640625" style="1" customWidth="1"/>
    <col min="10253" max="10253" width="23.54296875" style="1" customWidth="1"/>
    <col min="10254" max="10254" width="31.453125" style="1" customWidth="1"/>
    <col min="10255" max="10495" width="8.7265625" style="1"/>
    <col min="10496" max="10496" width="7.81640625" style="1" customWidth="1"/>
    <col min="10497" max="10497" width="8.54296875" style="1" customWidth="1"/>
    <col min="10498" max="10498" width="20.1796875" style="1" customWidth="1"/>
    <col min="10499" max="10499" width="16.453125" style="1" customWidth="1"/>
    <col min="10500" max="10500" width="22.26953125" style="1" customWidth="1"/>
    <col min="10501" max="10501" width="17.81640625" style="1" customWidth="1"/>
    <col min="10502" max="10502" width="22.81640625" style="1" customWidth="1"/>
    <col min="10503" max="10503" width="25.453125" style="1" customWidth="1"/>
    <col min="10504" max="10505" width="6.7265625" style="1" customWidth="1"/>
    <col min="10506" max="10506" width="26.453125" style="1" customWidth="1"/>
    <col min="10507" max="10507" width="18.54296875" style="1" customWidth="1"/>
    <col min="10508" max="10508" width="29.81640625" style="1" customWidth="1"/>
    <col min="10509" max="10509" width="23.54296875" style="1" customWidth="1"/>
    <col min="10510" max="10510" width="31.453125" style="1" customWidth="1"/>
    <col min="10511" max="10751" width="8.7265625" style="1"/>
    <col min="10752" max="10752" width="7.81640625" style="1" customWidth="1"/>
    <col min="10753" max="10753" width="8.54296875" style="1" customWidth="1"/>
    <col min="10754" max="10754" width="20.1796875" style="1" customWidth="1"/>
    <col min="10755" max="10755" width="16.453125" style="1" customWidth="1"/>
    <col min="10756" max="10756" width="22.26953125" style="1" customWidth="1"/>
    <col min="10757" max="10757" width="17.81640625" style="1" customWidth="1"/>
    <col min="10758" max="10758" width="22.81640625" style="1" customWidth="1"/>
    <col min="10759" max="10759" width="25.453125" style="1" customWidth="1"/>
    <col min="10760" max="10761" width="6.7265625" style="1" customWidth="1"/>
    <col min="10762" max="10762" width="26.453125" style="1" customWidth="1"/>
    <col min="10763" max="10763" width="18.54296875" style="1" customWidth="1"/>
    <col min="10764" max="10764" width="29.81640625" style="1" customWidth="1"/>
    <col min="10765" max="10765" width="23.54296875" style="1" customWidth="1"/>
    <col min="10766" max="10766" width="31.453125" style="1" customWidth="1"/>
    <col min="10767" max="11007" width="8.7265625" style="1"/>
    <col min="11008" max="11008" width="7.81640625" style="1" customWidth="1"/>
    <col min="11009" max="11009" width="8.54296875" style="1" customWidth="1"/>
    <col min="11010" max="11010" width="20.1796875" style="1" customWidth="1"/>
    <col min="11011" max="11011" width="16.453125" style="1" customWidth="1"/>
    <col min="11012" max="11012" width="22.26953125" style="1" customWidth="1"/>
    <col min="11013" max="11013" width="17.81640625" style="1" customWidth="1"/>
    <col min="11014" max="11014" width="22.81640625" style="1" customWidth="1"/>
    <col min="11015" max="11015" width="25.453125" style="1" customWidth="1"/>
    <col min="11016" max="11017" width="6.7265625" style="1" customWidth="1"/>
    <col min="11018" max="11018" width="26.453125" style="1" customWidth="1"/>
    <col min="11019" max="11019" width="18.54296875" style="1" customWidth="1"/>
    <col min="11020" max="11020" width="29.81640625" style="1" customWidth="1"/>
    <col min="11021" max="11021" width="23.54296875" style="1" customWidth="1"/>
    <col min="11022" max="11022" width="31.453125" style="1" customWidth="1"/>
    <col min="11023" max="11263" width="8.7265625" style="1"/>
    <col min="11264" max="11264" width="7.81640625" style="1" customWidth="1"/>
    <col min="11265" max="11265" width="8.54296875" style="1" customWidth="1"/>
    <col min="11266" max="11266" width="20.1796875" style="1" customWidth="1"/>
    <col min="11267" max="11267" width="16.453125" style="1" customWidth="1"/>
    <col min="11268" max="11268" width="22.26953125" style="1" customWidth="1"/>
    <col min="11269" max="11269" width="17.81640625" style="1" customWidth="1"/>
    <col min="11270" max="11270" width="22.81640625" style="1" customWidth="1"/>
    <col min="11271" max="11271" width="25.453125" style="1" customWidth="1"/>
    <col min="11272" max="11273" width="6.7265625" style="1" customWidth="1"/>
    <col min="11274" max="11274" width="26.453125" style="1" customWidth="1"/>
    <col min="11275" max="11275" width="18.54296875" style="1" customWidth="1"/>
    <col min="11276" max="11276" width="29.81640625" style="1" customWidth="1"/>
    <col min="11277" max="11277" width="23.54296875" style="1" customWidth="1"/>
    <col min="11278" max="11278" width="31.453125" style="1" customWidth="1"/>
    <col min="11279" max="11519" width="8.7265625" style="1"/>
    <col min="11520" max="11520" width="7.81640625" style="1" customWidth="1"/>
    <col min="11521" max="11521" width="8.54296875" style="1" customWidth="1"/>
    <col min="11522" max="11522" width="20.1796875" style="1" customWidth="1"/>
    <col min="11523" max="11523" width="16.453125" style="1" customWidth="1"/>
    <col min="11524" max="11524" width="22.26953125" style="1" customWidth="1"/>
    <col min="11525" max="11525" width="17.81640625" style="1" customWidth="1"/>
    <col min="11526" max="11526" width="22.81640625" style="1" customWidth="1"/>
    <col min="11527" max="11527" width="25.453125" style="1" customWidth="1"/>
    <col min="11528" max="11529" width="6.7265625" style="1" customWidth="1"/>
    <col min="11530" max="11530" width="26.453125" style="1" customWidth="1"/>
    <col min="11531" max="11531" width="18.54296875" style="1" customWidth="1"/>
    <col min="11532" max="11532" width="29.81640625" style="1" customWidth="1"/>
    <col min="11533" max="11533" width="23.54296875" style="1" customWidth="1"/>
    <col min="11534" max="11534" width="31.453125" style="1" customWidth="1"/>
    <col min="11535" max="11775" width="8.7265625" style="1"/>
    <col min="11776" max="11776" width="7.81640625" style="1" customWidth="1"/>
    <col min="11777" max="11777" width="8.54296875" style="1" customWidth="1"/>
    <col min="11778" max="11778" width="20.1796875" style="1" customWidth="1"/>
    <col min="11779" max="11779" width="16.453125" style="1" customWidth="1"/>
    <col min="11780" max="11780" width="22.26953125" style="1" customWidth="1"/>
    <col min="11781" max="11781" width="17.81640625" style="1" customWidth="1"/>
    <col min="11782" max="11782" width="22.81640625" style="1" customWidth="1"/>
    <col min="11783" max="11783" width="25.453125" style="1" customWidth="1"/>
    <col min="11784" max="11785" width="6.7265625" style="1" customWidth="1"/>
    <col min="11786" max="11786" width="26.453125" style="1" customWidth="1"/>
    <col min="11787" max="11787" width="18.54296875" style="1" customWidth="1"/>
    <col min="11788" max="11788" width="29.81640625" style="1" customWidth="1"/>
    <col min="11789" max="11789" width="23.54296875" style="1" customWidth="1"/>
    <col min="11790" max="11790" width="31.453125" style="1" customWidth="1"/>
    <col min="11791" max="12031" width="8.7265625" style="1"/>
    <col min="12032" max="12032" width="7.81640625" style="1" customWidth="1"/>
    <col min="12033" max="12033" width="8.54296875" style="1" customWidth="1"/>
    <col min="12034" max="12034" width="20.1796875" style="1" customWidth="1"/>
    <col min="12035" max="12035" width="16.453125" style="1" customWidth="1"/>
    <col min="12036" max="12036" width="22.26953125" style="1" customWidth="1"/>
    <col min="12037" max="12037" width="17.81640625" style="1" customWidth="1"/>
    <col min="12038" max="12038" width="22.81640625" style="1" customWidth="1"/>
    <col min="12039" max="12039" width="25.453125" style="1" customWidth="1"/>
    <col min="12040" max="12041" width="6.7265625" style="1" customWidth="1"/>
    <col min="12042" max="12042" width="26.453125" style="1" customWidth="1"/>
    <col min="12043" max="12043" width="18.54296875" style="1" customWidth="1"/>
    <col min="12044" max="12044" width="29.81640625" style="1" customWidth="1"/>
    <col min="12045" max="12045" width="23.54296875" style="1" customWidth="1"/>
    <col min="12046" max="12046" width="31.453125" style="1" customWidth="1"/>
    <col min="12047" max="12287" width="8.7265625" style="1"/>
    <col min="12288" max="12288" width="7.81640625" style="1" customWidth="1"/>
    <col min="12289" max="12289" width="8.54296875" style="1" customWidth="1"/>
    <col min="12290" max="12290" width="20.1796875" style="1" customWidth="1"/>
    <col min="12291" max="12291" width="16.453125" style="1" customWidth="1"/>
    <col min="12292" max="12292" width="22.26953125" style="1" customWidth="1"/>
    <col min="12293" max="12293" width="17.81640625" style="1" customWidth="1"/>
    <col min="12294" max="12294" width="22.81640625" style="1" customWidth="1"/>
    <col min="12295" max="12295" width="25.453125" style="1" customWidth="1"/>
    <col min="12296" max="12297" width="6.7265625" style="1" customWidth="1"/>
    <col min="12298" max="12298" width="26.453125" style="1" customWidth="1"/>
    <col min="12299" max="12299" width="18.54296875" style="1" customWidth="1"/>
    <col min="12300" max="12300" width="29.81640625" style="1" customWidth="1"/>
    <col min="12301" max="12301" width="23.54296875" style="1" customWidth="1"/>
    <col min="12302" max="12302" width="31.453125" style="1" customWidth="1"/>
    <col min="12303" max="12543" width="8.7265625" style="1"/>
    <col min="12544" max="12544" width="7.81640625" style="1" customWidth="1"/>
    <col min="12545" max="12545" width="8.54296875" style="1" customWidth="1"/>
    <col min="12546" max="12546" width="20.1796875" style="1" customWidth="1"/>
    <col min="12547" max="12547" width="16.453125" style="1" customWidth="1"/>
    <col min="12548" max="12548" width="22.26953125" style="1" customWidth="1"/>
    <col min="12549" max="12549" width="17.81640625" style="1" customWidth="1"/>
    <col min="12550" max="12550" width="22.81640625" style="1" customWidth="1"/>
    <col min="12551" max="12551" width="25.453125" style="1" customWidth="1"/>
    <col min="12552" max="12553" width="6.7265625" style="1" customWidth="1"/>
    <col min="12554" max="12554" width="26.453125" style="1" customWidth="1"/>
    <col min="12555" max="12555" width="18.54296875" style="1" customWidth="1"/>
    <col min="12556" max="12556" width="29.81640625" style="1" customWidth="1"/>
    <col min="12557" max="12557" width="23.54296875" style="1" customWidth="1"/>
    <col min="12558" max="12558" width="31.453125" style="1" customWidth="1"/>
    <col min="12559" max="12799" width="8.7265625" style="1"/>
    <col min="12800" max="12800" width="7.81640625" style="1" customWidth="1"/>
    <col min="12801" max="12801" width="8.54296875" style="1" customWidth="1"/>
    <col min="12802" max="12802" width="20.1796875" style="1" customWidth="1"/>
    <col min="12803" max="12803" width="16.453125" style="1" customWidth="1"/>
    <col min="12804" max="12804" width="22.26953125" style="1" customWidth="1"/>
    <col min="12805" max="12805" width="17.81640625" style="1" customWidth="1"/>
    <col min="12806" max="12806" width="22.81640625" style="1" customWidth="1"/>
    <col min="12807" max="12807" width="25.453125" style="1" customWidth="1"/>
    <col min="12808" max="12809" width="6.7265625" style="1" customWidth="1"/>
    <col min="12810" max="12810" width="26.453125" style="1" customWidth="1"/>
    <col min="12811" max="12811" width="18.54296875" style="1" customWidth="1"/>
    <col min="12812" max="12812" width="29.81640625" style="1" customWidth="1"/>
    <col min="12813" max="12813" width="23.54296875" style="1" customWidth="1"/>
    <col min="12814" max="12814" width="31.453125" style="1" customWidth="1"/>
    <col min="12815" max="13055" width="8.7265625" style="1"/>
    <col min="13056" max="13056" width="7.81640625" style="1" customWidth="1"/>
    <col min="13057" max="13057" width="8.54296875" style="1" customWidth="1"/>
    <col min="13058" max="13058" width="20.1796875" style="1" customWidth="1"/>
    <col min="13059" max="13059" width="16.453125" style="1" customWidth="1"/>
    <col min="13060" max="13060" width="22.26953125" style="1" customWidth="1"/>
    <col min="13061" max="13061" width="17.81640625" style="1" customWidth="1"/>
    <col min="13062" max="13062" width="22.81640625" style="1" customWidth="1"/>
    <col min="13063" max="13063" width="25.453125" style="1" customWidth="1"/>
    <col min="13064" max="13065" width="6.7265625" style="1" customWidth="1"/>
    <col min="13066" max="13066" width="26.453125" style="1" customWidth="1"/>
    <col min="13067" max="13067" width="18.54296875" style="1" customWidth="1"/>
    <col min="13068" max="13068" width="29.81640625" style="1" customWidth="1"/>
    <col min="13069" max="13069" width="23.54296875" style="1" customWidth="1"/>
    <col min="13070" max="13070" width="31.453125" style="1" customWidth="1"/>
    <col min="13071" max="13311" width="8.7265625" style="1"/>
    <col min="13312" max="13312" width="7.81640625" style="1" customWidth="1"/>
    <col min="13313" max="13313" width="8.54296875" style="1" customWidth="1"/>
    <col min="13314" max="13314" width="20.1796875" style="1" customWidth="1"/>
    <col min="13315" max="13315" width="16.453125" style="1" customWidth="1"/>
    <col min="13316" max="13316" width="22.26953125" style="1" customWidth="1"/>
    <col min="13317" max="13317" width="17.81640625" style="1" customWidth="1"/>
    <col min="13318" max="13318" width="22.81640625" style="1" customWidth="1"/>
    <col min="13319" max="13319" width="25.453125" style="1" customWidth="1"/>
    <col min="13320" max="13321" width="6.7265625" style="1" customWidth="1"/>
    <col min="13322" max="13322" width="26.453125" style="1" customWidth="1"/>
    <col min="13323" max="13323" width="18.54296875" style="1" customWidth="1"/>
    <col min="13324" max="13324" width="29.81640625" style="1" customWidth="1"/>
    <col min="13325" max="13325" width="23.54296875" style="1" customWidth="1"/>
    <col min="13326" max="13326" width="31.453125" style="1" customWidth="1"/>
    <col min="13327" max="13567" width="8.7265625" style="1"/>
    <col min="13568" max="13568" width="7.81640625" style="1" customWidth="1"/>
    <col min="13569" max="13569" width="8.54296875" style="1" customWidth="1"/>
    <col min="13570" max="13570" width="20.1796875" style="1" customWidth="1"/>
    <col min="13571" max="13571" width="16.453125" style="1" customWidth="1"/>
    <col min="13572" max="13572" width="22.26953125" style="1" customWidth="1"/>
    <col min="13573" max="13573" width="17.81640625" style="1" customWidth="1"/>
    <col min="13574" max="13574" width="22.81640625" style="1" customWidth="1"/>
    <col min="13575" max="13575" width="25.453125" style="1" customWidth="1"/>
    <col min="13576" max="13577" width="6.7265625" style="1" customWidth="1"/>
    <col min="13578" max="13578" width="26.453125" style="1" customWidth="1"/>
    <col min="13579" max="13579" width="18.54296875" style="1" customWidth="1"/>
    <col min="13580" max="13580" width="29.81640625" style="1" customWidth="1"/>
    <col min="13581" max="13581" width="23.54296875" style="1" customWidth="1"/>
    <col min="13582" max="13582" width="31.453125" style="1" customWidth="1"/>
    <col min="13583" max="13823" width="8.7265625" style="1"/>
    <col min="13824" max="13824" width="7.81640625" style="1" customWidth="1"/>
    <col min="13825" max="13825" width="8.54296875" style="1" customWidth="1"/>
    <col min="13826" max="13826" width="20.1796875" style="1" customWidth="1"/>
    <col min="13827" max="13827" width="16.453125" style="1" customWidth="1"/>
    <col min="13828" max="13828" width="22.26953125" style="1" customWidth="1"/>
    <col min="13829" max="13829" width="17.81640625" style="1" customWidth="1"/>
    <col min="13830" max="13830" width="22.81640625" style="1" customWidth="1"/>
    <col min="13831" max="13831" width="25.453125" style="1" customWidth="1"/>
    <col min="13832" max="13833" width="6.7265625" style="1" customWidth="1"/>
    <col min="13834" max="13834" width="26.453125" style="1" customWidth="1"/>
    <col min="13835" max="13835" width="18.54296875" style="1" customWidth="1"/>
    <col min="13836" max="13836" width="29.81640625" style="1" customWidth="1"/>
    <col min="13837" max="13837" width="23.54296875" style="1" customWidth="1"/>
    <col min="13838" max="13838" width="31.453125" style="1" customWidth="1"/>
    <col min="13839" max="14079" width="8.7265625" style="1"/>
    <col min="14080" max="14080" width="7.81640625" style="1" customWidth="1"/>
    <col min="14081" max="14081" width="8.54296875" style="1" customWidth="1"/>
    <col min="14082" max="14082" width="20.1796875" style="1" customWidth="1"/>
    <col min="14083" max="14083" width="16.453125" style="1" customWidth="1"/>
    <col min="14084" max="14084" width="22.26953125" style="1" customWidth="1"/>
    <col min="14085" max="14085" width="17.81640625" style="1" customWidth="1"/>
    <col min="14086" max="14086" width="22.81640625" style="1" customWidth="1"/>
    <col min="14087" max="14087" width="25.453125" style="1" customWidth="1"/>
    <col min="14088" max="14089" width="6.7265625" style="1" customWidth="1"/>
    <col min="14090" max="14090" width="26.453125" style="1" customWidth="1"/>
    <col min="14091" max="14091" width="18.54296875" style="1" customWidth="1"/>
    <col min="14092" max="14092" width="29.81640625" style="1" customWidth="1"/>
    <col min="14093" max="14093" width="23.54296875" style="1" customWidth="1"/>
    <col min="14094" max="14094" width="31.453125" style="1" customWidth="1"/>
    <col min="14095" max="14335" width="8.7265625" style="1"/>
    <col min="14336" max="14336" width="7.81640625" style="1" customWidth="1"/>
    <col min="14337" max="14337" width="8.54296875" style="1" customWidth="1"/>
    <col min="14338" max="14338" width="20.1796875" style="1" customWidth="1"/>
    <col min="14339" max="14339" width="16.453125" style="1" customWidth="1"/>
    <col min="14340" max="14340" width="22.26953125" style="1" customWidth="1"/>
    <col min="14341" max="14341" width="17.81640625" style="1" customWidth="1"/>
    <col min="14342" max="14342" width="22.81640625" style="1" customWidth="1"/>
    <col min="14343" max="14343" width="25.453125" style="1" customWidth="1"/>
    <col min="14344" max="14345" width="6.7265625" style="1" customWidth="1"/>
    <col min="14346" max="14346" width="26.453125" style="1" customWidth="1"/>
    <col min="14347" max="14347" width="18.54296875" style="1" customWidth="1"/>
    <col min="14348" max="14348" width="29.81640625" style="1" customWidth="1"/>
    <col min="14349" max="14349" width="23.54296875" style="1" customWidth="1"/>
    <col min="14350" max="14350" width="31.453125" style="1" customWidth="1"/>
    <col min="14351" max="14591" width="8.7265625" style="1"/>
    <col min="14592" max="14592" width="7.81640625" style="1" customWidth="1"/>
    <col min="14593" max="14593" width="8.54296875" style="1" customWidth="1"/>
    <col min="14594" max="14594" width="20.1796875" style="1" customWidth="1"/>
    <col min="14595" max="14595" width="16.453125" style="1" customWidth="1"/>
    <col min="14596" max="14596" width="22.26953125" style="1" customWidth="1"/>
    <col min="14597" max="14597" width="17.81640625" style="1" customWidth="1"/>
    <col min="14598" max="14598" width="22.81640625" style="1" customWidth="1"/>
    <col min="14599" max="14599" width="25.453125" style="1" customWidth="1"/>
    <col min="14600" max="14601" width="6.7265625" style="1" customWidth="1"/>
    <col min="14602" max="14602" width="26.453125" style="1" customWidth="1"/>
    <col min="14603" max="14603" width="18.54296875" style="1" customWidth="1"/>
    <col min="14604" max="14604" width="29.81640625" style="1" customWidth="1"/>
    <col min="14605" max="14605" width="23.54296875" style="1" customWidth="1"/>
    <col min="14606" max="14606" width="31.453125" style="1" customWidth="1"/>
    <col min="14607" max="14847" width="8.7265625" style="1"/>
    <col min="14848" max="14848" width="7.81640625" style="1" customWidth="1"/>
    <col min="14849" max="14849" width="8.54296875" style="1" customWidth="1"/>
    <col min="14850" max="14850" width="20.1796875" style="1" customWidth="1"/>
    <col min="14851" max="14851" width="16.453125" style="1" customWidth="1"/>
    <col min="14852" max="14852" width="22.26953125" style="1" customWidth="1"/>
    <col min="14853" max="14853" width="17.81640625" style="1" customWidth="1"/>
    <col min="14854" max="14854" width="22.81640625" style="1" customWidth="1"/>
    <col min="14855" max="14855" width="25.453125" style="1" customWidth="1"/>
    <col min="14856" max="14857" width="6.7265625" style="1" customWidth="1"/>
    <col min="14858" max="14858" width="26.453125" style="1" customWidth="1"/>
    <col min="14859" max="14859" width="18.54296875" style="1" customWidth="1"/>
    <col min="14860" max="14860" width="29.81640625" style="1" customWidth="1"/>
    <col min="14861" max="14861" width="23.54296875" style="1" customWidth="1"/>
    <col min="14862" max="14862" width="31.453125" style="1" customWidth="1"/>
    <col min="14863" max="15103" width="8.7265625" style="1"/>
    <col min="15104" max="15104" width="7.81640625" style="1" customWidth="1"/>
    <col min="15105" max="15105" width="8.54296875" style="1" customWidth="1"/>
    <col min="15106" max="15106" width="20.1796875" style="1" customWidth="1"/>
    <col min="15107" max="15107" width="16.453125" style="1" customWidth="1"/>
    <col min="15108" max="15108" width="22.26953125" style="1" customWidth="1"/>
    <col min="15109" max="15109" width="17.81640625" style="1" customWidth="1"/>
    <col min="15110" max="15110" width="22.81640625" style="1" customWidth="1"/>
    <col min="15111" max="15111" width="25.453125" style="1" customWidth="1"/>
    <col min="15112" max="15113" width="6.7265625" style="1" customWidth="1"/>
    <col min="15114" max="15114" width="26.453125" style="1" customWidth="1"/>
    <col min="15115" max="15115" width="18.54296875" style="1" customWidth="1"/>
    <col min="15116" max="15116" width="29.81640625" style="1" customWidth="1"/>
    <col min="15117" max="15117" width="23.54296875" style="1" customWidth="1"/>
    <col min="15118" max="15118" width="31.453125" style="1" customWidth="1"/>
    <col min="15119" max="15359" width="8.7265625" style="1"/>
    <col min="15360" max="15360" width="7.81640625" style="1" customWidth="1"/>
    <col min="15361" max="15361" width="8.54296875" style="1" customWidth="1"/>
    <col min="15362" max="15362" width="20.1796875" style="1" customWidth="1"/>
    <col min="15363" max="15363" width="16.453125" style="1" customWidth="1"/>
    <col min="15364" max="15364" width="22.26953125" style="1" customWidth="1"/>
    <col min="15365" max="15365" width="17.81640625" style="1" customWidth="1"/>
    <col min="15366" max="15366" width="22.81640625" style="1" customWidth="1"/>
    <col min="15367" max="15367" width="25.453125" style="1" customWidth="1"/>
    <col min="15368" max="15369" width="6.7265625" style="1" customWidth="1"/>
    <col min="15370" max="15370" width="26.453125" style="1" customWidth="1"/>
    <col min="15371" max="15371" width="18.54296875" style="1" customWidth="1"/>
    <col min="15372" max="15372" width="29.81640625" style="1" customWidth="1"/>
    <col min="15373" max="15373" width="23.54296875" style="1" customWidth="1"/>
    <col min="15374" max="15374" width="31.453125" style="1" customWidth="1"/>
    <col min="15375" max="15615" width="8.7265625" style="1"/>
    <col min="15616" max="15616" width="7.81640625" style="1" customWidth="1"/>
    <col min="15617" max="15617" width="8.54296875" style="1" customWidth="1"/>
    <col min="15618" max="15618" width="20.1796875" style="1" customWidth="1"/>
    <col min="15619" max="15619" width="16.453125" style="1" customWidth="1"/>
    <col min="15620" max="15620" width="22.26953125" style="1" customWidth="1"/>
    <col min="15621" max="15621" width="17.81640625" style="1" customWidth="1"/>
    <col min="15622" max="15622" width="22.81640625" style="1" customWidth="1"/>
    <col min="15623" max="15623" width="25.453125" style="1" customWidth="1"/>
    <col min="15624" max="15625" width="6.7265625" style="1" customWidth="1"/>
    <col min="15626" max="15626" width="26.453125" style="1" customWidth="1"/>
    <col min="15627" max="15627" width="18.54296875" style="1" customWidth="1"/>
    <col min="15628" max="15628" width="29.81640625" style="1" customWidth="1"/>
    <col min="15629" max="15629" width="23.54296875" style="1" customWidth="1"/>
    <col min="15630" max="15630" width="31.453125" style="1" customWidth="1"/>
    <col min="15631" max="15871" width="8.7265625" style="1"/>
    <col min="15872" max="15872" width="7.81640625" style="1" customWidth="1"/>
    <col min="15873" max="15873" width="8.54296875" style="1" customWidth="1"/>
    <col min="15874" max="15874" width="20.1796875" style="1" customWidth="1"/>
    <col min="15875" max="15875" width="16.453125" style="1" customWidth="1"/>
    <col min="15876" max="15876" width="22.26953125" style="1" customWidth="1"/>
    <col min="15877" max="15877" width="17.81640625" style="1" customWidth="1"/>
    <col min="15878" max="15878" width="22.81640625" style="1" customWidth="1"/>
    <col min="15879" max="15879" width="25.453125" style="1" customWidth="1"/>
    <col min="15880" max="15881" width="6.7265625" style="1" customWidth="1"/>
    <col min="15882" max="15882" width="26.453125" style="1" customWidth="1"/>
    <col min="15883" max="15883" width="18.54296875" style="1" customWidth="1"/>
    <col min="15884" max="15884" width="29.81640625" style="1" customWidth="1"/>
    <col min="15885" max="15885" width="23.54296875" style="1" customWidth="1"/>
    <col min="15886" max="15886" width="31.453125" style="1" customWidth="1"/>
    <col min="15887" max="16127" width="8.7265625" style="1"/>
    <col min="16128" max="16128" width="7.81640625" style="1" customWidth="1"/>
    <col min="16129" max="16129" width="8.54296875" style="1" customWidth="1"/>
    <col min="16130" max="16130" width="20.1796875" style="1" customWidth="1"/>
    <col min="16131" max="16131" width="16.453125" style="1" customWidth="1"/>
    <col min="16132" max="16132" width="22.26953125" style="1" customWidth="1"/>
    <col min="16133" max="16133" width="17.81640625" style="1" customWidth="1"/>
    <col min="16134" max="16134" width="22.81640625" style="1" customWidth="1"/>
    <col min="16135" max="16135" width="25.453125" style="1" customWidth="1"/>
    <col min="16136" max="16137" width="6.7265625" style="1" customWidth="1"/>
    <col min="16138" max="16138" width="26.453125" style="1" customWidth="1"/>
    <col min="16139" max="16139" width="18.54296875" style="1" customWidth="1"/>
    <col min="16140" max="16140" width="29.81640625" style="1" customWidth="1"/>
    <col min="16141" max="16141" width="23.54296875" style="1" customWidth="1"/>
    <col min="16142" max="16142" width="31.453125" style="1" customWidth="1"/>
    <col min="16143" max="16383" width="8.7265625" style="1"/>
    <col min="16384" max="16384" width="9.1796875" style="1" customWidth="1"/>
  </cols>
  <sheetData>
    <row r="1" spans="1:16" ht="17.25" customHeight="1">
      <c r="A1" s="64" t="s">
        <v>152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7.25" customHeight="1">
      <c r="A2" s="64" t="str">
        <f>Honor_guru!A2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4" t="s">
        <v>0</v>
      </c>
      <c r="D4" s="5" t="str">
        <f>Honor_guru!D4</f>
        <v>: ____________________________</v>
      </c>
      <c r="E4" s="5"/>
      <c r="F4" s="5"/>
      <c r="G4" s="5"/>
      <c r="H4" s="5"/>
      <c r="I4" s="5"/>
      <c r="K4" s="6"/>
      <c r="L4" s="7"/>
      <c r="M4" s="4" t="s">
        <v>26</v>
      </c>
      <c r="N4" s="4" t="s">
        <v>30</v>
      </c>
      <c r="O4" s="3"/>
    </row>
    <row r="5" spans="1:16" ht="15" customHeight="1">
      <c r="C5" s="4" t="s">
        <v>2</v>
      </c>
      <c r="D5" s="5" t="str">
        <f>Honor_guru!D5</f>
        <v>: SD NEGERI LEBAKLEUNGSIR</v>
      </c>
      <c r="E5" s="4"/>
      <c r="F5" s="4"/>
      <c r="G5" s="4"/>
      <c r="H5" s="4"/>
      <c r="I5" s="4"/>
      <c r="K5" s="6"/>
      <c r="M5" s="4" t="s">
        <v>27</v>
      </c>
      <c r="N5" s="4" t="s">
        <v>153</v>
      </c>
      <c r="O5" s="3"/>
    </row>
    <row r="6" spans="1:16" ht="15" customHeight="1">
      <c r="C6" s="4" t="s">
        <v>3</v>
      </c>
      <c r="D6" s="5" t="str">
        <f>Honor_guru!D6</f>
        <v>: Cikalongwetan</v>
      </c>
      <c r="E6" s="4"/>
      <c r="F6" s="4"/>
      <c r="G6" s="4"/>
      <c r="H6" s="4"/>
      <c r="I6" s="4"/>
      <c r="K6" s="6"/>
      <c r="M6" s="8" t="s">
        <v>28</v>
      </c>
      <c r="N6" s="4" t="s">
        <v>50</v>
      </c>
      <c r="O6" s="3"/>
    </row>
    <row r="7" spans="1:16" ht="15" customHeight="1">
      <c r="C7" s="4" t="s">
        <v>5</v>
      </c>
      <c r="D7" s="5" t="str">
        <f>Honor_guru!D7</f>
        <v>: Bandung Barat</v>
      </c>
      <c r="E7" s="4"/>
      <c r="F7" s="4"/>
      <c r="G7" s="4"/>
      <c r="H7" s="4"/>
      <c r="I7" s="4"/>
      <c r="K7" s="6"/>
      <c r="M7" s="4" t="s">
        <v>7</v>
      </c>
      <c r="N7" s="30" t="s">
        <v>44</v>
      </c>
      <c r="O7" s="3"/>
      <c r="P7" s="8"/>
    </row>
    <row r="8" spans="1:16" ht="15" customHeight="1">
      <c r="M8" s="8"/>
      <c r="N8" s="8"/>
      <c r="O8" s="8"/>
    </row>
    <row r="9" spans="1:16" ht="18.5" customHeight="1">
      <c r="A9" s="62" t="s">
        <v>8</v>
      </c>
      <c r="B9" s="65" t="s">
        <v>9</v>
      </c>
      <c r="C9" s="66"/>
      <c r="D9" s="62" t="s">
        <v>10</v>
      </c>
      <c r="E9" s="69" t="s">
        <v>72</v>
      </c>
      <c r="F9" s="70"/>
      <c r="G9" s="70"/>
      <c r="H9" s="71"/>
      <c r="I9" s="72" t="s">
        <v>14</v>
      </c>
      <c r="J9" s="72" t="s">
        <v>11</v>
      </c>
      <c r="K9" s="65" t="s">
        <v>12</v>
      </c>
      <c r="L9" s="66"/>
      <c r="M9" s="74" t="s">
        <v>31</v>
      </c>
      <c r="N9" s="72" t="s">
        <v>16</v>
      </c>
      <c r="O9" s="65" t="s">
        <v>17</v>
      </c>
      <c r="P9" s="66"/>
    </row>
    <row r="10" spans="1:16" ht="34" customHeight="1">
      <c r="A10" s="63"/>
      <c r="B10" s="67"/>
      <c r="C10" s="68"/>
      <c r="D10" s="63"/>
      <c r="E10" s="39" t="s">
        <v>92</v>
      </c>
      <c r="F10" s="35" t="s">
        <v>74</v>
      </c>
      <c r="G10" s="35" t="s">
        <v>41</v>
      </c>
      <c r="H10" s="35" t="s">
        <v>73</v>
      </c>
      <c r="I10" s="73"/>
      <c r="J10" s="73"/>
      <c r="K10" s="67"/>
      <c r="L10" s="68"/>
      <c r="M10" s="75"/>
      <c r="N10" s="73"/>
      <c r="O10" s="67"/>
      <c r="P10" s="68"/>
    </row>
    <row r="11" spans="1:16" ht="30.5" customHeight="1">
      <c r="A11" s="11">
        <v>1</v>
      </c>
      <c r="B11" s="12" t="s">
        <v>55</v>
      </c>
      <c r="C11" s="13"/>
      <c r="D11" s="32" t="s">
        <v>92</v>
      </c>
      <c r="E11" s="37">
        <v>700000</v>
      </c>
      <c r="F11" s="37"/>
      <c r="G11" s="37" t="s">
        <v>34</v>
      </c>
      <c r="H11" s="37"/>
      <c r="I11" s="16">
        <f>IF(B11="","",SUM(E11:H11))</f>
        <v>700000</v>
      </c>
      <c r="J11" s="14" t="s">
        <v>32</v>
      </c>
      <c r="K11" s="14">
        <v>1</v>
      </c>
      <c r="L11" s="14" t="s">
        <v>19</v>
      </c>
      <c r="M11" s="17">
        <f>IFERROR(I11*0/100,"")</f>
        <v>0</v>
      </c>
      <c r="N11" s="16">
        <f>IFERROR(SUM(I11*K11)-M11,"")</f>
        <v>700000</v>
      </c>
      <c r="O11" s="54">
        <v>1</v>
      </c>
      <c r="P11" s="56">
        <v>2</v>
      </c>
    </row>
    <row r="12" spans="1:16" ht="30.5" customHeight="1">
      <c r="A12" s="11">
        <v>2</v>
      </c>
      <c r="B12" s="12"/>
      <c r="C12" s="13"/>
      <c r="D12" s="32"/>
      <c r="E12" s="37"/>
      <c r="F12" s="37"/>
      <c r="G12" s="37"/>
      <c r="H12" s="37"/>
      <c r="I12" s="16" t="str">
        <f>IF(B12="","",SUM(E12:H12))</f>
        <v/>
      </c>
      <c r="J12" s="14"/>
      <c r="K12" s="14"/>
      <c r="L12" s="14"/>
      <c r="M12" s="17" t="str">
        <f t="shared" ref="M12:M16" si="0">IFERROR(I12*0/100,"")</f>
        <v/>
      </c>
      <c r="N12" s="16" t="str">
        <f t="shared" ref="N12:N16" si="1">IFERROR(SUM(I12*K12)-M12,"")</f>
        <v/>
      </c>
      <c r="O12" s="55"/>
      <c r="P12" s="57"/>
    </row>
    <row r="13" spans="1:16" ht="24" hidden="1" customHeight="1">
      <c r="A13" s="11">
        <v>3</v>
      </c>
      <c r="B13" s="12"/>
      <c r="C13" s="13"/>
      <c r="D13" s="32"/>
      <c r="E13" s="37"/>
      <c r="F13" s="37"/>
      <c r="G13" s="37"/>
      <c r="H13" s="37"/>
      <c r="I13" s="16" t="str">
        <f t="shared" ref="I13:I16" si="2">IF(B13="","",SUM(E13:H13))</f>
        <v/>
      </c>
      <c r="J13" s="14"/>
      <c r="K13" s="14"/>
      <c r="L13" s="14"/>
      <c r="M13" s="17" t="str">
        <f t="shared" si="0"/>
        <v/>
      </c>
      <c r="N13" s="16" t="str">
        <f t="shared" si="1"/>
        <v/>
      </c>
      <c r="O13" s="54">
        <v>3</v>
      </c>
      <c r="P13" s="56">
        <v>4</v>
      </c>
    </row>
    <row r="14" spans="1:16" ht="24" hidden="1" customHeight="1">
      <c r="A14" s="11">
        <v>4</v>
      </c>
      <c r="B14" s="12"/>
      <c r="C14" s="13"/>
      <c r="D14" s="32"/>
      <c r="E14" s="37"/>
      <c r="F14" s="37"/>
      <c r="G14" s="37"/>
      <c r="H14" s="37"/>
      <c r="I14" s="16" t="str">
        <f t="shared" si="2"/>
        <v/>
      </c>
      <c r="J14" s="14"/>
      <c r="K14" s="14"/>
      <c r="L14" s="14"/>
      <c r="M14" s="17" t="str">
        <f>IFERROR(I14*0/100,"")</f>
        <v/>
      </c>
      <c r="N14" s="16" t="str">
        <f t="shared" si="1"/>
        <v/>
      </c>
      <c r="O14" s="55"/>
      <c r="P14" s="57"/>
    </row>
    <row r="15" spans="1:16" ht="24" hidden="1" customHeight="1">
      <c r="A15" s="11">
        <v>5</v>
      </c>
      <c r="B15" s="12"/>
      <c r="C15" s="13"/>
      <c r="D15" s="13"/>
      <c r="E15" s="37"/>
      <c r="F15" s="37"/>
      <c r="G15" s="37"/>
      <c r="H15" s="13"/>
      <c r="I15" s="16" t="str">
        <f t="shared" si="2"/>
        <v/>
      </c>
      <c r="J15" s="14"/>
      <c r="K15" s="14"/>
      <c r="L15" s="14"/>
      <c r="M15" s="17" t="str">
        <f t="shared" si="0"/>
        <v/>
      </c>
      <c r="N15" s="16" t="str">
        <f t="shared" si="1"/>
        <v/>
      </c>
      <c r="O15" s="58">
        <v>5</v>
      </c>
      <c r="P15" s="59">
        <v>6</v>
      </c>
    </row>
    <row r="16" spans="1:16" ht="24" hidden="1" customHeight="1">
      <c r="A16" s="11">
        <v>6</v>
      </c>
      <c r="B16" s="12"/>
      <c r="C16" s="13"/>
      <c r="D16" s="13"/>
      <c r="E16" s="37"/>
      <c r="F16" s="37"/>
      <c r="G16" s="37"/>
      <c r="H16" s="13"/>
      <c r="I16" s="16" t="str">
        <f t="shared" si="2"/>
        <v/>
      </c>
      <c r="J16" s="14"/>
      <c r="K16" s="14"/>
      <c r="L16" s="14"/>
      <c r="M16" s="17" t="str">
        <f t="shared" si="0"/>
        <v/>
      </c>
      <c r="N16" s="16" t="str">
        <f t="shared" si="1"/>
        <v/>
      </c>
      <c r="O16" s="58"/>
      <c r="P16" s="59"/>
    </row>
    <row r="17" spans="1:19" s="21" customFormat="1" ht="22.5" customHeight="1">
      <c r="A17" s="53"/>
      <c r="B17" s="36"/>
      <c r="C17" s="36"/>
      <c r="D17" s="52" t="s">
        <v>20</v>
      </c>
      <c r="E17" s="36"/>
      <c r="F17" s="36"/>
      <c r="G17" s="36"/>
      <c r="H17" s="36"/>
      <c r="I17" s="18">
        <f>SUM(I11:I16)</f>
        <v>700000</v>
      </c>
      <c r="J17" s="36"/>
      <c r="K17" s="36"/>
      <c r="L17" s="36"/>
      <c r="M17" s="19">
        <f>SUM(M11:M16)</f>
        <v>0</v>
      </c>
      <c r="N17" s="18">
        <f>SUM(N11:N16)</f>
        <v>700000</v>
      </c>
      <c r="O17" s="20"/>
      <c r="P17" s="20"/>
      <c r="S17" s="22"/>
    </row>
    <row r="18" spans="1:19" ht="23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N18" s="23"/>
    </row>
    <row r="19" spans="1: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24" t="str">
        <f>Honor_guru!P19</f>
        <v>Cikalongwetan, 2 Januari 2026</v>
      </c>
    </row>
    <row r="20" spans="1:19" ht="18" customHeight="1">
      <c r="A20" s="8"/>
      <c r="C20" s="24" t="s">
        <v>21</v>
      </c>
      <c r="D20" s="24"/>
      <c r="E20" s="24"/>
      <c r="F20" s="24"/>
      <c r="G20" s="24"/>
      <c r="H20" s="24"/>
      <c r="I20" s="24"/>
      <c r="J20" s="24"/>
      <c r="K20" s="24"/>
      <c r="L20" s="8"/>
      <c r="O20" s="24" t="str">
        <f>Honor_guru!P20</f>
        <v>Dibayar Lunas Tgl. 4 Februari 2026</v>
      </c>
    </row>
    <row r="21" spans="1:19">
      <c r="A21" s="8"/>
      <c r="C21" s="24" t="s">
        <v>22</v>
      </c>
      <c r="D21" s="24"/>
      <c r="E21" s="24"/>
      <c r="F21" s="24"/>
      <c r="G21" s="24"/>
      <c r="H21" s="24"/>
      <c r="I21" s="24"/>
      <c r="J21" s="24"/>
      <c r="K21" s="24"/>
      <c r="L21" s="8"/>
      <c r="O21" s="24" t="s">
        <v>23</v>
      </c>
    </row>
    <row r="22" spans="1:19">
      <c r="A22" s="8"/>
      <c r="C22" s="24"/>
      <c r="D22" s="24"/>
      <c r="E22" s="24"/>
      <c r="F22" s="24"/>
      <c r="G22" s="24"/>
      <c r="H22" s="24"/>
      <c r="I22" s="24"/>
      <c r="J22" s="24"/>
      <c r="K22" s="24"/>
      <c r="L22" s="8"/>
      <c r="O22" s="25"/>
      <c r="S22" s="26"/>
    </row>
    <row r="23" spans="1:19">
      <c r="A23" s="8"/>
      <c r="C23" s="24"/>
      <c r="D23" s="24"/>
      <c r="E23" s="24"/>
      <c r="F23" s="24"/>
      <c r="G23" s="24"/>
      <c r="H23" s="24"/>
      <c r="I23" s="24"/>
      <c r="J23" s="24"/>
      <c r="K23" s="24"/>
      <c r="L23" s="8"/>
      <c r="O23" s="25"/>
    </row>
    <row r="24" spans="1:19">
      <c r="A24" s="8"/>
      <c r="C24" s="24"/>
      <c r="D24" s="24"/>
      <c r="E24" s="24"/>
      <c r="F24" s="24"/>
      <c r="G24" s="24"/>
      <c r="H24" s="24"/>
      <c r="I24" s="24"/>
      <c r="J24" s="24"/>
      <c r="K24" s="24"/>
      <c r="L24" s="8"/>
      <c r="O24" s="25"/>
    </row>
    <row r="25" spans="1:19">
      <c r="A25" s="8"/>
      <c r="C25" s="24"/>
      <c r="D25" s="24"/>
      <c r="E25" s="24"/>
      <c r="F25" s="24"/>
      <c r="G25" s="24"/>
      <c r="H25" s="24"/>
      <c r="I25" s="24"/>
      <c r="J25" s="24"/>
      <c r="K25" s="24"/>
      <c r="L25" s="8"/>
      <c r="O25" s="25"/>
    </row>
    <row r="26" spans="1:19">
      <c r="A26" s="8"/>
      <c r="C26" s="24"/>
      <c r="D26" s="24"/>
      <c r="E26" s="24"/>
      <c r="F26" s="24"/>
      <c r="G26" s="24"/>
      <c r="H26" s="24"/>
      <c r="I26" s="24"/>
      <c r="J26" s="24"/>
      <c r="K26" s="24"/>
      <c r="L26" s="8"/>
      <c r="O26" s="25"/>
    </row>
    <row r="27" spans="1:19" ht="15" customHeight="1">
      <c r="A27" s="8"/>
      <c r="C27" s="27" t="str">
        <f>Honor_guru!C27</f>
        <v>BADRUDDIN, S.Ag.</v>
      </c>
      <c r="D27" s="28"/>
      <c r="E27" s="28"/>
      <c r="F27" s="28"/>
      <c r="G27" s="28"/>
      <c r="H27" s="28"/>
      <c r="I27" s="28"/>
      <c r="J27" s="28"/>
      <c r="K27" s="8"/>
      <c r="L27" s="8"/>
      <c r="O27" s="29" t="str">
        <f>Honor_guru!P27</f>
        <v>DEDE GUNAWAN, S.Pd.</v>
      </c>
    </row>
    <row r="28" spans="1:19" ht="15" customHeight="1">
      <c r="A28" s="8"/>
      <c r="C28" s="27" t="str">
        <f>Honor_guru!C28</f>
        <v>NIP. 197405082014121002</v>
      </c>
      <c r="D28" s="28"/>
      <c r="E28" s="28"/>
      <c r="F28" s="28"/>
      <c r="G28" s="28"/>
      <c r="H28" s="28"/>
      <c r="I28" s="28"/>
      <c r="J28" s="28"/>
      <c r="K28" s="8"/>
      <c r="L28" s="8"/>
      <c r="O28" s="29" t="str">
        <f>Honor_guru!P28</f>
        <v>NIP. 198507172020121003</v>
      </c>
    </row>
    <row r="29" spans="1:19" ht="15" customHeight="1">
      <c r="A29" s="8"/>
      <c r="C29" s="28"/>
      <c r="D29" s="28"/>
      <c r="E29" s="28"/>
      <c r="F29" s="28"/>
      <c r="G29" s="28"/>
      <c r="H29" s="28"/>
      <c r="I29" s="28"/>
      <c r="J29" s="28"/>
      <c r="K29" s="28"/>
      <c r="L29" s="8"/>
      <c r="O29" s="29"/>
    </row>
    <row r="30" spans="1:19" ht="15" customHeight="1">
      <c r="A30" s="8"/>
      <c r="C30" s="28"/>
      <c r="D30" s="28"/>
      <c r="E30" s="28"/>
      <c r="F30" s="28"/>
      <c r="G30" s="28"/>
      <c r="H30" s="28"/>
      <c r="I30" s="28"/>
      <c r="J30" s="28"/>
      <c r="K30" s="28"/>
      <c r="L30" s="8"/>
      <c r="O30" s="29"/>
    </row>
    <row r="36" spans="1:16" ht="17.25" customHeight="1">
      <c r="A36" s="64" t="str">
        <f>$A$1</f>
        <v>DAFTAR PENERIMA HONORARIUM/GAJI TENAGA PERPUSTAKAAN TIDAK TETAP (PEMBAYARAN NON TUNAI)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</row>
    <row r="37" spans="1:16" ht="17.25" customHeight="1">
      <c r="A37" s="64" t="str">
        <f>Honor_guru!A37</f>
        <v>BULAN FEBRUARI 2026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 ht="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5" customHeight="1">
      <c r="C39" s="4" t="s">
        <v>0</v>
      </c>
      <c r="D39" s="5" t="s">
        <v>1</v>
      </c>
      <c r="E39" s="5"/>
      <c r="F39" s="5"/>
      <c r="G39" s="5"/>
      <c r="H39" s="5"/>
      <c r="I39" s="5"/>
      <c r="K39" s="6"/>
      <c r="L39" s="7"/>
      <c r="M39" s="4" t="s">
        <v>26</v>
      </c>
      <c r="N39" s="4" t="str">
        <f>N4</f>
        <v>: 07 Pengembangan Standar Pembiayaan</v>
      </c>
      <c r="O39" s="3"/>
    </row>
    <row r="40" spans="1:16" ht="15" customHeight="1">
      <c r="C40" s="4" t="s">
        <v>2</v>
      </c>
      <c r="D40" s="4" t="str">
        <f>D5</f>
        <v>: SD NEGERI LEBAKLEUNGSIR</v>
      </c>
      <c r="E40" s="4"/>
      <c r="F40" s="4"/>
      <c r="G40" s="4"/>
      <c r="H40" s="4"/>
      <c r="I40" s="4"/>
      <c r="K40" s="6"/>
      <c r="M40" s="4" t="s">
        <v>27</v>
      </c>
      <c r="N40" s="4" t="str">
        <f>N5</f>
        <v>: Pembayaran Honor (Tenaga Perpustakaan)</v>
      </c>
      <c r="O40" s="3"/>
    </row>
    <row r="41" spans="1:16" ht="15" customHeight="1">
      <c r="C41" s="4" t="s">
        <v>3</v>
      </c>
      <c r="D41" s="4" t="str">
        <f>D6</f>
        <v>: Cikalongwetan</v>
      </c>
      <c r="E41" s="4"/>
      <c r="F41" s="4"/>
      <c r="G41" s="4"/>
      <c r="H41" s="4"/>
      <c r="I41" s="4"/>
      <c r="K41" s="6"/>
      <c r="M41" s="8" t="s">
        <v>28</v>
      </c>
      <c r="N41" s="4" t="str">
        <f>N6</f>
        <v>: 5.1.02.02.01.0013</v>
      </c>
      <c r="O41" s="3"/>
    </row>
    <row r="42" spans="1:16" ht="15" customHeight="1">
      <c r="C42" s="4" t="s">
        <v>5</v>
      </c>
      <c r="D42" s="4" t="str">
        <f>D7</f>
        <v>: Bandung Barat</v>
      </c>
      <c r="E42" s="4"/>
      <c r="F42" s="4"/>
      <c r="G42" s="4"/>
      <c r="H42" s="4"/>
      <c r="I42" s="4"/>
      <c r="K42" s="6"/>
      <c r="M42" s="4" t="s">
        <v>7</v>
      </c>
      <c r="N42" s="4" t="str">
        <f>N7</f>
        <v>: 12</v>
      </c>
      <c r="O42" s="3"/>
      <c r="P42" s="8"/>
    </row>
    <row r="43" spans="1:16" ht="15" customHeight="1">
      <c r="M43" s="8"/>
      <c r="N43" s="8"/>
      <c r="O43" s="8"/>
    </row>
    <row r="44" spans="1:16" ht="18.5" customHeight="1">
      <c r="A44" s="62" t="s">
        <v>8</v>
      </c>
      <c r="B44" s="65" t="s">
        <v>9</v>
      </c>
      <c r="C44" s="66"/>
      <c r="D44" s="62" t="s">
        <v>10</v>
      </c>
      <c r="E44" s="69" t="s">
        <v>72</v>
      </c>
      <c r="F44" s="70"/>
      <c r="G44" s="70"/>
      <c r="H44" s="71"/>
      <c r="I44" s="72" t="s">
        <v>14</v>
      </c>
      <c r="J44" s="72" t="s">
        <v>11</v>
      </c>
      <c r="K44" s="65" t="s">
        <v>12</v>
      </c>
      <c r="L44" s="66"/>
      <c r="M44" s="74" t="s">
        <v>31</v>
      </c>
      <c r="N44" s="72" t="s">
        <v>16</v>
      </c>
      <c r="O44" s="65" t="s">
        <v>17</v>
      </c>
      <c r="P44" s="66"/>
    </row>
    <row r="45" spans="1:16" ht="34" customHeight="1">
      <c r="A45" s="63"/>
      <c r="B45" s="67"/>
      <c r="C45" s="68"/>
      <c r="D45" s="63"/>
      <c r="E45" s="39" t="str">
        <f t="shared" ref="E45:H51" si="3">IF(E10="","",E10)</f>
        <v>Tenaga Perpustakaan</v>
      </c>
      <c r="F45" s="35" t="str">
        <f t="shared" si="3"/>
        <v>Pembina Ekskul</v>
      </c>
      <c r="G45" s="35" t="str">
        <f t="shared" si="3"/>
        <v>Guru</v>
      </c>
      <c r="H45" s="39" t="str">
        <f t="shared" si="3"/>
        <v>TAS/ Operator</v>
      </c>
      <c r="I45" s="73"/>
      <c r="J45" s="73"/>
      <c r="K45" s="67"/>
      <c r="L45" s="68"/>
      <c r="M45" s="75"/>
      <c r="N45" s="73"/>
      <c r="O45" s="67"/>
      <c r="P45" s="68"/>
    </row>
    <row r="46" spans="1:16" ht="30.5" customHeight="1">
      <c r="A46" s="11">
        <v>1</v>
      </c>
      <c r="B46" s="12" t="str">
        <f t="shared" ref="B46:B51" si="4">IF(B11="","",B11)</f>
        <v>LINDAWATI</v>
      </c>
      <c r="C46" s="13"/>
      <c r="D46" s="32" t="str">
        <f t="shared" ref="D46:D51" si="5">IF(D11="","",D11)</f>
        <v>Tenaga Perpustakaan</v>
      </c>
      <c r="E46" s="37">
        <f t="shared" si="3"/>
        <v>700000</v>
      </c>
      <c r="F46" s="37" t="str">
        <f t="shared" si="3"/>
        <v/>
      </c>
      <c r="G46" s="37" t="str">
        <f t="shared" si="3"/>
        <v>-</v>
      </c>
      <c r="H46" s="37" t="str">
        <f t="shared" si="3"/>
        <v/>
      </c>
      <c r="I46" s="16">
        <f>IF(B46="","",SUM(E46:H46))</f>
        <v>700000</v>
      </c>
      <c r="J46" s="38" t="str">
        <f t="shared" ref="J46:L51" si="6">IF(J11="","",J11)</f>
        <v>PTT</v>
      </c>
      <c r="K46" s="38">
        <f t="shared" si="6"/>
        <v>1</v>
      </c>
      <c r="L46" s="38" t="str">
        <f t="shared" si="6"/>
        <v>Bulan</v>
      </c>
      <c r="M46" s="17">
        <f>IFERROR(I46*0/100,"")</f>
        <v>0</v>
      </c>
      <c r="N46" s="16">
        <f>IFERROR(SUM(I46*K46)-M46,"")</f>
        <v>700000</v>
      </c>
      <c r="O46" s="54">
        <v>1</v>
      </c>
      <c r="P46" s="56">
        <v>2</v>
      </c>
    </row>
    <row r="47" spans="1:16" ht="30.5" customHeight="1">
      <c r="A47" s="11">
        <v>2</v>
      </c>
      <c r="B47" s="12" t="str">
        <f t="shared" si="4"/>
        <v/>
      </c>
      <c r="C47" s="13"/>
      <c r="D47" s="32" t="str">
        <f t="shared" si="5"/>
        <v/>
      </c>
      <c r="E47" s="37" t="str">
        <f t="shared" si="3"/>
        <v/>
      </c>
      <c r="F47" s="37" t="str">
        <f t="shared" si="3"/>
        <v/>
      </c>
      <c r="G47" s="37" t="str">
        <f t="shared" si="3"/>
        <v/>
      </c>
      <c r="H47" s="37" t="str">
        <f t="shared" si="3"/>
        <v/>
      </c>
      <c r="I47" s="16" t="str">
        <f t="shared" ref="I47:I51" si="7">IF(B47="","",SUM(E47:H47))</f>
        <v/>
      </c>
      <c r="J47" s="38" t="str">
        <f t="shared" si="6"/>
        <v/>
      </c>
      <c r="K47" s="38" t="str">
        <f t="shared" si="6"/>
        <v/>
      </c>
      <c r="L47" s="38" t="str">
        <f t="shared" si="6"/>
        <v/>
      </c>
      <c r="M47" s="17" t="str">
        <f t="shared" ref="M47:M51" si="8">IFERROR(I47*0/100,"")</f>
        <v/>
      </c>
      <c r="N47" s="16" t="str">
        <f t="shared" ref="N47:N51" si="9">IFERROR(SUM(I47*K47)-M47,"")</f>
        <v/>
      </c>
      <c r="O47" s="55"/>
      <c r="P47" s="57"/>
    </row>
    <row r="48" spans="1:16" ht="24" hidden="1" customHeight="1">
      <c r="A48" s="11">
        <v>3</v>
      </c>
      <c r="B48" s="12" t="str">
        <f t="shared" si="4"/>
        <v/>
      </c>
      <c r="C48" s="13"/>
      <c r="D48" s="32" t="str">
        <f t="shared" si="5"/>
        <v/>
      </c>
      <c r="E48" s="37" t="str">
        <f t="shared" si="3"/>
        <v/>
      </c>
      <c r="F48" s="37" t="str">
        <f t="shared" si="3"/>
        <v/>
      </c>
      <c r="G48" s="37" t="str">
        <f t="shared" si="3"/>
        <v/>
      </c>
      <c r="H48" s="37" t="str">
        <f t="shared" si="3"/>
        <v/>
      </c>
      <c r="I48" s="16" t="str">
        <f t="shared" si="7"/>
        <v/>
      </c>
      <c r="J48" s="38" t="str">
        <f t="shared" si="6"/>
        <v/>
      </c>
      <c r="K48" s="38" t="str">
        <f t="shared" si="6"/>
        <v/>
      </c>
      <c r="L48" s="38" t="str">
        <f t="shared" si="6"/>
        <v/>
      </c>
      <c r="M48" s="17" t="str">
        <f t="shared" si="8"/>
        <v/>
      </c>
      <c r="N48" s="16" t="str">
        <f t="shared" si="9"/>
        <v/>
      </c>
      <c r="O48" s="54">
        <v>3</v>
      </c>
      <c r="P48" s="56">
        <v>4</v>
      </c>
    </row>
    <row r="49" spans="1:19" ht="24" hidden="1" customHeight="1">
      <c r="A49" s="11">
        <v>4</v>
      </c>
      <c r="B49" s="12" t="str">
        <f t="shared" si="4"/>
        <v/>
      </c>
      <c r="C49" s="13"/>
      <c r="D49" s="32" t="str">
        <f t="shared" si="5"/>
        <v/>
      </c>
      <c r="E49" s="37" t="str">
        <f t="shared" si="3"/>
        <v/>
      </c>
      <c r="F49" s="37" t="str">
        <f t="shared" si="3"/>
        <v/>
      </c>
      <c r="G49" s="37" t="str">
        <f t="shared" si="3"/>
        <v/>
      </c>
      <c r="H49" s="37" t="str">
        <f t="shared" si="3"/>
        <v/>
      </c>
      <c r="I49" s="16" t="str">
        <f t="shared" si="7"/>
        <v/>
      </c>
      <c r="J49" s="38" t="str">
        <f t="shared" si="6"/>
        <v/>
      </c>
      <c r="K49" s="38" t="str">
        <f t="shared" si="6"/>
        <v/>
      </c>
      <c r="L49" s="38" t="str">
        <f t="shared" si="6"/>
        <v/>
      </c>
      <c r="M49" s="17" t="str">
        <f t="shared" si="8"/>
        <v/>
      </c>
      <c r="N49" s="16" t="str">
        <f t="shared" si="9"/>
        <v/>
      </c>
      <c r="O49" s="55"/>
      <c r="P49" s="57"/>
    </row>
    <row r="50" spans="1:19" ht="24" hidden="1" customHeight="1">
      <c r="A50" s="11">
        <v>5</v>
      </c>
      <c r="B50" s="12" t="str">
        <f t="shared" si="4"/>
        <v/>
      </c>
      <c r="C50" s="13"/>
      <c r="D50" s="32" t="str">
        <f t="shared" si="5"/>
        <v/>
      </c>
      <c r="E50" s="37" t="str">
        <f t="shared" si="3"/>
        <v/>
      </c>
      <c r="F50" s="37" t="str">
        <f t="shared" si="3"/>
        <v/>
      </c>
      <c r="G50" s="37" t="str">
        <f t="shared" si="3"/>
        <v/>
      </c>
      <c r="H50" s="37" t="str">
        <f t="shared" si="3"/>
        <v/>
      </c>
      <c r="I50" s="16" t="str">
        <f t="shared" si="7"/>
        <v/>
      </c>
      <c r="J50" s="38" t="str">
        <f t="shared" si="6"/>
        <v/>
      </c>
      <c r="K50" s="38" t="str">
        <f t="shared" si="6"/>
        <v/>
      </c>
      <c r="L50" s="38" t="str">
        <f t="shared" si="6"/>
        <v/>
      </c>
      <c r="M50" s="17" t="str">
        <f t="shared" si="8"/>
        <v/>
      </c>
      <c r="N50" s="16" t="str">
        <f t="shared" si="9"/>
        <v/>
      </c>
      <c r="O50" s="58">
        <v>5</v>
      </c>
      <c r="P50" s="59">
        <v>6</v>
      </c>
    </row>
    <row r="51" spans="1:19" ht="24" hidden="1" customHeight="1">
      <c r="A51" s="11">
        <v>6</v>
      </c>
      <c r="B51" s="12" t="str">
        <f t="shared" si="4"/>
        <v/>
      </c>
      <c r="C51" s="13"/>
      <c r="D51" s="32" t="str">
        <f t="shared" si="5"/>
        <v/>
      </c>
      <c r="E51" s="37" t="str">
        <f t="shared" si="3"/>
        <v/>
      </c>
      <c r="F51" s="37" t="str">
        <f t="shared" si="3"/>
        <v/>
      </c>
      <c r="G51" s="37" t="str">
        <f t="shared" si="3"/>
        <v/>
      </c>
      <c r="H51" s="37" t="str">
        <f t="shared" si="3"/>
        <v/>
      </c>
      <c r="I51" s="16" t="str">
        <f t="shared" si="7"/>
        <v/>
      </c>
      <c r="J51" s="38" t="str">
        <f t="shared" si="6"/>
        <v/>
      </c>
      <c r="K51" s="38" t="str">
        <f t="shared" si="6"/>
        <v/>
      </c>
      <c r="L51" s="38" t="str">
        <f t="shared" si="6"/>
        <v/>
      </c>
      <c r="M51" s="17" t="str">
        <f t="shared" si="8"/>
        <v/>
      </c>
      <c r="N51" s="16" t="str">
        <f t="shared" si="9"/>
        <v/>
      </c>
      <c r="O51" s="58"/>
      <c r="P51" s="59"/>
    </row>
    <row r="52" spans="1:19" s="21" customFormat="1" ht="22.5" customHeight="1">
      <c r="A52" s="60" t="s">
        <v>20</v>
      </c>
      <c r="B52" s="61"/>
      <c r="C52" s="61"/>
      <c r="D52" s="61"/>
      <c r="E52" s="61"/>
      <c r="F52" s="61"/>
      <c r="G52" s="61"/>
      <c r="H52" s="36"/>
      <c r="I52" s="18">
        <f>SUM(I46:I51)</f>
        <v>700000</v>
      </c>
      <c r="J52" s="36"/>
      <c r="K52" s="36"/>
      <c r="L52" s="36"/>
      <c r="M52" s="19">
        <f>SUM(M46:M51)</f>
        <v>0</v>
      </c>
      <c r="N52" s="18">
        <f>SUM(N46:N51)</f>
        <v>700000</v>
      </c>
      <c r="O52" s="20"/>
      <c r="P52" s="20"/>
      <c r="S52" s="22"/>
    </row>
    <row r="53" spans="1:19" ht="23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N53" s="23"/>
    </row>
    <row r="54" spans="1:19" ht="17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O54" s="24" t="str">
        <f>Honor_guru!P54</f>
        <v>Cikalongwetan, 1 Februari 2026</v>
      </c>
    </row>
    <row r="55" spans="1:19" ht="18" customHeight="1">
      <c r="A55" s="8"/>
      <c r="C55" s="24" t="s">
        <v>21</v>
      </c>
      <c r="D55" s="24"/>
      <c r="E55" s="24"/>
      <c r="F55" s="24"/>
      <c r="G55" s="24"/>
      <c r="H55" s="24"/>
      <c r="I55" s="24"/>
      <c r="J55" s="24"/>
      <c r="K55" s="24"/>
      <c r="L55" s="8"/>
      <c r="O55" s="24" t="str">
        <f>Honor_guru!P55</f>
        <v>Dibayar Lunas Tgl. 4 Februari 2026</v>
      </c>
    </row>
    <row r="56" spans="1:19">
      <c r="A56" s="8"/>
      <c r="C56" s="24" t="s">
        <v>22</v>
      </c>
      <c r="D56" s="24"/>
      <c r="E56" s="24"/>
      <c r="F56" s="24"/>
      <c r="G56" s="24"/>
      <c r="H56" s="24"/>
      <c r="I56" s="24"/>
      <c r="J56" s="24"/>
      <c r="K56" s="24"/>
      <c r="L56" s="8"/>
      <c r="O56" s="24" t="s">
        <v>23</v>
      </c>
    </row>
    <row r="57" spans="1:19">
      <c r="A57" s="8"/>
      <c r="C57" s="24"/>
      <c r="D57" s="24"/>
      <c r="E57" s="24"/>
      <c r="F57" s="24"/>
      <c r="G57" s="24"/>
      <c r="H57" s="24"/>
      <c r="I57" s="24"/>
      <c r="J57" s="24"/>
      <c r="K57" s="24"/>
      <c r="L57" s="8"/>
      <c r="O57" s="25"/>
      <c r="S57" s="26"/>
    </row>
    <row r="58" spans="1:19">
      <c r="A58" s="8"/>
      <c r="C58" s="24"/>
      <c r="D58" s="24"/>
      <c r="E58" s="24"/>
      <c r="F58" s="24"/>
      <c r="G58" s="24"/>
      <c r="H58" s="24"/>
      <c r="I58" s="24"/>
      <c r="J58" s="24"/>
      <c r="K58" s="24"/>
      <c r="L58" s="8"/>
      <c r="O58" s="25"/>
    </row>
    <row r="59" spans="1:19">
      <c r="A59" s="8"/>
      <c r="C59" s="24"/>
      <c r="D59" s="24"/>
      <c r="E59" s="24"/>
      <c r="F59" s="24"/>
      <c r="G59" s="24"/>
      <c r="H59" s="24"/>
      <c r="I59" s="24"/>
      <c r="J59" s="24"/>
      <c r="K59" s="24"/>
      <c r="L59" s="8"/>
      <c r="O59" s="25"/>
    </row>
    <row r="60" spans="1:19">
      <c r="A60" s="8"/>
      <c r="C60" s="24"/>
      <c r="D60" s="24"/>
      <c r="E60" s="24"/>
      <c r="F60" s="24"/>
      <c r="G60" s="24"/>
      <c r="H60" s="24"/>
      <c r="I60" s="24"/>
      <c r="J60" s="24"/>
      <c r="K60" s="24"/>
      <c r="L60" s="8"/>
      <c r="O60" s="25"/>
    </row>
    <row r="61" spans="1:19">
      <c r="A61" s="8"/>
      <c r="C61" s="24"/>
      <c r="D61" s="24"/>
      <c r="E61" s="24"/>
      <c r="F61" s="24"/>
      <c r="G61" s="24"/>
      <c r="H61" s="24"/>
      <c r="I61" s="24"/>
      <c r="J61" s="24"/>
      <c r="K61" s="24"/>
      <c r="L61" s="8"/>
      <c r="O61" s="25"/>
    </row>
    <row r="62" spans="1:19" ht="15" customHeight="1">
      <c r="A62" s="8"/>
      <c r="C62" s="27" t="str">
        <f>IF(C27="","",C27)</f>
        <v>BADRUDDIN, S.Ag.</v>
      </c>
      <c r="D62" s="28"/>
      <c r="E62" s="28"/>
      <c r="F62" s="28"/>
      <c r="G62" s="28"/>
      <c r="H62" s="28"/>
      <c r="I62" s="28"/>
      <c r="J62" s="28"/>
      <c r="K62" s="8"/>
      <c r="L62" s="8"/>
      <c r="O62" s="27" t="str">
        <f>IF(O27="","",O27)</f>
        <v>DEDE GUNAWAN, S.Pd.</v>
      </c>
    </row>
    <row r="63" spans="1:19" ht="15" customHeight="1">
      <c r="A63" s="8"/>
      <c r="C63" s="27" t="str">
        <f>IF(C28="","",C28)</f>
        <v>NIP. 197405082014121002</v>
      </c>
      <c r="D63" s="28"/>
      <c r="E63" s="28"/>
      <c r="F63" s="28"/>
      <c r="G63" s="28"/>
      <c r="H63" s="28"/>
      <c r="I63" s="28"/>
      <c r="J63" s="28"/>
      <c r="K63" s="8"/>
      <c r="L63" s="8"/>
      <c r="O63" s="27" t="str">
        <f>IF(O28="","",O28)</f>
        <v>NIP. 198507172020121003</v>
      </c>
    </row>
    <row r="71" spans="1:16" ht="17.25" customHeight="1">
      <c r="A71" s="64" t="str">
        <f>$A$1</f>
        <v>DAFTAR PENERIMA HONORARIUM/GAJI TENAGA PERPUSTAKAAN TIDAK TETAP (PEMBAYARAN NON TUNAI)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</row>
    <row r="72" spans="1:16" ht="17.25" customHeight="1">
      <c r="A72" s="64" t="str">
        <f>Honor_guru!A73</f>
        <v>BULAN MARET 2026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</row>
    <row r="73" spans="1:16" ht="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5" customHeight="1">
      <c r="C74" s="4" t="s">
        <v>0</v>
      </c>
      <c r="D74" s="5" t="s">
        <v>1</v>
      </c>
      <c r="E74" s="5"/>
      <c r="F74" s="5"/>
      <c r="G74" s="5"/>
      <c r="H74" s="5"/>
      <c r="I74" s="5"/>
      <c r="K74" s="6"/>
      <c r="L74" s="7"/>
      <c r="M74" s="4" t="s">
        <v>26</v>
      </c>
      <c r="N74" s="4" t="str">
        <f>N39</f>
        <v>: 07 Pengembangan Standar Pembiayaan</v>
      </c>
      <c r="O74" s="3"/>
    </row>
    <row r="75" spans="1:16" ht="15" customHeight="1">
      <c r="C75" s="4" t="s">
        <v>2</v>
      </c>
      <c r="D75" s="4" t="str">
        <f>D40</f>
        <v>: SD NEGERI LEBAKLEUNGSIR</v>
      </c>
      <c r="E75" s="4"/>
      <c r="F75" s="4"/>
      <c r="G75" s="4"/>
      <c r="H75" s="4"/>
      <c r="I75" s="4"/>
      <c r="K75" s="6"/>
      <c r="M75" s="4" t="s">
        <v>27</v>
      </c>
      <c r="N75" s="4" t="str">
        <f>N40</f>
        <v>: Pembayaran Honor (Tenaga Perpustakaan)</v>
      </c>
      <c r="O75" s="3"/>
    </row>
    <row r="76" spans="1:16" ht="15" customHeight="1">
      <c r="C76" s="4" t="s">
        <v>3</v>
      </c>
      <c r="D76" s="4" t="str">
        <f>D41</f>
        <v>: Cikalongwetan</v>
      </c>
      <c r="E76" s="4"/>
      <c r="F76" s="4"/>
      <c r="G76" s="4"/>
      <c r="H76" s="4"/>
      <c r="I76" s="4"/>
      <c r="K76" s="6"/>
      <c r="M76" s="8" t="s">
        <v>28</v>
      </c>
      <c r="N76" s="4" t="str">
        <f>N41</f>
        <v>: 5.1.02.02.01.0013</v>
      </c>
      <c r="O76" s="3"/>
    </row>
    <row r="77" spans="1:16" ht="15" customHeight="1">
      <c r="C77" s="4" t="s">
        <v>5</v>
      </c>
      <c r="D77" s="4" t="str">
        <f>D42</f>
        <v>: Bandung Barat</v>
      </c>
      <c r="E77" s="4"/>
      <c r="F77" s="4"/>
      <c r="G77" s="4"/>
      <c r="H77" s="4"/>
      <c r="I77" s="4"/>
      <c r="K77" s="6"/>
      <c r="M77" s="4" t="s">
        <v>7</v>
      </c>
      <c r="N77" s="4" t="str">
        <f>N42</f>
        <v>: 12</v>
      </c>
      <c r="O77" s="3"/>
      <c r="P77" s="8"/>
    </row>
    <row r="78" spans="1:16" ht="15" customHeight="1">
      <c r="M78" s="8"/>
      <c r="N78" s="8"/>
      <c r="O78" s="8"/>
    </row>
    <row r="79" spans="1:16" ht="18.5" customHeight="1">
      <c r="A79" s="62" t="s">
        <v>8</v>
      </c>
      <c r="B79" s="65" t="s">
        <v>9</v>
      </c>
      <c r="C79" s="66"/>
      <c r="D79" s="62" t="s">
        <v>10</v>
      </c>
      <c r="E79" s="69" t="s">
        <v>72</v>
      </c>
      <c r="F79" s="70"/>
      <c r="G79" s="70"/>
      <c r="H79" s="71"/>
      <c r="I79" s="72" t="s">
        <v>14</v>
      </c>
      <c r="J79" s="72" t="s">
        <v>11</v>
      </c>
      <c r="K79" s="65" t="s">
        <v>12</v>
      </c>
      <c r="L79" s="66"/>
      <c r="M79" s="74" t="s">
        <v>31</v>
      </c>
      <c r="N79" s="72" t="s">
        <v>16</v>
      </c>
      <c r="O79" s="65" t="s">
        <v>17</v>
      </c>
      <c r="P79" s="66"/>
    </row>
    <row r="80" spans="1:16" ht="34" customHeight="1">
      <c r="A80" s="63"/>
      <c r="B80" s="67"/>
      <c r="C80" s="68"/>
      <c r="D80" s="63"/>
      <c r="E80" s="39" t="str">
        <f t="shared" ref="E80:H86" si="10">IF(E45="","",E45)</f>
        <v>Tenaga Perpustakaan</v>
      </c>
      <c r="F80" s="35" t="str">
        <f t="shared" si="10"/>
        <v>Pembina Ekskul</v>
      </c>
      <c r="G80" s="35" t="str">
        <f t="shared" si="10"/>
        <v>Guru</v>
      </c>
      <c r="H80" s="39" t="str">
        <f t="shared" si="10"/>
        <v>TAS/ Operator</v>
      </c>
      <c r="I80" s="73"/>
      <c r="J80" s="73"/>
      <c r="K80" s="67"/>
      <c r="L80" s="68"/>
      <c r="M80" s="75"/>
      <c r="N80" s="73"/>
      <c r="O80" s="67"/>
      <c r="P80" s="68"/>
    </row>
    <row r="81" spans="1:19" ht="29.5" customHeight="1">
      <c r="A81" s="11">
        <v>1</v>
      </c>
      <c r="B81" s="12" t="str">
        <f t="shared" ref="B81:B86" si="11">IF(B46="","",B46)</f>
        <v>LINDAWATI</v>
      </c>
      <c r="C81" s="13"/>
      <c r="D81" s="32" t="str">
        <f t="shared" ref="D81:D86" si="12">IF(D46="","",D46)</f>
        <v>Tenaga Perpustakaan</v>
      </c>
      <c r="E81" s="37">
        <f t="shared" si="10"/>
        <v>700000</v>
      </c>
      <c r="F81" s="37" t="str">
        <f t="shared" si="10"/>
        <v/>
      </c>
      <c r="G81" s="37" t="str">
        <f t="shared" si="10"/>
        <v>-</v>
      </c>
      <c r="H81" s="37" t="str">
        <f t="shared" si="10"/>
        <v/>
      </c>
      <c r="I81" s="16">
        <f>IF(B81="","",SUM(E81:H81))</f>
        <v>700000</v>
      </c>
      <c r="J81" s="38" t="str">
        <f t="shared" ref="J81:L86" si="13">IF(J46="","",J46)</f>
        <v>PTT</v>
      </c>
      <c r="K81" s="38">
        <f t="shared" si="13"/>
        <v>1</v>
      </c>
      <c r="L81" s="38" t="str">
        <f t="shared" si="13"/>
        <v>Bulan</v>
      </c>
      <c r="M81" s="17">
        <f>IFERROR(I81*0/100,"")</f>
        <v>0</v>
      </c>
      <c r="N81" s="16">
        <f>IFERROR(SUM(I81*K81)-M81,"")</f>
        <v>700000</v>
      </c>
      <c r="O81" s="54">
        <v>1</v>
      </c>
      <c r="P81" s="56">
        <v>2</v>
      </c>
    </row>
    <row r="82" spans="1:19" ht="29.5" customHeight="1">
      <c r="A82" s="11">
        <v>2</v>
      </c>
      <c r="B82" s="12" t="str">
        <f t="shared" si="11"/>
        <v/>
      </c>
      <c r="C82" s="13"/>
      <c r="D82" s="32" t="str">
        <f t="shared" si="12"/>
        <v/>
      </c>
      <c r="E82" s="37" t="str">
        <f t="shared" si="10"/>
        <v/>
      </c>
      <c r="F82" s="37" t="str">
        <f t="shared" si="10"/>
        <v/>
      </c>
      <c r="G82" s="37" t="str">
        <f t="shared" si="10"/>
        <v/>
      </c>
      <c r="H82" s="37" t="str">
        <f t="shared" si="10"/>
        <v/>
      </c>
      <c r="I82" s="16" t="str">
        <f t="shared" ref="I82:I86" si="14">IF(B82="","",SUM(E82:H82))</f>
        <v/>
      </c>
      <c r="J82" s="38" t="str">
        <f t="shared" si="13"/>
        <v/>
      </c>
      <c r="K82" s="38" t="str">
        <f t="shared" si="13"/>
        <v/>
      </c>
      <c r="L82" s="38" t="str">
        <f t="shared" si="13"/>
        <v/>
      </c>
      <c r="M82" s="17" t="str">
        <f t="shared" ref="M82:M86" si="15">IFERROR(I82*0/100,"")</f>
        <v/>
      </c>
      <c r="N82" s="16" t="str">
        <f t="shared" ref="N82:N86" si="16">IFERROR(SUM(I82*K82)-M82,"")</f>
        <v/>
      </c>
      <c r="O82" s="55"/>
      <c r="P82" s="57"/>
    </row>
    <row r="83" spans="1:19" ht="24" hidden="1" customHeight="1">
      <c r="A83" s="11">
        <v>3</v>
      </c>
      <c r="B83" s="12" t="str">
        <f t="shared" si="11"/>
        <v/>
      </c>
      <c r="C83" s="13"/>
      <c r="D83" s="32" t="str">
        <f t="shared" si="12"/>
        <v/>
      </c>
      <c r="E83" s="37" t="str">
        <f t="shared" si="10"/>
        <v/>
      </c>
      <c r="F83" s="37" t="str">
        <f t="shared" si="10"/>
        <v/>
      </c>
      <c r="G83" s="37" t="str">
        <f t="shared" si="10"/>
        <v/>
      </c>
      <c r="H83" s="37" t="str">
        <f t="shared" si="10"/>
        <v/>
      </c>
      <c r="I83" s="16" t="str">
        <f t="shared" si="14"/>
        <v/>
      </c>
      <c r="J83" s="38" t="str">
        <f t="shared" si="13"/>
        <v/>
      </c>
      <c r="K83" s="38" t="str">
        <f t="shared" si="13"/>
        <v/>
      </c>
      <c r="L83" s="38" t="str">
        <f t="shared" si="13"/>
        <v/>
      </c>
      <c r="M83" s="17" t="str">
        <f t="shared" si="15"/>
        <v/>
      </c>
      <c r="N83" s="16" t="str">
        <f t="shared" si="16"/>
        <v/>
      </c>
      <c r="O83" s="54">
        <v>3</v>
      </c>
      <c r="P83" s="56">
        <v>4</v>
      </c>
    </row>
    <row r="84" spans="1:19" ht="24" hidden="1" customHeight="1">
      <c r="A84" s="11">
        <v>4</v>
      </c>
      <c r="B84" s="12" t="str">
        <f t="shared" si="11"/>
        <v/>
      </c>
      <c r="C84" s="13"/>
      <c r="D84" s="32" t="str">
        <f t="shared" si="12"/>
        <v/>
      </c>
      <c r="E84" s="37" t="str">
        <f t="shared" si="10"/>
        <v/>
      </c>
      <c r="F84" s="37" t="str">
        <f t="shared" si="10"/>
        <v/>
      </c>
      <c r="G84" s="37" t="str">
        <f t="shared" si="10"/>
        <v/>
      </c>
      <c r="H84" s="37" t="str">
        <f t="shared" si="10"/>
        <v/>
      </c>
      <c r="I84" s="16" t="str">
        <f t="shared" si="14"/>
        <v/>
      </c>
      <c r="J84" s="38" t="str">
        <f t="shared" si="13"/>
        <v/>
      </c>
      <c r="K84" s="38" t="str">
        <f t="shared" si="13"/>
        <v/>
      </c>
      <c r="L84" s="38" t="str">
        <f t="shared" si="13"/>
        <v/>
      </c>
      <c r="M84" s="17" t="str">
        <f t="shared" si="15"/>
        <v/>
      </c>
      <c r="N84" s="16" t="str">
        <f t="shared" si="16"/>
        <v/>
      </c>
      <c r="O84" s="55"/>
      <c r="P84" s="57"/>
    </row>
    <row r="85" spans="1:19" ht="24" hidden="1" customHeight="1">
      <c r="A85" s="11">
        <v>5</v>
      </c>
      <c r="B85" s="12" t="str">
        <f t="shared" si="11"/>
        <v/>
      </c>
      <c r="C85" s="13"/>
      <c r="D85" s="32" t="str">
        <f t="shared" si="12"/>
        <v/>
      </c>
      <c r="E85" s="37" t="str">
        <f t="shared" si="10"/>
        <v/>
      </c>
      <c r="F85" s="37" t="str">
        <f t="shared" si="10"/>
        <v/>
      </c>
      <c r="G85" s="37" t="str">
        <f t="shared" si="10"/>
        <v/>
      </c>
      <c r="H85" s="37" t="str">
        <f t="shared" si="10"/>
        <v/>
      </c>
      <c r="I85" s="16" t="str">
        <f t="shared" si="14"/>
        <v/>
      </c>
      <c r="J85" s="38" t="str">
        <f t="shared" si="13"/>
        <v/>
      </c>
      <c r="K85" s="38" t="str">
        <f t="shared" si="13"/>
        <v/>
      </c>
      <c r="L85" s="38" t="str">
        <f t="shared" si="13"/>
        <v/>
      </c>
      <c r="M85" s="17" t="str">
        <f t="shared" si="15"/>
        <v/>
      </c>
      <c r="N85" s="16" t="str">
        <f t="shared" si="16"/>
        <v/>
      </c>
      <c r="O85" s="58">
        <v>5</v>
      </c>
      <c r="P85" s="59">
        <v>6</v>
      </c>
    </row>
    <row r="86" spans="1:19" ht="24" hidden="1" customHeight="1">
      <c r="A86" s="11">
        <v>6</v>
      </c>
      <c r="B86" s="12" t="str">
        <f t="shared" si="11"/>
        <v/>
      </c>
      <c r="C86" s="13"/>
      <c r="D86" s="32" t="str">
        <f t="shared" si="12"/>
        <v/>
      </c>
      <c r="E86" s="37" t="str">
        <f t="shared" si="10"/>
        <v/>
      </c>
      <c r="F86" s="37" t="str">
        <f t="shared" si="10"/>
        <v/>
      </c>
      <c r="G86" s="37" t="str">
        <f t="shared" si="10"/>
        <v/>
      </c>
      <c r="H86" s="37" t="str">
        <f t="shared" si="10"/>
        <v/>
      </c>
      <c r="I86" s="16" t="str">
        <f t="shared" si="14"/>
        <v/>
      </c>
      <c r="J86" s="38" t="str">
        <f t="shared" si="13"/>
        <v/>
      </c>
      <c r="K86" s="38" t="str">
        <f t="shared" si="13"/>
        <v/>
      </c>
      <c r="L86" s="38" t="str">
        <f t="shared" si="13"/>
        <v/>
      </c>
      <c r="M86" s="17" t="str">
        <f t="shared" si="15"/>
        <v/>
      </c>
      <c r="N86" s="16" t="str">
        <f t="shared" si="16"/>
        <v/>
      </c>
      <c r="O86" s="58"/>
      <c r="P86" s="59"/>
    </row>
    <row r="87" spans="1:19" s="21" customFormat="1" ht="22.5" customHeight="1">
      <c r="A87" s="60" t="s">
        <v>20</v>
      </c>
      <c r="B87" s="61"/>
      <c r="C87" s="61"/>
      <c r="D87" s="61"/>
      <c r="E87" s="61"/>
      <c r="F87" s="61"/>
      <c r="G87" s="61"/>
      <c r="H87" s="36"/>
      <c r="I87" s="18">
        <f>SUM(I81:I86)</f>
        <v>700000</v>
      </c>
      <c r="J87" s="36"/>
      <c r="K87" s="36"/>
      <c r="L87" s="36"/>
      <c r="M87" s="19">
        <f>SUM(M81:M86)</f>
        <v>0</v>
      </c>
      <c r="N87" s="18">
        <f>SUM(N81:N86)</f>
        <v>700000</v>
      </c>
      <c r="O87" s="20"/>
      <c r="P87" s="20"/>
      <c r="S87" s="22"/>
    </row>
    <row r="88" spans="1:19" ht="23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N88" s="23"/>
    </row>
    <row r="89" spans="1:19" ht="17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O89" s="24" t="str">
        <f>Honor_guru!P90</f>
        <v>Cikalongwetan, 1 Maret 2026</v>
      </c>
    </row>
    <row r="90" spans="1:19" ht="18" customHeight="1">
      <c r="A90" s="8"/>
      <c r="C90" s="24" t="s">
        <v>21</v>
      </c>
      <c r="D90" s="24"/>
      <c r="E90" s="24"/>
      <c r="F90" s="24"/>
      <c r="G90" s="24"/>
      <c r="H90" s="24"/>
      <c r="I90" s="24"/>
      <c r="J90" s="24"/>
      <c r="K90" s="24"/>
      <c r="L90" s="8"/>
      <c r="O90" s="24" t="str">
        <f>Honor_guru!P91</f>
        <v>Dibayar Lunas Tgl. 5 Maret 2026</v>
      </c>
    </row>
    <row r="91" spans="1:19">
      <c r="A91" s="8"/>
      <c r="C91" s="24" t="s">
        <v>22</v>
      </c>
      <c r="D91" s="24"/>
      <c r="E91" s="24"/>
      <c r="F91" s="24"/>
      <c r="G91" s="24"/>
      <c r="H91" s="24"/>
      <c r="I91" s="24"/>
      <c r="J91" s="24"/>
      <c r="K91" s="24"/>
      <c r="L91" s="8"/>
      <c r="O91" s="24" t="s">
        <v>23</v>
      </c>
    </row>
    <row r="92" spans="1:19">
      <c r="A92" s="8"/>
      <c r="C92" s="24"/>
      <c r="D92" s="24"/>
      <c r="E92" s="24"/>
      <c r="F92" s="24"/>
      <c r="G92" s="24"/>
      <c r="H92" s="24"/>
      <c r="I92" s="24"/>
      <c r="J92" s="24"/>
      <c r="K92" s="24"/>
      <c r="L92" s="8"/>
      <c r="O92" s="25"/>
      <c r="S92" s="26"/>
    </row>
    <row r="93" spans="1:19">
      <c r="A93" s="8"/>
      <c r="C93" s="24"/>
      <c r="D93" s="24"/>
      <c r="E93" s="24"/>
      <c r="F93" s="24"/>
      <c r="G93" s="24"/>
      <c r="H93" s="24"/>
      <c r="I93" s="24"/>
      <c r="J93" s="24"/>
      <c r="K93" s="24"/>
      <c r="L93" s="8"/>
      <c r="O93" s="25"/>
    </row>
    <row r="94" spans="1:19">
      <c r="A94" s="8"/>
      <c r="C94" s="24"/>
      <c r="D94" s="24"/>
      <c r="E94" s="24"/>
      <c r="F94" s="24"/>
      <c r="G94" s="24"/>
      <c r="H94" s="24"/>
      <c r="I94" s="24"/>
      <c r="J94" s="24"/>
      <c r="K94" s="24"/>
      <c r="L94" s="8"/>
      <c r="O94" s="25"/>
    </row>
    <row r="95" spans="1:19">
      <c r="A95" s="8"/>
      <c r="C95" s="24"/>
      <c r="D95" s="24"/>
      <c r="E95" s="24"/>
      <c r="F95" s="24"/>
      <c r="G95" s="24"/>
      <c r="H95" s="24"/>
      <c r="I95" s="24"/>
      <c r="J95" s="24"/>
      <c r="K95" s="24"/>
      <c r="L95" s="8"/>
      <c r="O95" s="25"/>
    </row>
    <row r="96" spans="1:19">
      <c r="A96" s="8"/>
      <c r="C96" s="24"/>
      <c r="D96" s="24"/>
      <c r="E96" s="24"/>
      <c r="F96" s="24"/>
      <c r="G96" s="24"/>
      <c r="H96" s="24"/>
      <c r="I96" s="24"/>
      <c r="J96" s="24"/>
      <c r="K96" s="24"/>
      <c r="L96" s="8"/>
      <c r="O96" s="25"/>
    </row>
    <row r="97" spans="1:16" ht="15" customHeight="1">
      <c r="A97" s="8"/>
      <c r="C97" s="27" t="str">
        <f>IF(C62="","",C62)</f>
        <v>BADRUDDIN, S.Ag.</v>
      </c>
      <c r="D97" s="28"/>
      <c r="E97" s="28"/>
      <c r="F97" s="28"/>
      <c r="G97" s="28"/>
      <c r="H97" s="28"/>
      <c r="I97" s="28"/>
      <c r="J97" s="28"/>
      <c r="K97" s="8"/>
      <c r="L97" s="8"/>
      <c r="O97" s="27" t="str">
        <f>IF(O62="","",O62)</f>
        <v>DEDE GUNAWAN, S.Pd.</v>
      </c>
    </row>
    <row r="98" spans="1:16" ht="15" customHeight="1">
      <c r="A98" s="8"/>
      <c r="C98" s="27" t="str">
        <f>IF(C63="","",C63)</f>
        <v>NIP. 197405082014121002</v>
      </c>
      <c r="D98" s="28"/>
      <c r="E98" s="28"/>
      <c r="F98" s="28"/>
      <c r="G98" s="28"/>
      <c r="H98" s="28"/>
      <c r="I98" s="28"/>
      <c r="J98" s="28"/>
      <c r="K98" s="8"/>
      <c r="L98" s="8"/>
      <c r="O98" s="27" t="str">
        <f>IF(O63="","",O63)</f>
        <v>NIP. 198507172020121003</v>
      </c>
    </row>
    <row r="106" spans="1:16" ht="17.25" customHeight="1">
      <c r="A106" s="64" t="str">
        <f>$A$1</f>
        <v>DAFTAR PENERIMA HONORARIUM/GAJI TENAGA PERPUSTAKAAN TIDAK TETAP (PEMBAYARAN NON TUNAI)</v>
      </c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</row>
    <row r="107" spans="1:16" ht="17.25" customHeight="1">
      <c r="A107" s="64" t="str">
        <f>Honor_guru!A109</f>
        <v>BULAN APRIL 2026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</row>
    <row r="108" spans="1:16" ht="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5" customHeight="1">
      <c r="C109" s="4" t="s">
        <v>0</v>
      </c>
      <c r="D109" s="5" t="s">
        <v>1</v>
      </c>
      <c r="E109" s="5"/>
      <c r="F109" s="5"/>
      <c r="G109" s="5"/>
      <c r="H109" s="5"/>
      <c r="I109" s="5"/>
      <c r="K109" s="6"/>
      <c r="L109" s="7"/>
      <c r="M109" s="4" t="s">
        <v>26</v>
      </c>
      <c r="N109" s="4" t="str">
        <f>N74</f>
        <v>: 07 Pengembangan Standar Pembiayaan</v>
      </c>
      <c r="O109" s="3"/>
    </row>
    <row r="110" spans="1:16" ht="15" customHeight="1">
      <c r="C110" s="4" t="s">
        <v>2</v>
      </c>
      <c r="D110" s="4" t="str">
        <f>D75</f>
        <v>: SD NEGERI LEBAKLEUNGSIR</v>
      </c>
      <c r="E110" s="4"/>
      <c r="F110" s="4"/>
      <c r="G110" s="4"/>
      <c r="H110" s="4"/>
      <c r="I110" s="4"/>
      <c r="K110" s="6"/>
      <c r="M110" s="4" t="s">
        <v>27</v>
      </c>
      <c r="N110" s="4" t="str">
        <f>N75</f>
        <v>: Pembayaran Honor (Tenaga Perpustakaan)</v>
      </c>
      <c r="O110" s="3"/>
    </row>
    <row r="111" spans="1:16" ht="15" customHeight="1">
      <c r="C111" s="4" t="s">
        <v>3</v>
      </c>
      <c r="D111" s="4" t="str">
        <f>D76</f>
        <v>: Cikalongwetan</v>
      </c>
      <c r="E111" s="4"/>
      <c r="F111" s="4"/>
      <c r="G111" s="4"/>
      <c r="H111" s="4"/>
      <c r="I111" s="4"/>
      <c r="K111" s="6"/>
      <c r="M111" s="8" t="s">
        <v>28</v>
      </c>
      <c r="N111" s="4" t="str">
        <f>N76</f>
        <v>: 5.1.02.02.01.0013</v>
      </c>
      <c r="O111" s="3"/>
    </row>
    <row r="112" spans="1:16" ht="15" customHeight="1">
      <c r="C112" s="4" t="s">
        <v>5</v>
      </c>
      <c r="D112" s="4" t="str">
        <f>D77</f>
        <v>: Bandung Barat</v>
      </c>
      <c r="E112" s="4"/>
      <c r="F112" s="4"/>
      <c r="G112" s="4"/>
      <c r="H112" s="4"/>
      <c r="I112" s="4"/>
      <c r="K112" s="6"/>
      <c r="M112" s="4" t="s">
        <v>7</v>
      </c>
      <c r="N112" s="4" t="str">
        <f>N77</f>
        <v>: 12</v>
      </c>
      <c r="O112" s="3"/>
      <c r="P112" s="8"/>
    </row>
    <row r="113" spans="1:19" ht="15" customHeight="1">
      <c r="M113" s="8"/>
      <c r="N113" s="8"/>
      <c r="O113" s="8"/>
    </row>
    <row r="114" spans="1:19" ht="18.5" customHeight="1">
      <c r="A114" s="62" t="s">
        <v>8</v>
      </c>
      <c r="B114" s="65" t="s">
        <v>9</v>
      </c>
      <c r="C114" s="66"/>
      <c r="D114" s="62" t="s">
        <v>10</v>
      </c>
      <c r="E114" s="69" t="s">
        <v>72</v>
      </c>
      <c r="F114" s="70"/>
      <c r="G114" s="70"/>
      <c r="H114" s="71"/>
      <c r="I114" s="72" t="s">
        <v>14</v>
      </c>
      <c r="J114" s="72" t="s">
        <v>11</v>
      </c>
      <c r="K114" s="65" t="s">
        <v>12</v>
      </c>
      <c r="L114" s="66"/>
      <c r="M114" s="74" t="s">
        <v>31</v>
      </c>
      <c r="N114" s="72" t="s">
        <v>16</v>
      </c>
      <c r="O114" s="65" t="s">
        <v>17</v>
      </c>
      <c r="P114" s="66"/>
    </row>
    <row r="115" spans="1:19" ht="34" customHeight="1">
      <c r="A115" s="63"/>
      <c r="B115" s="67"/>
      <c r="C115" s="68"/>
      <c r="D115" s="63"/>
      <c r="E115" s="39" t="str">
        <f t="shared" ref="E115:H121" si="17">IF(E80="","",E80)</f>
        <v>Tenaga Perpustakaan</v>
      </c>
      <c r="F115" s="35" t="str">
        <f t="shared" si="17"/>
        <v>Pembina Ekskul</v>
      </c>
      <c r="G115" s="35" t="str">
        <f t="shared" si="17"/>
        <v>Guru</v>
      </c>
      <c r="H115" s="39" t="str">
        <f t="shared" si="17"/>
        <v>TAS/ Operator</v>
      </c>
      <c r="I115" s="73"/>
      <c r="J115" s="73"/>
      <c r="K115" s="67"/>
      <c r="L115" s="68"/>
      <c r="M115" s="75"/>
      <c r="N115" s="73"/>
      <c r="O115" s="67"/>
      <c r="P115" s="68"/>
    </row>
    <row r="116" spans="1:19" ht="30.5" customHeight="1">
      <c r="A116" s="11">
        <v>1</v>
      </c>
      <c r="B116" s="12" t="str">
        <f t="shared" ref="B116:B121" si="18">IF(B81="","",B81)</f>
        <v>LINDAWATI</v>
      </c>
      <c r="C116" s="13"/>
      <c r="D116" s="32" t="str">
        <f t="shared" ref="D116:D121" si="19">IF(D81="","",D81)</f>
        <v>Tenaga Perpustakaan</v>
      </c>
      <c r="E116" s="37">
        <f t="shared" si="17"/>
        <v>700000</v>
      </c>
      <c r="F116" s="37" t="str">
        <f t="shared" si="17"/>
        <v/>
      </c>
      <c r="G116" s="37" t="str">
        <f t="shared" si="17"/>
        <v>-</v>
      </c>
      <c r="H116" s="37" t="str">
        <f t="shared" si="17"/>
        <v/>
      </c>
      <c r="I116" s="16">
        <f>IF(B116="","",SUM(E116:H116))</f>
        <v>700000</v>
      </c>
      <c r="J116" s="38" t="str">
        <f t="shared" ref="J116:L121" si="20">IF(J81="","",J81)</f>
        <v>PTT</v>
      </c>
      <c r="K116" s="38">
        <f t="shared" si="20"/>
        <v>1</v>
      </c>
      <c r="L116" s="38" t="str">
        <f t="shared" si="20"/>
        <v>Bulan</v>
      </c>
      <c r="M116" s="17">
        <f>IFERROR(I116*0/100,"")</f>
        <v>0</v>
      </c>
      <c r="N116" s="16">
        <f>IFERROR(SUM(I116*K116)-M116,"")</f>
        <v>700000</v>
      </c>
      <c r="O116" s="54">
        <v>1</v>
      </c>
      <c r="P116" s="56">
        <v>2</v>
      </c>
    </row>
    <row r="117" spans="1:19" ht="30.5" customHeight="1">
      <c r="A117" s="11">
        <v>2</v>
      </c>
      <c r="B117" s="12" t="str">
        <f t="shared" si="18"/>
        <v/>
      </c>
      <c r="C117" s="13"/>
      <c r="D117" s="32" t="str">
        <f t="shared" si="19"/>
        <v/>
      </c>
      <c r="E117" s="37" t="str">
        <f t="shared" si="17"/>
        <v/>
      </c>
      <c r="F117" s="37" t="str">
        <f t="shared" si="17"/>
        <v/>
      </c>
      <c r="G117" s="37" t="str">
        <f t="shared" si="17"/>
        <v/>
      </c>
      <c r="H117" s="37" t="str">
        <f t="shared" si="17"/>
        <v/>
      </c>
      <c r="I117" s="16" t="str">
        <f t="shared" ref="I117:I121" si="21">IF(B117="","",SUM(E117:H117))</f>
        <v/>
      </c>
      <c r="J117" s="38" t="str">
        <f t="shared" si="20"/>
        <v/>
      </c>
      <c r="K117" s="38" t="str">
        <f t="shared" si="20"/>
        <v/>
      </c>
      <c r="L117" s="38" t="str">
        <f t="shared" si="20"/>
        <v/>
      </c>
      <c r="M117" s="17" t="str">
        <f t="shared" ref="M117:M121" si="22">IFERROR(I117*0/100,"")</f>
        <v/>
      </c>
      <c r="N117" s="16" t="str">
        <f t="shared" ref="N117:N121" si="23">IFERROR(SUM(I117*K117)-M117,"")</f>
        <v/>
      </c>
      <c r="O117" s="55"/>
      <c r="P117" s="57"/>
    </row>
    <row r="118" spans="1:19" ht="24" hidden="1" customHeight="1">
      <c r="A118" s="11">
        <v>3</v>
      </c>
      <c r="B118" s="12" t="str">
        <f t="shared" si="18"/>
        <v/>
      </c>
      <c r="C118" s="13"/>
      <c r="D118" s="32" t="str">
        <f t="shared" si="19"/>
        <v/>
      </c>
      <c r="E118" s="37" t="str">
        <f t="shared" si="17"/>
        <v/>
      </c>
      <c r="F118" s="37" t="str">
        <f t="shared" si="17"/>
        <v/>
      </c>
      <c r="G118" s="37" t="str">
        <f t="shared" si="17"/>
        <v/>
      </c>
      <c r="H118" s="37" t="str">
        <f t="shared" si="17"/>
        <v/>
      </c>
      <c r="I118" s="16" t="str">
        <f t="shared" si="21"/>
        <v/>
      </c>
      <c r="J118" s="38" t="str">
        <f t="shared" si="20"/>
        <v/>
      </c>
      <c r="K118" s="38" t="str">
        <f t="shared" si="20"/>
        <v/>
      </c>
      <c r="L118" s="38" t="str">
        <f t="shared" si="20"/>
        <v/>
      </c>
      <c r="M118" s="17" t="str">
        <f t="shared" si="22"/>
        <v/>
      </c>
      <c r="N118" s="16" t="str">
        <f t="shared" si="23"/>
        <v/>
      </c>
      <c r="O118" s="54">
        <v>3</v>
      </c>
      <c r="P118" s="56">
        <v>4</v>
      </c>
    </row>
    <row r="119" spans="1:19" ht="24" hidden="1" customHeight="1">
      <c r="A119" s="11">
        <v>4</v>
      </c>
      <c r="B119" s="12" t="str">
        <f t="shared" si="18"/>
        <v/>
      </c>
      <c r="C119" s="13"/>
      <c r="D119" s="32" t="str">
        <f t="shared" si="19"/>
        <v/>
      </c>
      <c r="E119" s="37" t="str">
        <f t="shared" si="17"/>
        <v/>
      </c>
      <c r="F119" s="37" t="str">
        <f t="shared" si="17"/>
        <v/>
      </c>
      <c r="G119" s="37" t="str">
        <f t="shared" si="17"/>
        <v/>
      </c>
      <c r="H119" s="37" t="str">
        <f t="shared" si="17"/>
        <v/>
      </c>
      <c r="I119" s="16" t="str">
        <f t="shared" si="21"/>
        <v/>
      </c>
      <c r="J119" s="38" t="str">
        <f t="shared" si="20"/>
        <v/>
      </c>
      <c r="K119" s="38" t="str">
        <f t="shared" si="20"/>
        <v/>
      </c>
      <c r="L119" s="38" t="str">
        <f t="shared" si="20"/>
        <v/>
      </c>
      <c r="M119" s="17" t="str">
        <f t="shared" si="22"/>
        <v/>
      </c>
      <c r="N119" s="16" t="str">
        <f t="shared" si="23"/>
        <v/>
      </c>
      <c r="O119" s="55"/>
      <c r="P119" s="57"/>
    </row>
    <row r="120" spans="1:19" ht="24" hidden="1" customHeight="1">
      <c r="A120" s="11">
        <v>5</v>
      </c>
      <c r="B120" s="12" t="str">
        <f t="shared" si="18"/>
        <v/>
      </c>
      <c r="C120" s="13"/>
      <c r="D120" s="32" t="str">
        <f t="shared" si="19"/>
        <v/>
      </c>
      <c r="E120" s="37" t="str">
        <f t="shared" si="17"/>
        <v/>
      </c>
      <c r="F120" s="37" t="str">
        <f t="shared" si="17"/>
        <v/>
      </c>
      <c r="G120" s="37" t="str">
        <f t="shared" si="17"/>
        <v/>
      </c>
      <c r="H120" s="37" t="str">
        <f t="shared" si="17"/>
        <v/>
      </c>
      <c r="I120" s="16" t="str">
        <f t="shared" si="21"/>
        <v/>
      </c>
      <c r="J120" s="38" t="str">
        <f t="shared" si="20"/>
        <v/>
      </c>
      <c r="K120" s="38" t="str">
        <f t="shared" si="20"/>
        <v/>
      </c>
      <c r="L120" s="38" t="str">
        <f t="shared" si="20"/>
        <v/>
      </c>
      <c r="M120" s="17" t="str">
        <f t="shared" si="22"/>
        <v/>
      </c>
      <c r="N120" s="16" t="str">
        <f t="shared" si="23"/>
        <v/>
      </c>
      <c r="O120" s="58">
        <v>5</v>
      </c>
      <c r="P120" s="59">
        <v>6</v>
      </c>
    </row>
    <row r="121" spans="1:19" ht="24" hidden="1" customHeight="1">
      <c r="A121" s="11">
        <v>6</v>
      </c>
      <c r="B121" s="12" t="str">
        <f t="shared" si="18"/>
        <v/>
      </c>
      <c r="C121" s="13"/>
      <c r="D121" s="32" t="str">
        <f t="shared" si="19"/>
        <v/>
      </c>
      <c r="E121" s="37" t="str">
        <f t="shared" si="17"/>
        <v/>
      </c>
      <c r="F121" s="37" t="str">
        <f t="shared" si="17"/>
        <v/>
      </c>
      <c r="G121" s="37" t="str">
        <f t="shared" si="17"/>
        <v/>
      </c>
      <c r="H121" s="37" t="str">
        <f t="shared" si="17"/>
        <v/>
      </c>
      <c r="I121" s="16" t="str">
        <f t="shared" si="21"/>
        <v/>
      </c>
      <c r="J121" s="38" t="str">
        <f t="shared" si="20"/>
        <v/>
      </c>
      <c r="K121" s="38" t="str">
        <f t="shared" si="20"/>
        <v/>
      </c>
      <c r="L121" s="38" t="str">
        <f t="shared" si="20"/>
        <v/>
      </c>
      <c r="M121" s="17" t="str">
        <f t="shared" si="22"/>
        <v/>
      </c>
      <c r="N121" s="16" t="str">
        <f t="shared" si="23"/>
        <v/>
      </c>
      <c r="O121" s="58"/>
      <c r="P121" s="59"/>
    </row>
    <row r="122" spans="1:19" s="21" customFormat="1" ht="22.5" customHeight="1">
      <c r="A122" s="60" t="s">
        <v>20</v>
      </c>
      <c r="B122" s="61"/>
      <c r="C122" s="61"/>
      <c r="D122" s="61"/>
      <c r="E122" s="61"/>
      <c r="F122" s="61"/>
      <c r="G122" s="61"/>
      <c r="H122" s="36"/>
      <c r="I122" s="18">
        <f>SUM(I116:I121)</f>
        <v>700000</v>
      </c>
      <c r="J122" s="36"/>
      <c r="K122" s="36"/>
      <c r="L122" s="36"/>
      <c r="M122" s="19">
        <f>SUM(M116:M121)</f>
        <v>0</v>
      </c>
      <c r="N122" s="18">
        <f>SUM(N116:N121)</f>
        <v>700000</v>
      </c>
      <c r="O122" s="20"/>
      <c r="P122" s="20"/>
      <c r="S122" s="22"/>
    </row>
    <row r="123" spans="1:19" ht="23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N123" s="23"/>
    </row>
    <row r="124" spans="1:19" ht="17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O124" s="24" t="str">
        <f>Honor_guru!P126</f>
        <v>Cikalongwetan, 1 April 2026</v>
      </c>
    </row>
    <row r="125" spans="1:19" ht="18" customHeight="1">
      <c r="A125" s="8"/>
      <c r="C125" s="24" t="s">
        <v>21</v>
      </c>
      <c r="D125" s="24"/>
      <c r="E125" s="24"/>
      <c r="F125" s="24"/>
      <c r="G125" s="24"/>
      <c r="H125" s="24"/>
      <c r="I125" s="24"/>
      <c r="J125" s="24"/>
      <c r="K125" s="24"/>
      <c r="L125" s="8"/>
      <c r="O125" s="24" t="str">
        <f>Honor_guru!P127</f>
        <v>Dibayar Lunas Tgl. 7 April 2026</v>
      </c>
    </row>
    <row r="126" spans="1:19">
      <c r="A126" s="8"/>
      <c r="C126" s="24" t="s">
        <v>22</v>
      </c>
      <c r="D126" s="24"/>
      <c r="E126" s="24"/>
      <c r="F126" s="24"/>
      <c r="G126" s="24"/>
      <c r="H126" s="24"/>
      <c r="I126" s="24"/>
      <c r="J126" s="24"/>
      <c r="K126" s="24"/>
      <c r="L126" s="8"/>
      <c r="O126" s="24" t="s">
        <v>23</v>
      </c>
    </row>
    <row r="127" spans="1:19">
      <c r="A127" s="8"/>
      <c r="C127" s="24"/>
      <c r="D127" s="24"/>
      <c r="E127" s="24"/>
      <c r="F127" s="24"/>
      <c r="G127" s="24"/>
      <c r="H127" s="24"/>
      <c r="I127" s="24"/>
      <c r="J127" s="24"/>
      <c r="K127" s="24"/>
      <c r="L127" s="8"/>
      <c r="O127" s="25"/>
      <c r="S127" s="26"/>
    </row>
    <row r="128" spans="1:19">
      <c r="A128" s="8"/>
      <c r="C128" s="24"/>
      <c r="D128" s="24"/>
      <c r="E128" s="24"/>
      <c r="F128" s="24"/>
      <c r="G128" s="24"/>
      <c r="H128" s="24"/>
      <c r="I128" s="24"/>
      <c r="J128" s="24"/>
      <c r="K128" s="24"/>
      <c r="L128" s="8"/>
      <c r="O128" s="25"/>
    </row>
    <row r="129" spans="1:16">
      <c r="A129" s="8"/>
      <c r="C129" s="24"/>
      <c r="D129" s="24"/>
      <c r="E129" s="24"/>
      <c r="F129" s="24"/>
      <c r="G129" s="24"/>
      <c r="H129" s="24"/>
      <c r="I129" s="24"/>
      <c r="J129" s="24"/>
      <c r="K129" s="24"/>
      <c r="L129" s="8"/>
      <c r="O129" s="25"/>
    </row>
    <row r="130" spans="1:16">
      <c r="A130" s="8"/>
      <c r="C130" s="24"/>
      <c r="D130" s="24"/>
      <c r="E130" s="24"/>
      <c r="F130" s="24"/>
      <c r="G130" s="24"/>
      <c r="H130" s="24"/>
      <c r="I130" s="24"/>
      <c r="J130" s="24"/>
      <c r="K130" s="24"/>
      <c r="L130" s="8"/>
      <c r="O130" s="25"/>
    </row>
    <row r="131" spans="1:16">
      <c r="A131" s="8"/>
      <c r="C131" s="24"/>
      <c r="D131" s="24"/>
      <c r="E131" s="24"/>
      <c r="F131" s="24"/>
      <c r="G131" s="24"/>
      <c r="H131" s="24"/>
      <c r="I131" s="24"/>
      <c r="J131" s="24"/>
      <c r="K131" s="24"/>
      <c r="L131" s="8"/>
      <c r="O131" s="25"/>
    </row>
    <row r="132" spans="1:16" ht="15" customHeight="1">
      <c r="A132" s="8"/>
      <c r="C132" s="27" t="str">
        <f>Honor_guru!C134</f>
        <v>BADRUDDIN, S.Ag.</v>
      </c>
      <c r="D132" s="28"/>
      <c r="E132" s="28"/>
      <c r="F132" s="28"/>
      <c r="G132" s="28"/>
      <c r="H132" s="28"/>
      <c r="I132" s="28"/>
      <c r="J132" s="28"/>
      <c r="K132" s="8"/>
      <c r="L132" s="8"/>
      <c r="O132" s="27" t="str">
        <f>IF(O97="","",O97)</f>
        <v>DEDE GUNAWAN, S.Pd.</v>
      </c>
    </row>
    <row r="133" spans="1:16" ht="15" customHeight="1">
      <c r="A133" s="8"/>
      <c r="C133" s="27" t="str">
        <f>Honor_guru!C135</f>
        <v>NIP. 197405082014121002</v>
      </c>
      <c r="D133" s="28"/>
      <c r="E133" s="28"/>
      <c r="F133" s="28"/>
      <c r="G133" s="28"/>
      <c r="H133" s="28"/>
      <c r="I133" s="28"/>
      <c r="J133" s="28"/>
      <c r="K133" s="8"/>
      <c r="L133" s="8"/>
      <c r="O133" s="27" t="str">
        <f>IF(O98="","",O98)</f>
        <v>NIP. 198507172020121003</v>
      </c>
    </row>
    <row r="141" spans="1:16" ht="17.25" customHeight="1">
      <c r="A141" s="64" t="str">
        <f>$A$1</f>
        <v>DAFTAR PENERIMA HONORARIUM/GAJI TENAGA PERPUSTAKAAN TIDAK TETAP (PEMBAYARAN NON TUNAI)</v>
      </c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</row>
    <row r="142" spans="1:16" ht="17.25" customHeight="1">
      <c r="A142" s="64" t="str">
        <f>Honor_guru!A145</f>
        <v>BULAN MEI 2026</v>
      </c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</row>
    <row r="143" spans="1:16" ht="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5" customHeight="1">
      <c r="C144" s="4" t="s">
        <v>0</v>
      </c>
      <c r="D144" s="5" t="s">
        <v>1</v>
      </c>
      <c r="E144" s="5"/>
      <c r="F144" s="5"/>
      <c r="G144" s="5"/>
      <c r="H144" s="5"/>
      <c r="I144" s="5"/>
      <c r="K144" s="6"/>
      <c r="L144" s="7"/>
      <c r="M144" s="4" t="s">
        <v>26</v>
      </c>
      <c r="N144" s="4" t="str">
        <f>N109</f>
        <v>: 07 Pengembangan Standar Pembiayaan</v>
      </c>
      <c r="O144" s="3"/>
    </row>
    <row r="145" spans="1:19" ht="15" customHeight="1">
      <c r="C145" s="4" t="s">
        <v>2</v>
      </c>
      <c r="D145" s="4" t="str">
        <f>D110</f>
        <v>: SD NEGERI LEBAKLEUNGSIR</v>
      </c>
      <c r="E145" s="4"/>
      <c r="F145" s="4"/>
      <c r="G145" s="4"/>
      <c r="H145" s="4"/>
      <c r="I145" s="4"/>
      <c r="K145" s="6"/>
      <c r="M145" s="4" t="s">
        <v>27</v>
      </c>
      <c r="N145" s="4" t="str">
        <f>N110</f>
        <v>: Pembayaran Honor (Tenaga Perpustakaan)</v>
      </c>
      <c r="O145" s="3"/>
    </row>
    <row r="146" spans="1:19" ht="15" customHeight="1">
      <c r="C146" s="4" t="s">
        <v>3</v>
      </c>
      <c r="D146" s="4" t="str">
        <f>D111</f>
        <v>: Cikalongwetan</v>
      </c>
      <c r="E146" s="4"/>
      <c r="F146" s="4"/>
      <c r="G146" s="4"/>
      <c r="H146" s="4"/>
      <c r="I146" s="4"/>
      <c r="K146" s="6"/>
      <c r="M146" s="8" t="s">
        <v>28</v>
      </c>
      <c r="N146" s="4" t="str">
        <f>N111</f>
        <v>: 5.1.02.02.01.0013</v>
      </c>
      <c r="O146" s="3"/>
    </row>
    <row r="147" spans="1:19" ht="15" customHeight="1">
      <c r="C147" s="4" t="s">
        <v>5</v>
      </c>
      <c r="D147" s="4" t="str">
        <f>D112</f>
        <v>: Bandung Barat</v>
      </c>
      <c r="E147" s="4"/>
      <c r="F147" s="4"/>
      <c r="G147" s="4"/>
      <c r="H147" s="4"/>
      <c r="I147" s="4"/>
      <c r="K147" s="6"/>
      <c r="M147" s="4" t="s">
        <v>7</v>
      </c>
      <c r="N147" s="4" t="str">
        <f>N112</f>
        <v>: 12</v>
      </c>
      <c r="O147" s="3"/>
      <c r="P147" s="8"/>
    </row>
    <row r="148" spans="1:19" ht="15" customHeight="1">
      <c r="M148" s="8"/>
      <c r="N148" s="8"/>
      <c r="O148" s="8"/>
    </row>
    <row r="149" spans="1:19" ht="18.5" customHeight="1">
      <c r="A149" s="62" t="s">
        <v>8</v>
      </c>
      <c r="B149" s="65" t="s">
        <v>9</v>
      </c>
      <c r="C149" s="66"/>
      <c r="D149" s="62" t="s">
        <v>10</v>
      </c>
      <c r="E149" s="69" t="s">
        <v>72</v>
      </c>
      <c r="F149" s="70"/>
      <c r="G149" s="70"/>
      <c r="H149" s="71"/>
      <c r="I149" s="72" t="s">
        <v>14</v>
      </c>
      <c r="J149" s="72" t="s">
        <v>11</v>
      </c>
      <c r="K149" s="65" t="s">
        <v>12</v>
      </c>
      <c r="L149" s="66"/>
      <c r="M149" s="74" t="s">
        <v>31</v>
      </c>
      <c r="N149" s="72" t="s">
        <v>16</v>
      </c>
      <c r="O149" s="65" t="s">
        <v>17</v>
      </c>
      <c r="P149" s="66"/>
    </row>
    <row r="150" spans="1:19" ht="34" customHeight="1">
      <c r="A150" s="63"/>
      <c r="B150" s="67"/>
      <c r="C150" s="68"/>
      <c r="D150" s="63"/>
      <c r="E150" s="39" t="str">
        <f t="shared" ref="E150:H156" si="24">IF(E115="","",E115)</f>
        <v>Tenaga Perpustakaan</v>
      </c>
      <c r="F150" s="35" t="str">
        <f t="shared" si="24"/>
        <v>Pembina Ekskul</v>
      </c>
      <c r="G150" s="35" t="str">
        <f t="shared" si="24"/>
        <v>Guru</v>
      </c>
      <c r="H150" s="39" t="str">
        <f t="shared" si="24"/>
        <v>TAS/ Operator</v>
      </c>
      <c r="I150" s="73"/>
      <c r="J150" s="73"/>
      <c r="K150" s="67"/>
      <c r="L150" s="68"/>
      <c r="M150" s="75"/>
      <c r="N150" s="73"/>
      <c r="O150" s="67"/>
      <c r="P150" s="68"/>
    </row>
    <row r="151" spans="1:19" ht="30.5" customHeight="1">
      <c r="A151" s="11">
        <v>1</v>
      </c>
      <c r="B151" s="12" t="str">
        <f t="shared" ref="B151:B156" si="25">IF(B116="","",B116)</f>
        <v>LINDAWATI</v>
      </c>
      <c r="C151" s="13"/>
      <c r="D151" s="32" t="str">
        <f t="shared" ref="D151:D156" si="26">IF(D116="","",D116)</f>
        <v>Tenaga Perpustakaan</v>
      </c>
      <c r="E151" s="37">
        <f t="shared" si="24"/>
        <v>700000</v>
      </c>
      <c r="F151" s="37" t="str">
        <f t="shared" si="24"/>
        <v/>
      </c>
      <c r="G151" s="37" t="str">
        <f t="shared" si="24"/>
        <v>-</v>
      </c>
      <c r="H151" s="37" t="str">
        <f t="shared" si="24"/>
        <v/>
      </c>
      <c r="I151" s="16">
        <f>IF(B151="","",SUM(E151:H151))</f>
        <v>700000</v>
      </c>
      <c r="J151" s="38" t="str">
        <f t="shared" ref="J151:L156" si="27">IF(J116="","",J116)</f>
        <v>PTT</v>
      </c>
      <c r="K151" s="38">
        <f t="shared" si="27"/>
        <v>1</v>
      </c>
      <c r="L151" s="38" t="str">
        <f t="shared" si="27"/>
        <v>Bulan</v>
      </c>
      <c r="M151" s="17">
        <f>IFERROR(I151*0/100,"")</f>
        <v>0</v>
      </c>
      <c r="N151" s="16">
        <f>IFERROR(SUM(I151*K151)-M151,"")</f>
        <v>700000</v>
      </c>
      <c r="O151" s="54">
        <v>1</v>
      </c>
      <c r="P151" s="56">
        <v>2</v>
      </c>
    </row>
    <row r="152" spans="1:19" ht="30.5" customHeight="1">
      <c r="A152" s="11">
        <v>2</v>
      </c>
      <c r="B152" s="12" t="str">
        <f t="shared" si="25"/>
        <v/>
      </c>
      <c r="C152" s="13"/>
      <c r="D152" s="32" t="str">
        <f t="shared" si="26"/>
        <v/>
      </c>
      <c r="E152" s="37" t="str">
        <f t="shared" si="24"/>
        <v/>
      </c>
      <c r="F152" s="37" t="str">
        <f t="shared" si="24"/>
        <v/>
      </c>
      <c r="G152" s="37" t="str">
        <f t="shared" si="24"/>
        <v/>
      </c>
      <c r="H152" s="37" t="str">
        <f t="shared" si="24"/>
        <v/>
      </c>
      <c r="I152" s="16" t="str">
        <f t="shared" ref="I152:I156" si="28">IF(B152="","",SUM(E152:H152))</f>
        <v/>
      </c>
      <c r="J152" s="38" t="str">
        <f t="shared" si="27"/>
        <v/>
      </c>
      <c r="K152" s="38" t="str">
        <f t="shared" si="27"/>
        <v/>
      </c>
      <c r="L152" s="38" t="str">
        <f t="shared" si="27"/>
        <v/>
      </c>
      <c r="M152" s="17" t="str">
        <f t="shared" ref="M152:M156" si="29">IFERROR(I152*0/100,"")</f>
        <v/>
      </c>
      <c r="N152" s="16" t="str">
        <f t="shared" ref="N152:N156" si="30">IFERROR(SUM(I152*K152)-M152,"")</f>
        <v/>
      </c>
      <c r="O152" s="55"/>
      <c r="P152" s="57"/>
    </row>
    <row r="153" spans="1:19" ht="24" hidden="1" customHeight="1">
      <c r="A153" s="11">
        <v>3</v>
      </c>
      <c r="B153" s="12" t="str">
        <f t="shared" si="25"/>
        <v/>
      </c>
      <c r="C153" s="13"/>
      <c r="D153" s="32" t="str">
        <f t="shared" si="26"/>
        <v/>
      </c>
      <c r="E153" s="37" t="str">
        <f t="shared" si="24"/>
        <v/>
      </c>
      <c r="F153" s="37" t="str">
        <f t="shared" si="24"/>
        <v/>
      </c>
      <c r="G153" s="37" t="str">
        <f t="shared" si="24"/>
        <v/>
      </c>
      <c r="H153" s="37" t="str">
        <f t="shared" si="24"/>
        <v/>
      </c>
      <c r="I153" s="16" t="str">
        <f t="shared" si="28"/>
        <v/>
      </c>
      <c r="J153" s="38" t="str">
        <f t="shared" si="27"/>
        <v/>
      </c>
      <c r="K153" s="38" t="str">
        <f t="shared" si="27"/>
        <v/>
      </c>
      <c r="L153" s="38" t="str">
        <f t="shared" si="27"/>
        <v/>
      </c>
      <c r="M153" s="17" t="str">
        <f t="shared" si="29"/>
        <v/>
      </c>
      <c r="N153" s="16" t="str">
        <f t="shared" si="30"/>
        <v/>
      </c>
      <c r="O153" s="54">
        <v>3</v>
      </c>
      <c r="P153" s="56">
        <v>4</v>
      </c>
    </row>
    <row r="154" spans="1:19" ht="24" hidden="1" customHeight="1">
      <c r="A154" s="11">
        <v>4</v>
      </c>
      <c r="B154" s="12" t="str">
        <f t="shared" si="25"/>
        <v/>
      </c>
      <c r="C154" s="13"/>
      <c r="D154" s="32" t="str">
        <f t="shared" si="26"/>
        <v/>
      </c>
      <c r="E154" s="37" t="str">
        <f t="shared" si="24"/>
        <v/>
      </c>
      <c r="F154" s="37" t="str">
        <f t="shared" si="24"/>
        <v/>
      </c>
      <c r="G154" s="37" t="str">
        <f t="shared" si="24"/>
        <v/>
      </c>
      <c r="H154" s="37" t="str">
        <f t="shared" si="24"/>
        <v/>
      </c>
      <c r="I154" s="16" t="str">
        <f t="shared" si="28"/>
        <v/>
      </c>
      <c r="J154" s="38" t="str">
        <f t="shared" si="27"/>
        <v/>
      </c>
      <c r="K154" s="38" t="str">
        <f t="shared" si="27"/>
        <v/>
      </c>
      <c r="L154" s="38" t="str">
        <f t="shared" si="27"/>
        <v/>
      </c>
      <c r="M154" s="17" t="str">
        <f t="shared" si="29"/>
        <v/>
      </c>
      <c r="N154" s="16" t="str">
        <f t="shared" si="30"/>
        <v/>
      </c>
      <c r="O154" s="55"/>
      <c r="P154" s="57"/>
    </row>
    <row r="155" spans="1:19" ht="24" hidden="1" customHeight="1">
      <c r="A155" s="11">
        <v>5</v>
      </c>
      <c r="B155" s="12" t="str">
        <f t="shared" si="25"/>
        <v/>
      </c>
      <c r="C155" s="13"/>
      <c r="D155" s="32" t="str">
        <f t="shared" si="26"/>
        <v/>
      </c>
      <c r="E155" s="37" t="str">
        <f t="shared" si="24"/>
        <v/>
      </c>
      <c r="F155" s="37" t="str">
        <f t="shared" si="24"/>
        <v/>
      </c>
      <c r="G155" s="37" t="str">
        <f t="shared" si="24"/>
        <v/>
      </c>
      <c r="H155" s="37" t="str">
        <f t="shared" si="24"/>
        <v/>
      </c>
      <c r="I155" s="16" t="str">
        <f t="shared" si="28"/>
        <v/>
      </c>
      <c r="J155" s="38" t="str">
        <f t="shared" si="27"/>
        <v/>
      </c>
      <c r="K155" s="38" t="str">
        <f t="shared" si="27"/>
        <v/>
      </c>
      <c r="L155" s="38" t="str">
        <f t="shared" si="27"/>
        <v/>
      </c>
      <c r="M155" s="17" t="str">
        <f t="shared" si="29"/>
        <v/>
      </c>
      <c r="N155" s="16" t="str">
        <f t="shared" si="30"/>
        <v/>
      </c>
      <c r="O155" s="58">
        <v>5</v>
      </c>
      <c r="P155" s="59">
        <v>6</v>
      </c>
    </row>
    <row r="156" spans="1:19" ht="24" hidden="1" customHeight="1">
      <c r="A156" s="11">
        <v>6</v>
      </c>
      <c r="B156" s="12" t="str">
        <f t="shared" si="25"/>
        <v/>
      </c>
      <c r="C156" s="13"/>
      <c r="D156" s="32" t="str">
        <f t="shared" si="26"/>
        <v/>
      </c>
      <c r="E156" s="37" t="str">
        <f t="shared" si="24"/>
        <v/>
      </c>
      <c r="F156" s="37" t="str">
        <f t="shared" si="24"/>
        <v/>
      </c>
      <c r="G156" s="37" t="str">
        <f t="shared" si="24"/>
        <v/>
      </c>
      <c r="H156" s="37" t="str">
        <f t="shared" si="24"/>
        <v/>
      </c>
      <c r="I156" s="16" t="str">
        <f t="shared" si="28"/>
        <v/>
      </c>
      <c r="J156" s="38" t="str">
        <f t="shared" si="27"/>
        <v/>
      </c>
      <c r="K156" s="38" t="str">
        <f t="shared" si="27"/>
        <v/>
      </c>
      <c r="L156" s="38" t="str">
        <f t="shared" si="27"/>
        <v/>
      </c>
      <c r="M156" s="17" t="str">
        <f t="shared" si="29"/>
        <v/>
      </c>
      <c r="N156" s="16" t="str">
        <f t="shared" si="30"/>
        <v/>
      </c>
      <c r="O156" s="58"/>
      <c r="P156" s="59"/>
    </row>
    <row r="157" spans="1:19" s="21" customFormat="1" ht="22.5" customHeight="1">
      <c r="A157" s="60" t="s">
        <v>20</v>
      </c>
      <c r="B157" s="61"/>
      <c r="C157" s="61"/>
      <c r="D157" s="61"/>
      <c r="E157" s="61"/>
      <c r="F157" s="61"/>
      <c r="G157" s="61"/>
      <c r="H157" s="36"/>
      <c r="I157" s="18">
        <f>SUM(I151:I156)</f>
        <v>700000</v>
      </c>
      <c r="J157" s="36"/>
      <c r="K157" s="36"/>
      <c r="L157" s="36"/>
      <c r="M157" s="19">
        <f>SUM(M151:M156)</f>
        <v>0</v>
      </c>
      <c r="N157" s="18">
        <f>SUM(N151:N156)</f>
        <v>700000</v>
      </c>
      <c r="O157" s="20"/>
      <c r="P157" s="20"/>
      <c r="S157" s="22"/>
    </row>
    <row r="158" spans="1:19" ht="23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N158" s="23"/>
    </row>
    <row r="159" spans="1:19" ht="17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O159" s="24" t="str">
        <f>Honor_guru!P162</f>
        <v>Cikalongwetan, 2 Mei 2026</v>
      </c>
    </row>
    <row r="160" spans="1:19" ht="18" customHeight="1">
      <c r="A160" s="8"/>
      <c r="C160" s="24" t="s">
        <v>21</v>
      </c>
      <c r="D160" s="24"/>
      <c r="E160" s="24"/>
      <c r="F160" s="24"/>
      <c r="G160" s="24"/>
      <c r="H160" s="24"/>
      <c r="I160" s="24"/>
      <c r="J160" s="24"/>
      <c r="K160" s="24"/>
      <c r="L160" s="8"/>
      <c r="O160" s="24" t="str">
        <f>Honor_guru!P163</f>
        <v>Dibayar Lunas Tgl. 5 Mei 2026</v>
      </c>
    </row>
    <row r="161" spans="1:19">
      <c r="A161" s="8"/>
      <c r="C161" s="24" t="s">
        <v>22</v>
      </c>
      <c r="D161" s="24"/>
      <c r="E161" s="24"/>
      <c r="F161" s="24"/>
      <c r="G161" s="24"/>
      <c r="H161" s="24"/>
      <c r="I161" s="24"/>
      <c r="J161" s="24"/>
      <c r="K161" s="24"/>
      <c r="L161" s="8"/>
      <c r="O161" s="24" t="s">
        <v>23</v>
      </c>
    </row>
    <row r="162" spans="1:19">
      <c r="A162" s="8"/>
      <c r="C162" s="24"/>
      <c r="D162" s="24"/>
      <c r="E162" s="24"/>
      <c r="F162" s="24"/>
      <c r="G162" s="24"/>
      <c r="H162" s="24"/>
      <c r="I162" s="24"/>
      <c r="J162" s="24"/>
      <c r="K162" s="24"/>
      <c r="L162" s="8"/>
      <c r="O162" s="25"/>
      <c r="S162" s="26"/>
    </row>
    <row r="163" spans="1:19">
      <c r="A163" s="8"/>
      <c r="C163" s="24"/>
      <c r="D163" s="24"/>
      <c r="E163" s="24"/>
      <c r="F163" s="24"/>
      <c r="G163" s="24"/>
      <c r="H163" s="24"/>
      <c r="I163" s="24"/>
      <c r="J163" s="24"/>
      <c r="K163" s="24"/>
      <c r="L163" s="8"/>
      <c r="O163" s="25"/>
    </row>
    <row r="164" spans="1:19">
      <c r="A164" s="8"/>
      <c r="C164" s="24"/>
      <c r="D164" s="24"/>
      <c r="E164" s="24"/>
      <c r="F164" s="24"/>
      <c r="G164" s="24"/>
      <c r="H164" s="24"/>
      <c r="I164" s="24"/>
      <c r="J164" s="24"/>
      <c r="K164" s="24"/>
      <c r="L164" s="8"/>
      <c r="O164" s="25"/>
    </row>
    <row r="165" spans="1:19">
      <c r="A165" s="8"/>
      <c r="C165" s="24"/>
      <c r="D165" s="24"/>
      <c r="E165" s="24"/>
      <c r="F165" s="24"/>
      <c r="G165" s="24"/>
      <c r="H165" s="24"/>
      <c r="I165" s="24"/>
      <c r="J165" s="24"/>
      <c r="K165" s="24"/>
      <c r="L165" s="8"/>
      <c r="O165" s="25"/>
    </row>
    <row r="166" spans="1:19">
      <c r="A166" s="8"/>
      <c r="C166" s="24"/>
      <c r="D166" s="24"/>
      <c r="E166" s="24"/>
      <c r="F166" s="24"/>
      <c r="G166" s="24"/>
      <c r="H166" s="24"/>
      <c r="I166" s="24"/>
      <c r="J166" s="24"/>
      <c r="K166" s="24"/>
      <c r="L166" s="8"/>
      <c r="O166" s="25"/>
    </row>
    <row r="167" spans="1:19" ht="15" customHeight="1">
      <c r="A167" s="8"/>
      <c r="C167" s="27" t="str">
        <f>IF(C132="","",C132)</f>
        <v>BADRUDDIN, S.Ag.</v>
      </c>
      <c r="D167" s="28"/>
      <c r="E167" s="28"/>
      <c r="F167" s="28"/>
      <c r="G167" s="28"/>
      <c r="H167" s="28"/>
      <c r="I167" s="28"/>
      <c r="J167" s="28"/>
      <c r="K167" s="8"/>
      <c r="L167" s="8"/>
      <c r="O167" s="27" t="str">
        <f>IF(O132="","",O132)</f>
        <v>DEDE GUNAWAN, S.Pd.</v>
      </c>
    </row>
    <row r="168" spans="1:19" ht="15" customHeight="1">
      <c r="A168" s="8"/>
      <c r="C168" s="27" t="str">
        <f>IF(C133="","",C133)</f>
        <v>NIP. 197405082014121002</v>
      </c>
      <c r="D168" s="28"/>
      <c r="E168" s="28"/>
      <c r="F168" s="28"/>
      <c r="G168" s="28"/>
      <c r="H168" s="28"/>
      <c r="I168" s="28"/>
      <c r="J168" s="28"/>
      <c r="K168" s="8"/>
      <c r="L168" s="8"/>
      <c r="O168" s="27" t="str">
        <f>IF(O133="","",O133)</f>
        <v>NIP. 198507172020121003</v>
      </c>
    </row>
    <row r="176" spans="1:19" ht="17.25" customHeight="1">
      <c r="A176" s="64" t="str">
        <f>$A$1</f>
        <v>DAFTAR PENERIMA HONORARIUM/GAJI TENAGA PERPUSTAKAAN TIDAK TETAP (PEMBAYARAN NON TUNAI)</v>
      </c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</row>
    <row r="177" spans="1:19" ht="17.25" customHeight="1">
      <c r="A177" s="64" t="str">
        <f>Honor_guru!A181</f>
        <v>BULAN JUNI 2026</v>
      </c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</row>
    <row r="178" spans="1:19" ht="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9" ht="15" customHeight="1">
      <c r="C179" s="4" t="s">
        <v>0</v>
      </c>
      <c r="D179" s="5" t="s">
        <v>1</v>
      </c>
      <c r="E179" s="5"/>
      <c r="F179" s="5"/>
      <c r="G179" s="5"/>
      <c r="H179" s="5"/>
      <c r="I179" s="5"/>
      <c r="K179" s="6"/>
      <c r="L179" s="7"/>
      <c r="M179" s="4" t="s">
        <v>26</v>
      </c>
      <c r="N179" s="4" t="str">
        <f>N144</f>
        <v>: 07 Pengembangan Standar Pembiayaan</v>
      </c>
      <c r="O179" s="3"/>
    </row>
    <row r="180" spans="1:19" ht="15" customHeight="1">
      <c r="C180" s="4" t="s">
        <v>2</v>
      </c>
      <c r="D180" s="4" t="str">
        <f>D145</f>
        <v>: SD NEGERI LEBAKLEUNGSIR</v>
      </c>
      <c r="E180" s="4"/>
      <c r="F180" s="4"/>
      <c r="G180" s="4"/>
      <c r="H180" s="4"/>
      <c r="I180" s="4"/>
      <c r="K180" s="6"/>
      <c r="M180" s="4" t="s">
        <v>27</v>
      </c>
      <c r="N180" s="4" t="str">
        <f>N145</f>
        <v>: Pembayaran Honor (Tenaga Perpustakaan)</v>
      </c>
      <c r="O180" s="3"/>
    </row>
    <row r="181" spans="1:19" ht="15" customHeight="1">
      <c r="C181" s="4" t="s">
        <v>3</v>
      </c>
      <c r="D181" s="4" t="str">
        <f>D146</f>
        <v>: Cikalongwetan</v>
      </c>
      <c r="E181" s="4"/>
      <c r="F181" s="4"/>
      <c r="G181" s="4"/>
      <c r="H181" s="4"/>
      <c r="I181" s="4"/>
      <c r="K181" s="6"/>
      <c r="M181" s="8" t="s">
        <v>28</v>
      </c>
      <c r="N181" s="4" t="str">
        <f>N146</f>
        <v>: 5.1.02.02.01.0013</v>
      </c>
      <c r="O181" s="3"/>
    </row>
    <row r="182" spans="1:19" ht="15" customHeight="1">
      <c r="C182" s="4" t="s">
        <v>5</v>
      </c>
      <c r="D182" s="4" t="str">
        <f>D147</f>
        <v>: Bandung Barat</v>
      </c>
      <c r="E182" s="4"/>
      <c r="F182" s="4"/>
      <c r="G182" s="4"/>
      <c r="H182" s="4"/>
      <c r="I182" s="4"/>
      <c r="K182" s="6"/>
      <c r="M182" s="4" t="s">
        <v>7</v>
      </c>
      <c r="N182" s="4" t="str">
        <f>N147</f>
        <v>: 12</v>
      </c>
      <c r="O182" s="3"/>
      <c r="P182" s="8"/>
    </row>
    <row r="183" spans="1:19" ht="15" customHeight="1">
      <c r="M183" s="8"/>
      <c r="N183" s="8"/>
      <c r="O183" s="8"/>
    </row>
    <row r="184" spans="1:19" ht="18.5" customHeight="1">
      <c r="A184" s="62" t="s">
        <v>8</v>
      </c>
      <c r="B184" s="65" t="s">
        <v>9</v>
      </c>
      <c r="C184" s="66"/>
      <c r="D184" s="62" t="s">
        <v>10</v>
      </c>
      <c r="E184" s="69" t="s">
        <v>72</v>
      </c>
      <c r="F184" s="70"/>
      <c r="G184" s="70"/>
      <c r="H184" s="71"/>
      <c r="I184" s="72" t="s">
        <v>14</v>
      </c>
      <c r="J184" s="72" t="s">
        <v>11</v>
      </c>
      <c r="K184" s="65" t="s">
        <v>12</v>
      </c>
      <c r="L184" s="66"/>
      <c r="M184" s="74" t="s">
        <v>31</v>
      </c>
      <c r="N184" s="72" t="s">
        <v>16</v>
      </c>
      <c r="O184" s="65" t="s">
        <v>17</v>
      </c>
      <c r="P184" s="66"/>
    </row>
    <row r="185" spans="1:19" ht="34" customHeight="1">
      <c r="A185" s="63"/>
      <c r="B185" s="67"/>
      <c r="C185" s="68"/>
      <c r="D185" s="63"/>
      <c r="E185" s="39" t="str">
        <f t="shared" ref="E185:H191" si="31">IF(E150="","",E150)</f>
        <v>Tenaga Perpustakaan</v>
      </c>
      <c r="F185" s="35" t="str">
        <f t="shared" si="31"/>
        <v>Pembina Ekskul</v>
      </c>
      <c r="G185" s="35" t="str">
        <f t="shared" si="31"/>
        <v>Guru</v>
      </c>
      <c r="H185" s="39" t="str">
        <f t="shared" si="31"/>
        <v>TAS/ Operator</v>
      </c>
      <c r="I185" s="73"/>
      <c r="J185" s="73"/>
      <c r="K185" s="67"/>
      <c r="L185" s="68"/>
      <c r="M185" s="75"/>
      <c r="N185" s="73"/>
      <c r="O185" s="67"/>
      <c r="P185" s="68"/>
    </row>
    <row r="186" spans="1:19" ht="30.5" customHeight="1">
      <c r="A186" s="11">
        <v>1</v>
      </c>
      <c r="B186" s="12" t="str">
        <f t="shared" ref="B186:B191" si="32">IF(B151="","",B151)</f>
        <v>LINDAWATI</v>
      </c>
      <c r="C186" s="13"/>
      <c r="D186" s="32" t="str">
        <f t="shared" ref="D186:D191" si="33">IF(D151="","",D151)</f>
        <v>Tenaga Perpustakaan</v>
      </c>
      <c r="E186" s="37">
        <f t="shared" si="31"/>
        <v>700000</v>
      </c>
      <c r="F186" s="37" t="str">
        <f t="shared" si="31"/>
        <v/>
      </c>
      <c r="G186" s="37" t="str">
        <f t="shared" si="31"/>
        <v>-</v>
      </c>
      <c r="H186" s="37" t="str">
        <f t="shared" si="31"/>
        <v/>
      </c>
      <c r="I186" s="16">
        <f>IF(B186="","",SUM(E186:H186))</f>
        <v>700000</v>
      </c>
      <c r="J186" s="38" t="str">
        <f t="shared" ref="J186:L191" si="34">IF(J151="","",J151)</f>
        <v>PTT</v>
      </c>
      <c r="K186" s="38">
        <f t="shared" si="34"/>
        <v>1</v>
      </c>
      <c r="L186" s="38" t="str">
        <f t="shared" si="34"/>
        <v>Bulan</v>
      </c>
      <c r="M186" s="17">
        <f>IFERROR(I186*0/100,"")</f>
        <v>0</v>
      </c>
      <c r="N186" s="16">
        <f>IFERROR(SUM(I186*K186)-M186,"")</f>
        <v>700000</v>
      </c>
      <c r="O186" s="54">
        <v>1</v>
      </c>
      <c r="P186" s="56">
        <v>2</v>
      </c>
    </row>
    <row r="187" spans="1:19" ht="30.5" customHeight="1">
      <c r="A187" s="11">
        <v>2</v>
      </c>
      <c r="B187" s="12" t="str">
        <f t="shared" si="32"/>
        <v/>
      </c>
      <c r="C187" s="13"/>
      <c r="D187" s="32" t="str">
        <f t="shared" si="33"/>
        <v/>
      </c>
      <c r="E187" s="37" t="str">
        <f t="shared" si="31"/>
        <v/>
      </c>
      <c r="F187" s="37" t="str">
        <f t="shared" si="31"/>
        <v/>
      </c>
      <c r="G187" s="37" t="str">
        <f t="shared" si="31"/>
        <v/>
      </c>
      <c r="H187" s="37" t="str">
        <f t="shared" si="31"/>
        <v/>
      </c>
      <c r="I187" s="16" t="str">
        <f t="shared" ref="I187:I191" si="35">IF(B187="","",SUM(E187:H187))</f>
        <v/>
      </c>
      <c r="J187" s="38" t="str">
        <f t="shared" si="34"/>
        <v/>
      </c>
      <c r="K187" s="38" t="str">
        <f t="shared" si="34"/>
        <v/>
      </c>
      <c r="L187" s="38" t="str">
        <f t="shared" si="34"/>
        <v/>
      </c>
      <c r="M187" s="17" t="str">
        <f t="shared" ref="M187:M191" si="36">IFERROR(I187*0/100,"")</f>
        <v/>
      </c>
      <c r="N187" s="16" t="str">
        <f t="shared" ref="N187:N191" si="37">IFERROR(SUM(I187*K187)-M187,"")</f>
        <v/>
      </c>
      <c r="O187" s="55"/>
      <c r="P187" s="57"/>
    </row>
    <row r="188" spans="1:19" ht="24" hidden="1" customHeight="1">
      <c r="A188" s="11">
        <v>3</v>
      </c>
      <c r="B188" s="12" t="str">
        <f t="shared" si="32"/>
        <v/>
      </c>
      <c r="C188" s="13"/>
      <c r="D188" s="32" t="str">
        <f t="shared" si="33"/>
        <v/>
      </c>
      <c r="E188" s="37" t="str">
        <f t="shared" si="31"/>
        <v/>
      </c>
      <c r="F188" s="37" t="str">
        <f t="shared" si="31"/>
        <v/>
      </c>
      <c r="G188" s="37" t="str">
        <f t="shared" si="31"/>
        <v/>
      </c>
      <c r="H188" s="37" t="str">
        <f t="shared" si="31"/>
        <v/>
      </c>
      <c r="I188" s="16" t="str">
        <f t="shared" si="35"/>
        <v/>
      </c>
      <c r="J188" s="38" t="str">
        <f t="shared" si="34"/>
        <v/>
      </c>
      <c r="K188" s="38" t="str">
        <f t="shared" si="34"/>
        <v/>
      </c>
      <c r="L188" s="38" t="str">
        <f t="shared" si="34"/>
        <v/>
      </c>
      <c r="M188" s="17" t="str">
        <f t="shared" si="36"/>
        <v/>
      </c>
      <c r="N188" s="16" t="str">
        <f t="shared" si="37"/>
        <v/>
      </c>
      <c r="O188" s="54">
        <v>3</v>
      </c>
      <c r="P188" s="56">
        <v>4</v>
      </c>
    </row>
    <row r="189" spans="1:19" ht="24" hidden="1" customHeight="1">
      <c r="A189" s="11">
        <v>4</v>
      </c>
      <c r="B189" s="12" t="str">
        <f t="shared" si="32"/>
        <v/>
      </c>
      <c r="C189" s="13"/>
      <c r="D189" s="32" t="str">
        <f t="shared" si="33"/>
        <v/>
      </c>
      <c r="E189" s="37" t="str">
        <f t="shared" si="31"/>
        <v/>
      </c>
      <c r="F189" s="37" t="str">
        <f t="shared" si="31"/>
        <v/>
      </c>
      <c r="G189" s="37" t="str">
        <f t="shared" si="31"/>
        <v/>
      </c>
      <c r="H189" s="37" t="str">
        <f t="shared" si="31"/>
        <v/>
      </c>
      <c r="I189" s="16" t="str">
        <f t="shared" si="35"/>
        <v/>
      </c>
      <c r="J189" s="38" t="str">
        <f t="shared" si="34"/>
        <v/>
      </c>
      <c r="K189" s="38" t="str">
        <f t="shared" si="34"/>
        <v/>
      </c>
      <c r="L189" s="38" t="str">
        <f t="shared" si="34"/>
        <v/>
      </c>
      <c r="M189" s="17" t="str">
        <f t="shared" si="36"/>
        <v/>
      </c>
      <c r="N189" s="16" t="str">
        <f t="shared" si="37"/>
        <v/>
      </c>
      <c r="O189" s="55"/>
      <c r="P189" s="57"/>
    </row>
    <row r="190" spans="1:19" ht="24" hidden="1" customHeight="1">
      <c r="A190" s="11">
        <v>5</v>
      </c>
      <c r="B190" s="12" t="str">
        <f t="shared" si="32"/>
        <v/>
      </c>
      <c r="C190" s="13"/>
      <c r="D190" s="32" t="str">
        <f t="shared" si="33"/>
        <v/>
      </c>
      <c r="E190" s="37" t="str">
        <f t="shared" si="31"/>
        <v/>
      </c>
      <c r="F190" s="37" t="str">
        <f t="shared" si="31"/>
        <v/>
      </c>
      <c r="G190" s="37" t="str">
        <f t="shared" si="31"/>
        <v/>
      </c>
      <c r="H190" s="37" t="str">
        <f t="shared" si="31"/>
        <v/>
      </c>
      <c r="I190" s="16" t="str">
        <f t="shared" si="35"/>
        <v/>
      </c>
      <c r="J190" s="38" t="str">
        <f t="shared" si="34"/>
        <v/>
      </c>
      <c r="K190" s="38" t="str">
        <f t="shared" si="34"/>
        <v/>
      </c>
      <c r="L190" s="38" t="str">
        <f t="shared" si="34"/>
        <v/>
      </c>
      <c r="M190" s="17" t="str">
        <f t="shared" si="36"/>
        <v/>
      </c>
      <c r="N190" s="16" t="str">
        <f t="shared" si="37"/>
        <v/>
      </c>
      <c r="O190" s="58">
        <v>5</v>
      </c>
      <c r="P190" s="59">
        <v>6</v>
      </c>
    </row>
    <row r="191" spans="1:19" ht="24" hidden="1" customHeight="1">
      <c r="A191" s="11">
        <v>6</v>
      </c>
      <c r="B191" s="12" t="str">
        <f t="shared" si="32"/>
        <v/>
      </c>
      <c r="C191" s="13"/>
      <c r="D191" s="32" t="str">
        <f t="shared" si="33"/>
        <v/>
      </c>
      <c r="E191" s="37" t="str">
        <f t="shared" si="31"/>
        <v/>
      </c>
      <c r="F191" s="37" t="str">
        <f t="shared" si="31"/>
        <v/>
      </c>
      <c r="G191" s="37" t="str">
        <f t="shared" si="31"/>
        <v/>
      </c>
      <c r="H191" s="37" t="str">
        <f t="shared" si="31"/>
        <v/>
      </c>
      <c r="I191" s="16" t="str">
        <f t="shared" si="35"/>
        <v/>
      </c>
      <c r="J191" s="38" t="str">
        <f t="shared" si="34"/>
        <v/>
      </c>
      <c r="K191" s="38" t="str">
        <f t="shared" si="34"/>
        <v/>
      </c>
      <c r="L191" s="38" t="str">
        <f t="shared" si="34"/>
        <v/>
      </c>
      <c r="M191" s="17" t="str">
        <f t="shared" si="36"/>
        <v/>
      </c>
      <c r="N191" s="16" t="str">
        <f t="shared" si="37"/>
        <v/>
      </c>
      <c r="O191" s="58"/>
      <c r="P191" s="59"/>
    </row>
    <row r="192" spans="1:19" s="21" customFormat="1" ht="22.5" customHeight="1">
      <c r="A192" s="60" t="s">
        <v>20</v>
      </c>
      <c r="B192" s="61"/>
      <c r="C192" s="61"/>
      <c r="D192" s="61"/>
      <c r="E192" s="61"/>
      <c r="F192" s="61"/>
      <c r="G192" s="61"/>
      <c r="H192" s="36"/>
      <c r="I192" s="18">
        <f>SUM(I186:I191)</f>
        <v>700000</v>
      </c>
      <c r="J192" s="36"/>
      <c r="K192" s="36"/>
      <c r="L192" s="36"/>
      <c r="M192" s="19">
        <f>SUM(M186:M191)</f>
        <v>0</v>
      </c>
      <c r="N192" s="18">
        <f>SUM(N186:N191)</f>
        <v>700000</v>
      </c>
      <c r="O192" s="20"/>
      <c r="P192" s="20"/>
      <c r="S192" s="22"/>
    </row>
    <row r="193" spans="1:19" ht="23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N193" s="23"/>
    </row>
    <row r="194" spans="1:19" ht="17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O194" s="24" t="str">
        <f>Honor_guru!P198</f>
        <v>Cikalongwetan, 1 Juni 2026</v>
      </c>
    </row>
    <row r="195" spans="1:19" ht="18" customHeight="1">
      <c r="A195" s="8"/>
      <c r="C195" s="24" t="s">
        <v>21</v>
      </c>
      <c r="D195" s="24"/>
      <c r="E195" s="24"/>
      <c r="F195" s="24"/>
      <c r="G195" s="24"/>
      <c r="H195" s="24"/>
      <c r="I195" s="24"/>
      <c r="J195" s="24"/>
      <c r="K195" s="24"/>
      <c r="L195" s="8"/>
      <c r="O195" s="24" t="str">
        <f>Honor_guru!P199</f>
        <v>Dibayar Lunas Tgl. 3 Juni 2026</v>
      </c>
    </row>
    <row r="196" spans="1:19">
      <c r="A196" s="8"/>
      <c r="C196" s="24" t="s">
        <v>22</v>
      </c>
      <c r="D196" s="24"/>
      <c r="E196" s="24"/>
      <c r="F196" s="24"/>
      <c r="G196" s="24"/>
      <c r="H196" s="24"/>
      <c r="I196" s="24"/>
      <c r="J196" s="24"/>
      <c r="K196" s="24"/>
      <c r="L196" s="8"/>
      <c r="O196" s="24" t="s">
        <v>23</v>
      </c>
    </row>
    <row r="197" spans="1:19">
      <c r="A197" s="8"/>
      <c r="C197" s="24"/>
      <c r="D197" s="24"/>
      <c r="E197" s="24"/>
      <c r="F197" s="24"/>
      <c r="G197" s="24"/>
      <c r="H197" s="24"/>
      <c r="I197" s="24"/>
      <c r="J197" s="24"/>
      <c r="K197" s="24"/>
      <c r="L197" s="8"/>
      <c r="O197" s="25"/>
      <c r="S197" s="26"/>
    </row>
    <row r="198" spans="1:19">
      <c r="A198" s="8"/>
      <c r="C198" s="24"/>
      <c r="D198" s="24"/>
      <c r="E198" s="24"/>
      <c r="F198" s="24"/>
      <c r="G198" s="24"/>
      <c r="H198" s="24"/>
      <c r="I198" s="24"/>
      <c r="J198" s="24"/>
      <c r="K198" s="24"/>
      <c r="L198" s="8"/>
      <c r="O198" s="25"/>
    </row>
    <row r="199" spans="1:19">
      <c r="A199" s="8"/>
      <c r="C199" s="24"/>
      <c r="D199" s="24"/>
      <c r="E199" s="24"/>
      <c r="F199" s="24"/>
      <c r="G199" s="24"/>
      <c r="H199" s="24"/>
      <c r="I199" s="24"/>
      <c r="J199" s="24"/>
      <c r="K199" s="24"/>
      <c r="L199" s="8"/>
      <c r="O199" s="25"/>
    </row>
    <row r="200" spans="1:19">
      <c r="A200" s="8"/>
      <c r="C200" s="24"/>
      <c r="D200" s="24"/>
      <c r="E200" s="24"/>
      <c r="F200" s="24"/>
      <c r="G200" s="24"/>
      <c r="H200" s="24"/>
      <c r="I200" s="24"/>
      <c r="J200" s="24"/>
      <c r="K200" s="24"/>
      <c r="L200" s="8"/>
      <c r="O200" s="25"/>
    </row>
    <row r="201" spans="1:19">
      <c r="A201" s="8"/>
      <c r="C201" s="24"/>
      <c r="D201" s="24"/>
      <c r="E201" s="24"/>
      <c r="F201" s="24"/>
      <c r="G201" s="24"/>
      <c r="H201" s="24"/>
      <c r="I201" s="24"/>
      <c r="J201" s="24"/>
      <c r="K201" s="24"/>
      <c r="L201" s="8"/>
      <c r="O201" s="25"/>
    </row>
    <row r="202" spans="1:19" ht="15" customHeight="1">
      <c r="A202" s="8"/>
      <c r="C202" s="27" t="str">
        <f>IF(C167="","",C167)</f>
        <v>BADRUDDIN, S.Ag.</v>
      </c>
      <c r="D202" s="28"/>
      <c r="E202" s="28"/>
      <c r="F202" s="28"/>
      <c r="G202" s="28"/>
      <c r="H202" s="28"/>
      <c r="I202" s="28"/>
      <c r="J202" s="28"/>
      <c r="K202" s="8"/>
      <c r="L202" s="8"/>
      <c r="O202" s="27" t="str">
        <f>IF(O167="","",O167)</f>
        <v>DEDE GUNAWAN, S.Pd.</v>
      </c>
    </row>
    <row r="203" spans="1:19" ht="15" customHeight="1">
      <c r="A203" s="8"/>
      <c r="C203" s="27" t="str">
        <f>IF(C168="","",C168)</f>
        <v>NIP. 197405082014121002</v>
      </c>
      <c r="D203" s="28"/>
      <c r="E203" s="28"/>
      <c r="F203" s="28"/>
      <c r="G203" s="28"/>
      <c r="H203" s="28"/>
      <c r="I203" s="28"/>
      <c r="J203" s="28"/>
      <c r="K203" s="8"/>
      <c r="L203" s="8"/>
      <c r="O203" s="27" t="str">
        <f>IF(O168="","",O168)</f>
        <v>NIP. 198507172020121003</v>
      </c>
    </row>
    <row r="211" spans="1:16" ht="17.25" customHeight="1">
      <c r="A211" s="64" t="str">
        <f>$A$1</f>
        <v>DAFTAR PENERIMA HONORARIUM/GAJI TENAGA PERPUSTAKAAN TIDAK TETAP (PEMBAYARAN NON TUNAI)</v>
      </c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</row>
    <row r="212" spans="1:16" ht="17.25" customHeight="1">
      <c r="A212" s="64" t="str">
        <f>Honor_guru!A217</f>
        <v>BULAN JULI 2025</v>
      </c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</row>
    <row r="213" spans="1:16" ht="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5" customHeight="1">
      <c r="C214" s="4" t="s">
        <v>0</v>
      </c>
      <c r="D214" s="5" t="s">
        <v>1</v>
      </c>
      <c r="E214" s="5"/>
      <c r="F214" s="5"/>
      <c r="G214" s="5"/>
      <c r="H214" s="5"/>
      <c r="I214" s="5"/>
      <c r="K214" s="6"/>
      <c r="L214" s="7"/>
      <c r="M214" s="4" t="s">
        <v>26</v>
      </c>
      <c r="N214" s="4" t="str">
        <f>N179</f>
        <v>: 07 Pengembangan Standar Pembiayaan</v>
      </c>
      <c r="O214" s="3"/>
    </row>
    <row r="215" spans="1:16" ht="15" customHeight="1">
      <c r="C215" s="4" t="s">
        <v>2</v>
      </c>
      <c r="D215" s="4" t="str">
        <f>D180</f>
        <v>: SD NEGERI LEBAKLEUNGSIR</v>
      </c>
      <c r="E215" s="4"/>
      <c r="F215" s="4"/>
      <c r="G215" s="4"/>
      <c r="H215" s="4"/>
      <c r="I215" s="4"/>
      <c r="K215" s="6"/>
      <c r="M215" s="4" t="s">
        <v>27</v>
      </c>
      <c r="N215" s="4" t="str">
        <f>N180</f>
        <v>: Pembayaran Honor (Tenaga Perpustakaan)</v>
      </c>
      <c r="O215" s="3"/>
    </row>
    <row r="216" spans="1:16" ht="15" customHeight="1">
      <c r="C216" s="4" t="s">
        <v>3</v>
      </c>
      <c r="D216" s="4" t="str">
        <f>D181</f>
        <v>: Cikalongwetan</v>
      </c>
      <c r="E216" s="4"/>
      <c r="F216" s="4"/>
      <c r="G216" s="4"/>
      <c r="H216" s="4"/>
      <c r="I216" s="4"/>
      <c r="K216" s="6"/>
      <c r="M216" s="8" t="s">
        <v>28</v>
      </c>
      <c r="N216" s="4" t="str">
        <f>N181</f>
        <v>: 5.1.02.02.01.0013</v>
      </c>
      <c r="O216" s="3"/>
    </row>
    <row r="217" spans="1:16" ht="15" customHeight="1">
      <c r="C217" s="4" t="s">
        <v>5</v>
      </c>
      <c r="D217" s="4" t="str">
        <f>D182</f>
        <v>: Bandung Barat</v>
      </c>
      <c r="E217" s="4"/>
      <c r="F217" s="4"/>
      <c r="G217" s="4"/>
      <c r="H217" s="4"/>
      <c r="I217" s="4"/>
      <c r="K217" s="6"/>
      <c r="M217" s="4" t="s">
        <v>7</v>
      </c>
      <c r="N217" s="4" t="str">
        <f>N182</f>
        <v>: 12</v>
      </c>
      <c r="O217" s="3"/>
      <c r="P217" s="8"/>
    </row>
    <row r="218" spans="1:16" ht="15" customHeight="1">
      <c r="M218" s="8"/>
      <c r="N218" s="8"/>
      <c r="O218" s="8"/>
    </row>
    <row r="219" spans="1:16" ht="18.5" customHeight="1">
      <c r="A219" s="62" t="s">
        <v>8</v>
      </c>
      <c r="B219" s="65" t="s">
        <v>9</v>
      </c>
      <c r="C219" s="66"/>
      <c r="D219" s="62" t="s">
        <v>10</v>
      </c>
      <c r="E219" s="69" t="s">
        <v>72</v>
      </c>
      <c r="F219" s="70"/>
      <c r="G219" s="70"/>
      <c r="H219" s="71"/>
      <c r="I219" s="72" t="s">
        <v>14</v>
      </c>
      <c r="J219" s="72" t="s">
        <v>11</v>
      </c>
      <c r="K219" s="65" t="s">
        <v>12</v>
      </c>
      <c r="L219" s="66"/>
      <c r="M219" s="74" t="s">
        <v>31</v>
      </c>
      <c r="N219" s="72" t="s">
        <v>16</v>
      </c>
      <c r="O219" s="65" t="s">
        <v>17</v>
      </c>
      <c r="P219" s="66"/>
    </row>
    <row r="220" spans="1:16" ht="34" customHeight="1">
      <c r="A220" s="63"/>
      <c r="B220" s="67"/>
      <c r="C220" s="68"/>
      <c r="D220" s="63"/>
      <c r="E220" s="39" t="str">
        <f>IF(E185="","",E185)</f>
        <v>Tenaga Perpustakaan</v>
      </c>
      <c r="F220" s="35" t="str">
        <f>IF(F185="","",F185)</f>
        <v>Pembina Ekskul</v>
      </c>
      <c r="G220" s="35" t="str">
        <f>IF(G185="","",G185)</f>
        <v>Guru</v>
      </c>
      <c r="H220" s="39" t="str">
        <f>IF(H185="","",H185)</f>
        <v>TAS/ Operator</v>
      </c>
      <c r="I220" s="73"/>
      <c r="J220" s="73"/>
      <c r="K220" s="67"/>
      <c r="L220" s="68"/>
      <c r="M220" s="75"/>
      <c r="N220" s="73"/>
      <c r="O220" s="67"/>
      <c r="P220" s="68"/>
    </row>
    <row r="221" spans="1:16" ht="24" customHeight="1">
      <c r="A221" s="11">
        <v>1</v>
      </c>
      <c r="B221" s="12" t="str">
        <f>IF(B186="","",B186)</f>
        <v>LINDAWATI</v>
      </c>
      <c r="C221" s="13"/>
      <c r="D221" s="32" t="str">
        <f>IF(D186="","",D186)</f>
        <v>Tenaga Perpustakaan</v>
      </c>
      <c r="E221" s="37">
        <v>300000</v>
      </c>
      <c r="F221" s="37">
        <v>100000</v>
      </c>
      <c r="G221" s="37" t="s">
        <v>34</v>
      </c>
      <c r="H221" s="37">
        <v>150000</v>
      </c>
      <c r="I221" s="16">
        <f>IF(B221="","",SUM(E221:H221))</f>
        <v>550000</v>
      </c>
      <c r="J221" s="38" t="str">
        <f t="shared" ref="J221:L222" si="38">IF(J186="","",J186)</f>
        <v>PTT</v>
      </c>
      <c r="K221" s="38">
        <f t="shared" si="38"/>
        <v>1</v>
      </c>
      <c r="L221" s="38" t="str">
        <f t="shared" si="38"/>
        <v>Bulan</v>
      </c>
      <c r="M221" s="17">
        <f>IFERROR(I221*0/100,"")</f>
        <v>0</v>
      </c>
      <c r="N221" s="16">
        <f>IFERROR(SUM(I221*K221)-M221,"")</f>
        <v>550000</v>
      </c>
      <c r="O221" s="54">
        <v>1</v>
      </c>
      <c r="P221" s="56">
        <v>2</v>
      </c>
    </row>
    <row r="222" spans="1:16" ht="24" customHeight="1">
      <c r="A222" s="11">
        <v>2</v>
      </c>
      <c r="B222" s="12"/>
      <c r="C222" s="13"/>
      <c r="D222" s="32"/>
      <c r="E222" s="37"/>
      <c r="F222" s="37"/>
      <c r="G222" s="37"/>
      <c r="H222" s="37"/>
      <c r="I222" s="16"/>
      <c r="J222" s="38" t="str">
        <f t="shared" si="38"/>
        <v/>
      </c>
      <c r="K222" s="38" t="str">
        <f t="shared" si="38"/>
        <v/>
      </c>
      <c r="L222" s="38" t="str">
        <f t="shared" si="38"/>
        <v/>
      </c>
      <c r="M222" s="17">
        <f t="shared" ref="M222:M226" si="39">IFERROR(I222*0/100,"")</f>
        <v>0</v>
      </c>
      <c r="N222" s="16" t="str">
        <f t="shared" ref="N222:N226" si="40">IFERROR(SUM(I222*K222)-M222,"")</f>
        <v/>
      </c>
      <c r="O222" s="55"/>
      <c r="P222" s="57"/>
    </row>
    <row r="223" spans="1:16" ht="24" hidden="1" customHeight="1">
      <c r="A223" s="11">
        <v>3</v>
      </c>
      <c r="B223" s="12"/>
      <c r="C223" s="13"/>
      <c r="D223" s="32"/>
      <c r="E223" s="37"/>
      <c r="F223" s="37"/>
      <c r="G223" s="37"/>
      <c r="H223" s="37"/>
      <c r="I223" s="16"/>
      <c r="J223" s="38" t="s">
        <v>18</v>
      </c>
      <c r="K223" s="38">
        <v>1</v>
      </c>
      <c r="L223" s="38" t="s">
        <v>19</v>
      </c>
      <c r="M223" s="17">
        <f t="shared" si="39"/>
        <v>0</v>
      </c>
      <c r="N223" s="16">
        <f t="shared" si="40"/>
        <v>0</v>
      </c>
      <c r="O223" s="54">
        <v>3</v>
      </c>
      <c r="P223" s="56">
        <v>4</v>
      </c>
    </row>
    <row r="224" spans="1:16" ht="24" hidden="1" customHeight="1">
      <c r="A224" s="11">
        <v>4</v>
      </c>
      <c r="B224" s="12"/>
      <c r="C224" s="13"/>
      <c r="D224" s="32"/>
      <c r="E224" s="37"/>
      <c r="F224" s="37"/>
      <c r="G224" s="37"/>
      <c r="H224" s="37"/>
      <c r="I224" s="16" t="str">
        <f t="shared" ref="I224:I226" si="41">IF(B224="","",SUM(E224:H224))</f>
        <v/>
      </c>
      <c r="J224" s="38"/>
      <c r="K224" s="38"/>
      <c r="L224" s="38"/>
      <c r="M224" s="17" t="str">
        <f t="shared" si="39"/>
        <v/>
      </c>
      <c r="N224" s="16" t="str">
        <f t="shared" si="40"/>
        <v/>
      </c>
      <c r="O224" s="55"/>
      <c r="P224" s="57"/>
    </row>
    <row r="225" spans="1:19" ht="24" hidden="1" customHeight="1">
      <c r="A225" s="11">
        <v>5</v>
      </c>
      <c r="B225" s="12" t="str">
        <f>IF(B190="","",B190)</f>
        <v/>
      </c>
      <c r="C225" s="13"/>
      <c r="D225" s="32" t="str">
        <f t="shared" ref="D225:H226" si="42">IF(D190="","",D190)</f>
        <v/>
      </c>
      <c r="E225" s="37" t="str">
        <f t="shared" si="42"/>
        <v/>
      </c>
      <c r="F225" s="37" t="str">
        <f t="shared" si="42"/>
        <v/>
      </c>
      <c r="G225" s="37" t="str">
        <f t="shared" si="42"/>
        <v/>
      </c>
      <c r="H225" s="37" t="str">
        <f t="shared" si="42"/>
        <v/>
      </c>
      <c r="I225" s="16" t="str">
        <f t="shared" si="41"/>
        <v/>
      </c>
      <c r="J225" s="38" t="str">
        <f t="shared" ref="J225:L226" si="43">IF(J190="","",J190)</f>
        <v/>
      </c>
      <c r="K225" s="38" t="str">
        <f t="shared" si="43"/>
        <v/>
      </c>
      <c r="L225" s="38" t="str">
        <f t="shared" si="43"/>
        <v/>
      </c>
      <c r="M225" s="17" t="str">
        <f t="shared" si="39"/>
        <v/>
      </c>
      <c r="N225" s="16" t="str">
        <f t="shared" si="40"/>
        <v/>
      </c>
      <c r="O225" s="58">
        <v>5</v>
      </c>
      <c r="P225" s="59">
        <v>6</v>
      </c>
    </row>
    <row r="226" spans="1:19" ht="24" hidden="1" customHeight="1">
      <c r="A226" s="11">
        <v>6</v>
      </c>
      <c r="B226" s="12" t="str">
        <f>IF(B191="","",B191)</f>
        <v/>
      </c>
      <c r="C226" s="13"/>
      <c r="D226" s="32" t="str">
        <f t="shared" si="42"/>
        <v/>
      </c>
      <c r="E226" s="37" t="str">
        <f t="shared" si="42"/>
        <v/>
      </c>
      <c r="F226" s="37" t="str">
        <f t="shared" si="42"/>
        <v/>
      </c>
      <c r="G226" s="37" t="str">
        <f t="shared" si="42"/>
        <v/>
      </c>
      <c r="H226" s="37" t="str">
        <f t="shared" si="42"/>
        <v/>
      </c>
      <c r="I226" s="16" t="str">
        <f t="shared" si="41"/>
        <v/>
      </c>
      <c r="J226" s="38" t="str">
        <f t="shared" si="43"/>
        <v/>
      </c>
      <c r="K226" s="38" t="str">
        <f t="shared" si="43"/>
        <v/>
      </c>
      <c r="L226" s="38" t="str">
        <f t="shared" si="43"/>
        <v/>
      </c>
      <c r="M226" s="17" t="str">
        <f t="shared" si="39"/>
        <v/>
      </c>
      <c r="N226" s="16" t="str">
        <f t="shared" si="40"/>
        <v/>
      </c>
      <c r="O226" s="58"/>
      <c r="P226" s="59"/>
    </row>
    <row r="227" spans="1:19" s="21" customFormat="1" ht="22.5" customHeight="1">
      <c r="A227" s="60" t="s">
        <v>20</v>
      </c>
      <c r="B227" s="61"/>
      <c r="C227" s="61"/>
      <c r="D227" s="61"/>
      <c r="E227" s="61"/>
      <c r="F227" s="61"/>
      <c r="G227" s="61"/>
      <c r="H227" s="36"/>
      <c r="I227" s="18">
        <f>SUM(I221:I226)</f>
        <v>550000</v>
      </c>
      <c r="J227" s="36"/>
      <c r="K227" s="36"/>
      <c r="L227" s="36"/>
      <c r="M227" s="19">
        <f>SUM(M221:M226)</f>
        <v>0</v>
      </c>
      <c r="N227" s="18">
        <f>SUM(N221:N226)</f>
        <v>550000</v>
      </c>
      <c r="O227" s="20"/>
      <c r="P227" s="20"/>
      <c r="S227" s="22"/>
    </row>
    <row r="228" spans="1:19" ht="23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N228" s="23"/>
    </row>
    <row r="229" spans="1:19" ht="17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O229" s="24" t="str">
        <f>Honor_guru!P234</f>
        <v>Cikalongwetan, 01 Juli 2025</v>
      </c>
    </row>
    <row r="230" spans="1:19" ht="18" customHeight="1">
      <c r="A230" s="8"/>
      <c r="C230" s="24" t="s">
        <v>21</v>
      </c>
      <c r="D230" s="24"/>
      <c r="E230" s="24"/>
      <c r="F230" s="24"/>
      <c r="G230" s="24"/>
      <c r="H230" s="24"/>
      <c r="I230" s="24"/>
      <c r="J230" s="24"/>
      <c r="K230" s="24"/>
      <c r="L230" s="8"/>
      <c r="O230" s="24" t="str">
        <f>Honor_guru!P235</f>
        <v>Dibayar Lunas Tgl. 11 Agustus 2025</v>
      </c>
    </row>
    <row r="231" spans="1:19">
      <c r="A231" s="8"/>
      <c r="C231" s="24" t="s">
        <v>22</v>
      </c>
      <c r="D231" s="24"/>
      <c r="E231" s="24"/>
      <c r="F231" s="24"/>
      <c r="G231" s="24"/>
      <c r="H231" s="24"/>
      <c r="I231" s="24"/>
      <c r="J231" s="24"/>
      <c r="K231" s="24"/>
      <c r="L231" s="8"/>
      <c r="O231" s="24" t="s">
        <v>23</v>
      </c>
    </row>
    <row r="232" spans="1:19">
      <c r="A232" s="8"/>
      <c r="C232" s="24"/>
      <c r="D232" s="24"/>
      <c r="E232" s="24"/>
      <c r="F232" s="24"/>
      <c r="G232" s="24"/>
      <c r="H232" s="24"/>
      <c r="I232" s="24"/>
      <c r="J232" s="24"/>
      <c r="K232" s="24"/>
      <c r="L232" s="8"/>
      <c r="O232" s="25"/>
      <c r="S232" s="26"/>
    </row>
    <row r="233" spans="1:19">
      <c r="A233" s="8"/>
      <c r="C233" s="24"/>
      <c r="D233" s="24"/>
      <c r="E233" s="24"/>
      <c r="F233" s="24"/>
      <c r="G233" s="24"/>
      <c r="H233" s="24"/>
      <c r="I233" s="24"/>
      <c r="J233" s="24"/>
      <c r="K233" s="24"/>
      <c r="L233" s="8"/>
      <c r="O233" s="25"/>
    </row>
    <row r="234" spans="1:19">
      <c r="A234" s="8"/>
      <c r="C234" s="24"/>
      <c r="D234" s="24"/>
      <c r="E234" s="24"/>
      <c r="F234" s="24"/>
      <c r="G234" s="24"/>
      <c r="H234" s="24"/>
      <c r="I234" s="24"/>
      <c r="J234" s="24"/>
      <c r="K234" s="24"/>
      <c r="L234" s="8"/>
      <c r="O234" s="25"/>
    </row>
    <row r="235" spans="1:19">
      <c r="A235" s="8"/>
      <c r="C235" s="24"/>
      <c r="D235" s="24"/>
      <c r="E235" s="24"/>
      <c r="F235" s="24"/>
      <c r="G235" s="24"/>
      <c r="H235" s="24"/>
      <c r="I235" s="24"/>
      <c r="J235" s="24"/>
      <c r="K235" s="24"/>
      <c r="L235" s="8"/>
      <c r="O235" s="25"/>
    </row>
    <row r="236" spans="1:19">
      <c r="A236" s="8"/>
      <c r="C236" s="24"/>
      <c r="D236" s="24"/>
      <c r="E236" s="24"/>
      <c r="F236" s="24"/>
      <c r="G236" s="24"/>
      <c r="H236" s="24"/>
      <c r="I236" s="24"/>
      <c r="J236" s="24"/>
      <c r="K236" s="24"/>
      <c r="L236" s="8"/>
      <c r="O236" s="25"/>
    </row>
    <row r="237" spans="1:19" ht="15" customHeight="1">
      <c r="A237" s="8"/>
      <c r="C237" s="27" t="str">
        <f>IF(C202="","",C202)</f>
        <v>BADRUDDIN, S.Ag.</v>
      </c>
      <c r="D237" s="28"/>
      <c r="E237" s="28"/>
      <c r="F237" s="28"/>
      <c r="G237" s="28"/>
      <c r="H237" s="28"/>
      <c r="I237" s="28"/>
      <c r="J237" s="28"/>
      <c r="K237" s="8"/>
      <c r="L237" s="8"/>
      <c r="O237" s="27" t="s">
        <v>76</v>
      </c>
    </row>
    <row r="238" spans="1:19" ht="15" customHeight="1">
      <c r="A238" s="8"/>
      <c r="C238" s="27" t="str">
        <f>IF(C203="","",C203)</f>
        <v>NIP. 197405082014121002</v>
      </c>
      <c r="D238" s="28"/>
      <c r="E238" s="28"/>
      <c r="F238" s="28"/>
      <c r="G238" s="28"/>
      <c r="H238" s="28"/>
      <c r="I238" s="28"/>
      <c r="J238" s="28"/>
      <c r="K238" s="8"/>
      <c r="L238" s="8"/>
      <c r="O238" s="27" t="s">
        <v>77</v>
      </c>
    </row>
    <row r="252" spans="1:16" ht="17.25" customHeight="1">
      <c r="A252" s="64" t="str">
        <f>$A$1</f>
        <v>DAFTAR PENERIMA HONORARIUM/GAJI TENAGA PERPUSTAKAAN TIDAK TETAP (PEMBAYARAN NON TUNAI)</v>
      </c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</row>
    <row r="253" spans="1:16" ht="17.25" customHeight="1">
      <c r="A253" s="64" t="str">
        <f>Honor_guru!A257</f>
        <v>BULAN AGUSTUS 2025</v>
      </c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</row>
    <row r="254" spans="1:16" ht="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15" customHeight="1">
      <c r="C255" s="4" t="s">
        <v>0</v>
      </c>
      <c r="D255" s="5" t="s">
        <v>1</v>
      </c>
      <c r="E255" s="5"/>
      <c r="F255" s="5"/>
      <c r="G255" s="5"/>
      <c r="H255" s="5"/>
      <c r="I255" s="5"/>
      <c r="K255" s="6"/>
      <c r="L255" s="7"/>
      <c r="M255" s="4" t="s">
        <v>26</v>
      </c>
      <c r="N255" s="4" t="str">
        <f>N214</f>
        <v>: 07 Pengembangan Standar Pembiayaan</v>
      </c>
      <c r="O255" s="3"/>
    </row>
    <row r="256" spans="1:16" ht="15" customHeight="1">
      <c r="C256" s="4" t="s">
        <v>2</v>
      </c>
      <c r="D256" s="4" t="str">
        <f>D215</f>
        <v>: SD NEGERI LEBAKLEUNGSIR</v>
      </c>
      <c r="E256" s="4"/>
      <c r="F256" s="4"/>
      <c r="G256" s="4"/>
      <c r="H256" s="4"/>
      <c r="I256" s="4"/>
      <c r="K256" s="6"/>
      <c r="M256" s="4" t="s">
        <v>27</v>
      </c>
      <c r="N256" s="4" t="str">
        <f>N215</f>
        <v>: Pembayaran Honor (Tenaga Perpustakaan)</v>
      </c>
      <c r="O256" s="3"/>
    </row>
    <row r="257" spans="1:19" ht="15" customHeight="1">
      <c r="C257" s="4" t="s">
        <v>3</v>
      </c>
      <c r="D257" s="4" t="str">
        <f>D216</f>
        <v>: Cikalongwetan</v>
      </c>
      <c r="E257" s="4"/>
      <c r="F257" s="4"/>
      <c r="G257" s="4"/>
      <c r="H257" s="4"/>
      <c r="I257" s="4"/>
      <c r="K257" s="6"/>
      <c r="M257" s="8" t="s">
        <v>28</v>
      </c>
      <c r="N257" s="4" t="str">
        <f>N216</f>
        <v>: 5.1.02.02.01.0013</v>
      </c>
      <c r="O257" s="3"/>
    </row>
    <row r="258" spans="1:19" ht="15" customHeight="1">
      <c r="C258" s="4" t="s">
        <v>5</v>
      </c>
      <c r="D258" s="4" t="str">
        <f>D217</f>
        <v>: Bandung Barat</v>
      </c>
      <c r="E258" s="4"/>
      <c r="F258" s="4"/>
      <c r="G258" s="4"/>
      <c r="H258" s="4"/>
      <c r="I258" s="4"/>
      <c r="K258" s="6"/>
      <c r="M258" s="4" t="s">
        <v>7</v>
      </c>
      <c r="N258" s="4" t="str">
        <f>N217</f>
        <v>: 12</v>
      </c>
      <c r="O258" s="3"/>
      <c r="P258" s="8"/>
    </row>
    <row r="259" spans="1:19" ht="15" customHeight="1">
      <c r="M259" s="8"/>
      <c r="N259" s="8"/>
      <c r="O259" s="8"/>
    </row>
    <row r="260" spans="1:19" ht="18.5" customHeight="1">
      <c r="A260" s="62" t="s">
        <v>8</v>
      </c>
      <c r="B260" s="65" t="s">
        <v>9</v>
      </c>
      <c r="C260" s="66"/>
      <c r="D260" s="62" t="s">
        <v>10</v>
      </c>
      <c r="E260" s="69" t="s">
        <v>72</v>
      </c>
      <c r="F260" s="70"/>
      <c r="G260" s="70"/>
      <c r="H260" s="71"/>
      <c r="I260" s="72" t="s">
        <v>14</v>
      </c>
      <c r="J260" s="72" t="s">
        <v>11</v>
      </c>
      <c r="K260" s="65" t="s">
        <v>12</v>
      </c>
      <c r="L260" s="66"/>
      <c r="M260" s="74" t="s">
        <v>31</v>
      </c>
      <c r="N260" s="72" t="s">
        <v>16</v>
      </c>
      <c r="O260" s="65" t="s">
        <v>17</v>
      </c>
      <c r="P260" s="66"/>
    </row>
    <row r="261" spans="1:19" ht="34" customHeight="1">
      <c r="A261" s="63"/>
      <c r="B261" s="67"/>
      <c r="C261" s="68"/>
      <c r="D261" s="63"/>
      <c r="E261" s="39" t="str">
        <f t="shared" ref="E261:E267" si="44">IF(E220="","",E220)</f>
        <v>Tenaga Perpustakaan</v>
      </c>
      <c r="F261" s="35" t="str">
        <f t="shared" ref="F261:H261" si="45">IF(F220="","",F220)</f>
        <v>Pembina Ekskul</v>
      </c>
      <c r="G261" s="35" t="str">
        <f t="shared" si="45"/>
        <v>Guru</v>
      </c>
      <c r="H261" s="39" t="str">
        <f t="shared" si="45"/>
        <v>TAS/ Operator</v>
      </c>
      <c r="I261" s="73"/>
      <c r="J261" s="73"/>
      <c r="K261" s="67"/>
      <c r="L261" s="68"/>
      <c r="M261" s="75"/>
      <c r="N261" s="73"/>
      <c r="O261" s="67"/>
      <c r="P261" s="68"/>
    </row>
    <row r="262" spans="1:19" ht="24" customHeight="1">
      <c r="A262" s="11">
        <v>1</v>
      </c>
      <c r="B262" s="12" t="str">
        <f t="shared" ref="B262:B267" si="46">IF(B221="","",B221)</f>
        <v>LINDAWATI</v>
      </c>
      <c r="C262" s="13"/>
      <c r="D262" s="32" t="str">
        <f t="shared" ref="D262:D267" si="47">IF(D221="","",D221)</f>
        <v>Tenaga Perpustakaan</v>
      </c>
      <c r="E262" s="37">
        <f t="shared" si="44"/>
        <v>300000</v>
      </c>
      <c r="F262" s="37">
        <f t="shared" ref="F262:H263" si="48">IF(F221="","",F221)</f>
        <v>100000</v>
      </c>
      <c r="G262" s="37" t="str">
        <f t="shared" si="48"/>
        <v>-</v>
      </c>
      <c r="H262" s="37">
        <f t="shared" si="48"/>
        <v>150000</v>
      </c>
      <c r="I262" s="16">
        <f>IF(B262="","",SUM(E262:H262))</f>
        <v>550000</v>
      </c>
      <c r="J262" s="38" t="str">
        <f t="shared" ref="J262:L263" si="49">IF(J221="","",J221)</f>
        <v>PTT</v>
      </c>
      <c r="K262" s="38">
        <f t="shared" si="49"/>
        <v>1</v>
      </c>
      <c r="L262" s="38" t="str">
        <f t="shared" si="49"/>
        <v>Bulan</v>
      </c>
      <c r="M262" s="17">
        <f>IFERROR(I262*0/100,"")</f>
        <v>0</v>
      </c>
      <c r="N262" s="16">
        <f>IFERROR(SUM(I262*K262)-M262,"")</f>
        <v>550000</v>
      </c>
      <c r="O262" s="54">
        <v>1</v>
      </c>
      <c r="P262" s="56">
        <v>2</v>
      </c>
    </row>
    <row r="263" spans="1:19" ht="24" customHeight="1">
      <c r="A263" s="11">
        <v>2</v>
      </c>
      <c r="B263" s="12" t="str">
        <f t="shared" si="46"/>
        <v/>
      </c>
      <c r="C263" s="13"/>
      <c r="D263" s="32" t="str">
        <f t="shared" si="47"/>
        <v/>
      </c>
      <c r="E263" s="37" t="str">
        <f t="shared" si="44"/>
        <v/>
      </c>
      <c r="F263" s="37" t="str">
        <f t="shared" si="48"/>
        <v/>
      </c>
      <c r="G263" s="37" t="str">
        <f t="shared" si="48"/>
        <v/>
      </c>
      <c r="H263" s="37" t="str">
        <f t="shared" si="48"/>
        <v/>
      </c>
      <c r="I263" s="16" t="str">
        <f t="shared" ref="I263:I267" si="50">IF(B263="","",SUM(E263:H263))</f>
        <v/>
      </c>
      <c r="J263" s="38" t="str">
        <f t="shared" si="49"/>
        <v/>
      </c>
      <c r="K263" s="38" t="str">
        <f t="shared" si="49"/>
        <v/>
      </c>
      <c r="L263" s="38" t="str">
        <f t="shared" si="49"/>
        <v/>
      </c>
      <c r="M263" s="17" t="str">
        <f t="shared" ref="M263:M267" si="51">IFERROR(I263*0/100,"")</f>
        <v/>
      </c>
      <c r="N263" s="16" t="str">
        <f t="shared" ref="N263:N267" si="52">IFERROR(SUM(I263*K263)-M263,"")</f>
        <v/>
      </c>
      <c r="O263" s="55"/>
      <c r="P263" s="57"/>
    </row>
    <row r="264" spans="1:19" ht="24" hidden="1" customHeight="1">
      <c r="A264" s="11">
        <v>3</v>
      </c>
      <c r="B264" s="12" t="str">
        <f t="shared" si="46"/>
        <v/>
      </c>
      <c r="C264" s="13"/>
      <c r="D264" s="32" t="str">
        <f t="shared" si="47"/>
        <v/>
      </c>
      <c r="E264" s="37" t="str">
        <f t="shared" si="44"/>
        <v/>
      </c>
      <c r="F264" s="37" t="s">
        <v>34</v>
      </c>
      <c r="G264" s="37" t="s">
        <v>34</v>
      </c>
      <c r="H264" s="37" t="str">
        <f>IF(H223="","",H223)</f>
        <v/>
      </c>
      <c r="I264" s="16" t="str">
        <f t="shared" si="50"/>
        <v/>
      </c>
      <c r="J264" s="38"/>
      <c r="K264" s="38"/>
      <c r="L264" s="38"/>
      <c r="M264" s="17" t="str">
        <f t="shared" si="51"/>
        <v/>
      </c>
      <c r="N264" s="16" t="str">
        <f t="shared" si="52"/>
        <v/>
      </c>
      <c r="O264" s="54">
        <v>3</v>
      </c>
      <c r="P264" s="56">
        <v>4</v>
      </c>
    </row>
    <row r="265" spans="1:19" ht="24" hidden="1" customHeight="1">
      <c r="A265" s="11">
        <v>4</v>
      </c>
      <c r="B265" s="12" t="str">
        <f t="shared" si="46"/>
        <v/>
      </c>
      <c r="C265" s="13"/>
      <c r="D265" s="32" t="str">
        <f t="shared" si="47"/>
        <v/>
      </c>
      <c r="E265" s="37" t="str">
        <f t="shared" si="44"/>
        <v/>
      </c>
      <c r="F265" s="37" t="str">
        <f t="shared" ref="F265:G267" si="53">IF(F224="","",F224)</f>
        <v/>
      </c>
      <c r="G265" s="37" t="str">
        <f t="shared" si="53"/>
        <v/>
      </c>
      <c r="H265" s="37" t="str">
        <f>IF(H224="","",H224)</f>
        <v/>
      </c>
      <c r="I265" s="16" t="str">
        <f t="shared" si="50"/>
        <v/>
      </c>
      <c r="J265" s="38" t="str">
        <f t="shared" ref="J265:L267" si="54">IF(J224="","",J224)</f>
        <v/>
      </c>
      <c r="K265" s="38" t="str">
        <f t="shared" si="54"/>
        <v/>
      </c>
      <c r="L265" s="38" t="str">
        <f t="shared" si="54"/>
        <v/>
      </c>
      <c r="M265" s="17" t="str">
        <f t="shared" si="51"/>
        <v/>
      </c>
      <c r="N265" s="16" t="str">
        <f t="shared" si="52"/>
        <v/>
      </c>
      <c r="O265" s="55"/>
      <c r="P265" s="57"/>
    </row>
    <row r="266" spans="1:19" ht="24" hidden="1" customHeight="1">
      <c r="A266" s="11">
        <v>5</v>
      </c>
      <c r="B266" s="12" t="str">
        <f t="shared" si="46"/>
        <v/>
      </c>
      <c r="C266" s="13"/>
      <c r="D266" s="32" t="str">
        <f t="shared" si="47"/>
        <v/>
      </c>
      <c r="E266" s="37" t="str">
        <f t="shared" si="44"/>
        <v/>
      </c>
      <c r="F266" s="37" t="str">
        <f t="shared" si="53"/>
        <v/>
      </c>
      <c r="G266" s="37" t="str">
        <f t="shared" si="53"/>
        <v/>
      </c>
      <c r="H266" s="37" t="str">
        <f>IF(H225="","",H225)</f>
        <v/>
      </c>
      <c r="I266" s="16" t="str">
        <f t="shared" si="50"/>
        <v/>
      </c>
      <c r="J266" s="38" t="str">
        <f t="shared" si="54"/>
        <v/>
      </c>
      <c r="K266" s="38" t="str">
        <f t="shared" si="54"/>
        <v/>
      </c>
      <c r="L266" s="38" t="str">
        <f t="shared" si="54"/>
        <v/>
      </c>
      <c r="M266" s="17" t="str">
        <f t="shared" si="51"/>
        <v/>
      </c>
      <c r="N266" s="16" t="str">
        <f t="shared" si="52"/>
        <v/>
      </c>
      <c r="O266" s="58">
        <v>5</v>
      </c>
      <c r="P266" s="59">
        <v>6</v>
      </c>
    </row>
    <row r="267" spans="1:19" ht="24" hidden="1" customHeight="1">
      <c r="A267" s="11">
        <v>6</v>
      </c>
      <c r="B267" s="12" t="str">
        <f t="shared" si="46"/>
        <v/>
      </c>
      <c r="C267" s="13"/>
      <c r="D267" s="32" t="str">
        <f t="shared" si="47"/>
        <v/>
      </c>
      <c r="E267" s="37" t="str">
        <f t="shared" si="44"/>
        <v/>
      </c>
      <c r="F267" s="37" t="str">
        <f t="shared" si="53"/>
        <v/>
      </c>
      <c r="G267" s="37" t="str">
        <f t="shared" si="53"/>
        <v/>
      </c>
      <c r="H267" s="37" t="str">
        <f>IF(H226="","",H226)</f>
        <v/>
      </c>
      <c r="I267" s="16" t="str">
        <f t="shared" si="50"/>
        <v/>
      </c>
      <c r="J267" s="38" t="str">
        <f t="shared" si="54"/>
        <v/>
      </c>
      <c r="K267" s="38" t="str">
        <f t="shared" si="54"/>
        <v/>
      </c>
      <c r="L267" s="38" t="str">
        <f t="shared" si="54"/>
        <v/>
      </c>
      <c r="M267" s="17" t="str">
        <f t="shared" si="51"/>
        <v/>
      </c>
      <c r="N267" s="16" t="str">
        <f t="shared" si="52"/>
        <v/>
      </c>
      <c r="O267" s="58"/>
      <c r="P267" s="59"/>
    </row>
    <row r="268" spans="1:19" s="21" customFormat="1" ht="22.5" customHeight="1">
      <c r="A268" s="60" t="s">
        <v>20</v>
      </c>
      <c r="B268" s="61"/>
      <c r="C268" s="61"/>
      <c r="D268" s="61"/>
      <c r="E268" s="61"/>
      <c r="F268" s="61"/>
      <c r="G268" s="61"/>
      <c r="H268" s="36"/>
      <c r="I268" s="18">
        <f>SUM(I262:I267)</f>
        <v>550000</v>
      </c>
      <c r="J268" s="36"/>
      <c r="K268" s="36"/>
      <c r="L268" s="36"/>
      <c r="M268" s="19">
        <f>SUM(M262:M267)</f>
        <v>0</v>
      </c>
      <c r="N268" s="18">
        <f>SUM(N262:N267)</f>
        <v>550000</v>
      </c>
      <c r="O268" s="20"/>
      <c r="P268" s="20"/>
      <c r="S268" s="22"/>
    </row>
    <row r="269" spans="1:19" ht="23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N269" s="23"/>
    </row>
    <row r="270" spans="1:19" ht="17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O270" s="24" t="str">
        <f>Honor_guru!P274</f>
        <v>Cikalongwetan, 01 Agustus 2025</v>
      </c>
    </row>
    <row r="271" spans="1:19" ht="18" customHeight="1">
      <c r="A271" s="8"/>
      <c r="C271" s="24" t="s">
        <v>21</v>
      </c>
      <c r="D271" s="24"/>
      <c r="E271" s="24"/>
      <c r="F271" s="24"/>
      <c r="G271" s="24"/>
      <c r="H271" s="24"/>
      <c r="I271" s="24"/>
      <c r="J271" s="24"/>
      <c r="K271" s="24"/>
      <c r="L271" s="8"/>
      <c r="O271" s="24" t="str">
        <f>Honor_guru!P275</f>
        <v>Dibayar Lunas Tgl. 11 Agustus 2025</v>
      </c>
    </row>
    <row r="272" spans="1:19">
      <c r="A272" s="8"/>
      <c r="C272" s="24" t="s">
        <v>22</v>
      </c>
      <c r="D272" s="24"/>
      <c r="E272" s="24"/>
      <c r="F272" s="24"/>
      <c r="G272" s="24"/>
      <c r="H272" s="24"/>
      <c r="I272" s="24"/>
      <c r="J272" s="24"/>
      <c r="K272" s="24"/>
      <c r="L272" s="8"/>
      <c r="O272" s="24" t="s">
        <v>23</v>
      </c>
    </row>
    <row r="273" spans="1:19">
      <c r="A273" s="8"/>
      <c r="C273" s="24"/>
      <c r="D273" s="24"/>
      <c r="E273" s="24"/>
      <c r="F273" s="24"/>
      <c r="G273" s="24"/>
      <c r="H273" s="24"/>
      <c r="I273" s="24"/>
      <c r="J273" s="24"/>
      <c r="K273" s="24"/>
      <c r="L273" s="8"/>
      <c r="O273" s="25"/>
      <c r="S273" s="26"/>
    </row>
    <row r="274" spans="1:19">
      <c r="A274" s="8"/>
      <c r="C274" s="24"/>
      <c r="D274" s="24"/>
      <c r="E274" s="24"/>
      <c r="F274" s="24"/>
      <c r="G274" s="24"/>
      <c r="H274" s="24"/>
      <c r="I274" s="24"/>
      <c r="J274" s="24"/>
      <c r="K274" s="24"/>
      <c r="L274" s="8"/>
      <c r="O274" s="25"/>
    </row>
    <row r="275" spans="1:19">
      <c r="A275" s="8"/>
      <c r="C275" s="24"/>
      <c r="D275" s="24"/>
      <c r="E275" s="24"/>
      <c r="F275" s="24"/>
      <c r="G275" s="24"/>
      <c r="H275" s="24"/>
      <c r="I275" s="24"/>
      <c r="J275" s="24"/>
      <c r="K275" s="24"/>
      <c r="L275" s="8"/>
      <c r="O275" s="25"/>
    </row>
    <row r="276" spans="1:19">
      <c r="A276" s="8"/>
      <c r="C276" s="24"/>
      <c r="D276" s="24"/>
      <c r="E276" s="24"/>
      <c r="F276" s="24"/>
      <c r="G276" s="24"/>
      <c r="H276" s="24"/>
      <c r="I276" s="24"/>
      <c r="J276" s="24"/>
      <c r="K276" s="24"/>
      <c r="L276" s="8"/>
      <c r="O276" s="25"/>
    </row>
    <row r="277" spans="1:19">
      <c r="A277" s="8"/>
      <c r="C277" s="24"/>
      <c r="D277" s="24"/>
      <c r="E277" s="24"/>
      <c r="F277" s="24"/>
      <c r="G277" s="24"/>
      <c r="H277" s="24"/>
      <c r="I277" s="24"/>
      <c r="J277" s="24"/>
      <c r="K277" s="24"/>
      <c r="L277" s="8"/>
      <c r="O277" s="25"/>
    </row>
    <row r="278" spans="1:19" ht="15" customHeight="1">
      <c r="A278" s="8"/>
      <c r="C278" s="27" t="str">
        <f>IF(C237="","",C237)</f>
        <v>BADRUDDIN, S.Ag.</v>
      </c>
      <c r="D278" s="28"/>
      <c r="E278" s="28"/>
      <c r="F278" s="28"/>
      <c r="G278" s="28"/>
      <c r="H278" s="28"/>
      <c r="I278" s="28"/>
      <c r="J278" s="28"/>
      <c r="K278" s="8"/>
      <c r="L278" s="8"/>
      <c r="O278" s="27" t="s">
        <v>76</v>
      </c>
    </row>
    <row r="279" spans="1:19" ht="15" customHeight="1">
      <c r="A279" s="8"/>
      <c r="C279" s="27" t="str">
        <f>IF(C238="","",C238)</f>
        <v>NIP. 197405082014121002</v>
      </c>
      <c r="D279" s="28"/>
      <c r="E279" s="28"/>
      <c r="F279" s="28"/>
      <c r="G279" s="28"/>
      <c r="H279" s="28"/>
      <c r="I279" s="28"/>
      <c r="J279" s="28"/>
      <c r="K279" s="8"/>
      <c r="L279" s="8"/>
      <c r="O279" s="27" t="s">
        <v>77</v>
      </c>
    </row>
    <row r="293" spans="1:16" ht="17.25" customHeight="1">
      <c r="A293" s="64" t="str">
        <f>$A$1</f>
        <v>DAFTAR PENERIMA HONORARIUM/GAJI TENAGA PERPUSTAKAAN TIDAK TETAP (PEMBAYARAN NON TUNAI)</v>
      </c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</row>
    <row r="294" spans="1:16" ht="17.25" customHeight="1">
      <c r="A294" s="64" t="s">
        <v>78</v>
      </c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</row>
    <row r="295" spans="1:16" ht="1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5" customHeight="1">
      <c r="C296" s="4" t="s">
        <v>0</v>
      </c>
      <c r="D296" s="5" t="s">
        <v>1</v>
      </c>
      <c r="E296" s="5"/>
      <c r="F296" s="5"/>
      <c r="G296" s="5"/>
      <c r="H296" s="5"/>
      <c r="I296" s="5"/>
      <c r="K296" s="6"/>
      <c r="L296" s="7"/>
      <c r="M296" s="4" t="s">
        <v>26</v>
      </c>
      <c r="N296" s="4" t="str">
        <f>N255</f>
        <v>: 07 Pengembangan Standar Pembiayaan</v>
      </c>
      <c r="O296" s="3"/>
    </row>
    <row r="297" spans="1:16" ht="15" customHeight="1">
      <c r="C297" s="4" t="s">
        <v>2</v>
      </c>
      <c r="D297" s="4" t="str">
        <f>D256</f>
        <v>: SD NEGERI LEBAKLEUNGSIR</v>
      </c>
      <c r="E297" s="4"/>
      <c r="F297" s="4"/>
      <c r="G297" s="4"/>
      <c r="H297" s="4"/>
      <c r="I297" s="4"/>
      <c r="K297" s="6"/>
      <c r="M297" s="4" t="s">
        <v>27</v>
      </c>
      <c r="N297" s="4" t="str">
        <f>N256</f>
        <v>: Pembayaran Honor (Tenaga Perpustakaan)</v>
      </c>
      <c r="O297" s="3"/>
    </row>
    <row r="298" spans="1:16" ht="15" customHeight="1">
      <c r="C298" s="4" t="s">
        <v>3</v>
      </c>
      <c r="D298" s="4" t="str">
        <f>D257</f>
        <v>: Cikalongwetan</v>
      </c>
      <c r="E298" s="4"/>
      <c r="F298" s="4"/>
      <c r="G298" s="4"/>
      <c r="H298" s="4"/>
      <c r="I298" s="4"/>
      <c r="K298" s="6"/>
      <c r="M298" s="8" t="s">
        <v>28</v>
      </c>
      <c r="N298" s="4" t="str">
        <f>N257</f>
        <v>: 5.1.02.02.01.0013</v>
      </c>
      <c r="O298" s="3"/>
    </row>
    <row r="299" spans="1:16" ht="15" customHeight="1">
      <c r="C299" s="4" t="s">
        <v>5</v>
      </c>
      <c r="D299" s="4" t="str">
        <f>D258</f>
        <v>: Bandung Barat</v>
      </c>
      <c r="E299" s="4"/>
      <c r="F299" s="4"/>
      <c r="G299" s="4"/>
      <c r="H299" s="4"/>
      <c r="I299" s="4"/>
      <c r="K299" s="6"/>
      <c r="M299" s="4" t="s">
        <v>7</v>
      </c>
      <c r="N299" s="4" t="str">
        <f>N258</f>
        <v>: 12</v>
      </c>
      <c r="O299" s="3"/>
      <c r="P299" s="8"/>
    </row>
    <row r="300" spans="1:16" ht="15" customHeight="1">
      <c r="M300" s="8"/>
      <c r="N300" s="8"/>
      <c r="O300" s="8"/>
    </row>
    <row r="301" spans="1:16" ht="18.5" customHeight="1">
      <c r="A301" s="62" t="s">
        <v>8</v>
      </c>
      <c r="B301" s="65" t="s">
        <v>9</v>
      </c>
      <c r="C301" s="66"/>
      <c r="D301" s="62" t="s">
        <v>10</v>
      </c>
      <c r="E301" s="69" t="s">
        <v>72</v>
      </c>
      <c r="F301" s="70"/>
      <c r="G301" s="70"/>
      <c r="H301" s="71"/>
      <c r="I301" s="72" t="s">
        <v>14</v>
      </c>
      <c r="J301" s="72" t="s">
        <v>11</v>
      </c>
      <c r="K301" s="65" t="s">
        <v>12</v>
      </c>
      <c r="L301" s="66"/>
      <c r="M301" s="74" t="s">
        <v>31</v>
      </c>
      <c r="N301" s="72" t="s">
        <v>16</v>
      </c>
      <c r="O301" s="65" t="s">
        <v>17</v>
      </c>
      <c r="P301" s="66"/>
    </row>
    <row r="302" spans="1:16" ht="34" customHeight="1">
      <c r="A302" s="63"/>
      <c r="B302" s="67"/>
      <c r="C302" s="68"/>
      <c r="D302" s="63"/>
      <c r="E302" s="35" t="str">
        <f t="shared" ref="E302:E308" si="55">IF(E261="","",E261)</f>
        <v>Tenaga Perpustakaan</v>
      </c>
      <c r="F302" s="35" t="str">
        <f t="shared" ref="F302:H302" si="56">IF(F261="","",F261)</f>
        <v>Pembina Ekskul</v>
      </c>
      <c r="G302" s="35" t="str">
        <f t="shared" si="56"/>
        <v>Guru</v>
      </c>
      <c r="H302" s="39" t="str">
        <f t="shared" si="56"/>
        <v>TAS/ Operator</v>
      </c>
      <c r="I302" s="73"/>
      <c r="J302" s="73"/>
      <c r="K302" s="67"/>
      <c r="L302" s="68"/>
      <c r="M302" s="75"/>
      <c r="N302" s="73"/>
      <c r="O302" s="67"/>
      <c r="P302" s="68"/>
    </row>
    <row r="303" spans="1:16" ht="24" customHeight="1">
      <c r="A303" s="11">
        <v>1</v>
      </c>
      <c r="B303" s="12" t="str">
        <f t="shared" ref="B303:B308" si="57">IF(B262="","",B262)</f>
        <v>LINDAWATI</v>
      </c>
      <c r="C303" s="13"/>
      <c r="D303" s="32" t="str">
        <f t="shared" ref="D303:D308" si="58">IF(D262="","",D262)</f>
        <v>Tenaga Perpustakaan</v>
      </c>
      <c r="E303" s="37">
        <f t="shared" si="55"/>
        <v>300000</v>
      </c>
      <c r="F303" s="37">
        <f t="shared" ref="F303:H308" si="59">IF(F262="","",F262)</f>
        <v>100000</v>
      </c>
      <c r="G303" s="37" t="str">
        <f t="shared" si="59"/>
        <v>-</v>
      </c>
      <c r="H303" s="37">
        <f t="shared" si="59"/>
        <v>150000</v>
      </c>
      <c r="I303" s="16">
        <f>IF(B303="","",SUM(E303:H303))</f>
        <v>550000</v>
      </c>
      <c r="J303" s="38" t="str">
        <f t="shared" ref="J303:L308" si="60">IF(J262="","",J262)</f>
        <v>PTT</v>
      </c>
      <c r="K303" s="38">
        <f t="shared" si="60"/>
        <v>1</v>
      </c>
      <c r="L303" s="38" t="str">
        <f t="shared" si="60"/>
        <v>Bulan</v>
      </c>
      <c r="M303" s="17">
        <f>IFERROR(I303*0/100,"")</f>
        <v>0</v>
      </c>
      <c r="N303" s="16">
        <f>IFERROR(SUM(I303*K303)-M303,"")</f>
        <v>550000</v>
      </c>
      <c r="O303" s="54">
        <v>1</v>
      </c>
      <c r="P303" s="56">
        <v>2</v>
      </c>
    </row>
    <row r="304" spans="1:16" ht="24" customHeight="1">
      <c r="A304" s="11">
        <v>2</v>
      </c>
      <c r="B304" s="12" t="str">
        <f t="shared" si="57"/>
        <v/>
      </c>
      <c r="C304" s="13"/>
      <c r="D304" s="32" t="str">
        <f t="shared" si="58"/>
        <v/>
      </c>
      <c r="E304" s="37" t="str">
        <f t="shared" si="55"/>
        <v/>
      </c>
      <c r="F304" s="37" t="str">
        <f t="shared" si="59"/>
        <v/>
      </c>
      <c r="G304" s="37" t="str">
        <f t="shared" si="59"/>
        <v/>
      </c>
      <c r="H304" s="37" t="str">
        <f t="shared" si="59"/>
        <v/>
      </c>
      <c r="I304" s="16" t="str">
        <f t="shared" ref="I304:I308" si="61">IF(B304="","",SUM(E304:H304))</f>
        <v/>
      </c>
      <c r="J304" s="38" t="str">
        <f t="shared" si="60"/>
        <v/>
      </c>
      <c r="K304" s="38" t="str">
        <f t="shared" si="60"/>
        <v/>
      </c>
      <c r="L304" s="38" t="str">
        <f t="shared" si="60"/>
        <v/>
      </c>
      <c r="M304" s="17" t="str">
        <f t="shared" ref="M304:M308" si="62">IFERROR(I304*0/100,"")</f>
        <v/>
      </c>
      <c r="N304" s="16" t="str">
        <f t="shared" ref="N304:N308" si="63">IFERROR(SUM(I304*K304)-M304,"")</f>
        <v/>
      </c>
      <c r="O304" s="55"/>
      <c r="P304" s="57"/>
    </row>
    <row r="305" spans="1:19" ht="24" customHeight="1">
      <c r="A305" s="11">
        <v>3</v>
      </c>
      <c r="B305" s="12" t="str">
        <f t="shared" si="57"/>
        <v/>
      </c>
      <c r="C305" s="13"/>
      <c r="D305" s="32" t="str">
        <f t="shared" si="58"/>
        <v/>
      </c>
      <c r="E305" s="37" t="str">
        <f t="shared" si="55"/>
        <v/>
      </c>
      <c r="F305" s="37" t="str">
        <f t="shared" si="59"/>
        <v>-</v>
      </c>
      <c r="G305" s="37" t="str">
        <f t="shared" si="59"/>
        <v>-</v>
      </c>
      <c r="H305" s="37" t="str">
        <f t="shared" si="59"/>
        <v/>
      </c>
      <c r="I305" s="16" t="str">
        <f t="shared" si="61"/>
        <v/>
      </c>
      <c r="J305" s="38" t="str">
        <f t="shared" si="60"/>
        <v/>
      </c>
      <c r="K305" s="38" t="str">
        <f t="shared" si="60"/>
        <v/>
      </c>
      <c r="L305" s="38" t="str">
        <f t="shared" si="60"/>
        <v/>
      </c>
      <c r="M305" s="17" t="str">
        <f t="shared" si="62"/>
        <v/>
      </c>
      <c r="N305" s="16" t="str">
        <f t="shared" si="63"/>
        <v/>
      </c>
      <c r="O305" s="54">
        <v>3</v>
      </c>
      <c r="P305" s="56">
        <v>4</v>
      </c>
    </row>
    <row r="306" spans="1:19" ht="24" customHeight="1">
      <c r="A306" s="11">
        <v>4</v>
      </c>
      <c r="B306" s="12" t="str">
        <f t="shared" si="57"/>
        <v/>
      </c>
      <c r="C306" s="13"/>
      <c r="D306" s="32" t="str">
        <f t="shared" si="58"/>
        <v/>
      </c>
      <c r="E306" s="37" t="str">
        <f t="shared" si="55"/>
        <v/>
      </c>
      <c r="F306" s="37" t="str">
        <f t="shared" si="59"/>
        <v/>
      </c>
      <c r="G306" s="37" t="str">
        <f t="shared" si="59"/>
        <v/>
      </c>
      <c r="H306" s="37" t="str">
        <f t="shared" si="59"/>
        <v/>
      </c>
      <c r="I306" s="16" t="str">
        <f t="shared" si="61"/>
        <v/>
      </c>
      <c r="J306" s="38" t="str">
        <f t="shared" si="60"/>
        <v/>
      </c>
      <c r="K306" s="38" t="str">
        <f t="shared" si="60"/>
        <v/>
      </c>
      <c r="L306" s="38" t="str">
        <f t="shared" si="60"/>
        <v/>
      </c>
      <c r="M306" s="17" t="str">
        <f t="shared" si="62"/>
        <v/>
      </c>
      <c r="N306" s="16" t="str">
        <f t="shared" si="63"/>
        <v/>
      </c>
      <c r="O306" s="55"/>
      <c r="P306" s="57"/>
    </row>
    <row r="307" spans="1:19" ht="24" hidden="1" customHeight="1">
      <c r="A307" s="11">
        <v>5</v>
      </c>
      <c r="B307" s="12" t="str">
        <f t="shared" si="57"/>
        <v/>
      </c>
      <c r="C307" s="13"/>
      <c r="D307" s="32" t="str">
        <f t="shared" si="58"/>
        <v/>
      </c>
      <c r="E307" s="37" t="str">
        <f t="shared" si="55"/>
        <v/>
      </c>
      <c r="F307" s="37" t="str">
        <f t="shared" si="59"/>
        <v/>
      </c>
      <c r="G307" s="37" t="str">
        <f t="shared" si="59"/>
        <v/>
      </c>
      <c r="H307" s="37" t="str">
        <f t="shared" si="59"/>
        <v/>
      </c>
      <c r="I307" s="16" t="str">
        <f t="shared" si="61"/>
        <v/>
      </c>
      <c r="J307" s="38" t="str">
        <f t="shared" si="60"/>
        <v/>
      </c>
      <c r="K307" s="38" t="str">
        <f t="shared" si="60"/>
        <v/>
      </c>
      <c r="L307" s="38" t="str">
        <f t="shared" si="60"/>
        <v/>
      </c>
      <c r="M307" s="17" t="str">
        <f t="shared" si="62"/>
        <v/>
      </c>
      <c r="N307" s="16" t="str">
        <f t="shared" si="63"/>
        <v/>
      </c>
      <c r="O307" s="58">
        <v>5</v>
      </c>
      <c r="P307" s="59">
        <v>6</v>
      </c>
    </row>
    <row r="308" spans="1:19" ht="24" hidden="1" customHeight="1">
      <c r="A308" s="11">
        <v>6</v>
      </c>
      <c r="B308" s="12" t="str">
        <f t="shared" si="57"/>
        <v/>
      </c>
      <c r="C308" s="13"/>
      <c r="D308" s="32" t="str">
        <f t="shared" si="58"/>
        <v/>
      </c>
      <c r="E308" s="37" t="str">
        <f t="shared" si="55"/>
        <v/>
      </c>
      <c r="F308" s="37" t="str">
        <f t="shared" si="59"/>
        <v/>
      </c>
      <c r="G308" s="37" t="str">
        <f t="shared" si="59"/>
        <v/>
      </c>
      <c r="H308" s="37" t="str">
        <f t="shared" si="59"/>
        <v/>
      </c>
      <c r="I308" s="16" t="str">
        <f t="shared" si="61"/>
        <v/>
      </c>
      <c r="J308" s="38" t="str">
        <f t="shared" si="60"/>
        <v/>
      </c>
      <c r="K308" s="38" t="str">
        <f t="shared" si="60"/>
        <v/>
      </c>
      <c r="L308" s="38" t="str">
        <f t="shared" si="60"/>
        <v/>
      </c>
      <c r="M308" s="17" t="str">
        <f t="shared" si="62"/>
        <v/>
      </c>
      <c r="N308" s="16" t="str">
        <f t="shared" si="63"/>
        <v/>
      </c>
      <c r="O308" s="58"/>
      <c r="P308" s="59"/>
    </row>
    <row r="309" spans="1:19" s="21" customFormat="1" ht="22.5" customHeight="1">
      <c r="A309" s="60" t="s">
        <v>20</v>
      </c>
      <c r="B309" s="61"/>
      <c r="C309" s="61"/>
      <c r="D309" s="61"/>
      <c r="E309" s="61"/>
      <c r="F309" s="61"/>
      <c r="G309" s="61"/>
      <c r="H309" s="36"/>
      <c r="I309" s="18">
        <f>SUM(I303:I308)</f>
        <v>550000</v>
      </c>
      <c r="J309" s="36"/>
      <c r="K309" s="36"/>
      <c r="L309" s="36"/>
      <c r="M309" s="19">
        <f>SUM(M303:M308)</f>
        <v>0</v>
      </c>
      <c r="N309" s="18">
        <f>SUM(N303:N308)</f>
        <v>550000</v>
      </c>
      <c r="O309" s="20"/>
      <c r="P309" s="20"/>
      <c r="S309" s="22"/>
    </row>
    <row r="310" spans="1:19" ht="23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N310" s="23"/>
    </row>
    <row r="311" spans="1:19" ht="17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O311" s="24" t="s">
        <v>79</v>
      </c>
    </row>
    <row r="312" spans="1:19" ht="18" customHeight="1">
      <c r="A312" s="8"/>
      <c r="C312" s="24" t="s">
        <v>21</v>
      </c>
      <c r="D312" s="24"/>
      <c r="E312" s="24"/>
      <c r="F312" s="24"/>
      <c r="G312" s="24"/>
      <c r="H312" s="24"/>
      <c r="I312" s="24"/>
      <c r="J312" s="24"/>
      <c r="K312" s="24"/>
      <c r="L312" s="8"/>
      <c r="O312" s="24" t="s">
        <v>86</v>
      </c>
    </row>
    <row r="313" spans="1:19">
      <c r="A313" s="8"/>
      <c r="C313" s="24" t="s">
        <v>22</v>
      </c>
      <c r="D313" s="24"/>
      <c r="E313" s="24"/>
      <c r="F313" s="24"/>
      <c r="G313" s="24"/>
      <c r="H313" s="24"/>
      <c r="I313" s="24"/>
      <c r="J313" s="24"/>
      <c r="K313" s="24"/>
      <c r="L313" s="8"/>
      <c r="O313" s="24" t="s">
        <v>23</v>
      </c>
    </row>
    <row r="314" spans="1:19">
      <c r="A314" s="8"/>
      <c r="C314" s="24"/>
      <c r="D314" s="24"/>
      <c r="E314" s="24"/>
      <c r="F314" s="24"/>
      <c r="G314" s="24"/>
      <c r="H314" s="24"/>
      <c r="I314" s="24"/>
      <c r="J314" s="24"/>
      <c r="K314" s="24"/>
      <c r="L314" s="8"/>
      <c r="O314" s="25"/>
      <c r="S314" s="26"/>
    </row>
    <row r="315" spans="1:19">
      <c r="A315" s="8"/>
      <c r="C315" s="24"/>
      <c r="D315" s="24"/>
      <c r="E315" s="24"/>
      <c r="F315" s="24"/>
      <c r="G315" s="24"/>
      <c r="H315" s="24"/>
      <c r="I315" s="24"/>
      <c r="J315" s="24"/>
      <c r="K315" s="24"/>
      <c r="L315" s="8"/>
      <c r="O315" s="25"/>
    </row>
    <row r="316" spans="1:19">
      <c r="A316" s="8"/>
      <c r="C316" s="24"/>
      <c r="D316" s="24"/>
      <c r="E316" s="24"/>
      <c r="F316" s="24"/>
      <c r="G316" s="24"/>
      <c r="H316" s="24"/>
      <c r="I316" s="24"/>
      <c r="J316" s="24"/>
      <c r="K316" s="24"/>
      <c r="L316" s="8"/>
      <c r="O316" s="25"/>
    </row>
    <row r="317" spans="1:19">
      <c r="A317" s="8"/>
      <c r="C317" s="24"/>
      <c r="D317" s="24"/>
      <c r="E317" s="24"/>
      <c r="F317" s="24"/>
      <c r="G317" s="24"/>
      <c r="H317" s="24"/>
      <c r="I317" s="24"/>
      <c r="J317" s="24"/>
      <c r="K317" s="24"/>
      <c r="L317" s="8"/>
      <c r="O317" s="25"/>
    </row>
    <row r="318" spans="1:19">
      <c r="A318" s="8"/>
      <c r="C318" s="24"/>
      <c r="D318" s="24"/>
      <c r="E318" s="24"/>
      <c r="F318" s="24"/>
      <c r="G318" s="24"/>
      <c r="H318" s="24"/>
      <c r="I318" s="24"/>
      <c r="J318" s="24"/>
      <c r="K318" s="24"/>
      <c r="L318" s="8"/>
      <c r="O318" s="25"/>
    </row>
    <row r="319" spans="1:19" ht="15" customHeight="1">
      <c r="A319" s="8"/>
      <c r="C319" s="27" t="str">
        <f>IF(C278="","",C278)</f>
        <v>BADRUDDIN, S.Ag.</v>
      </c>
      <c r="D319" s="28"/>
      <c r="E319" s="28"/>
      <c r="F319" s="28"/>
      <c r="G319" s="28"/>
      <c r="H319" s="28"/>
      <c r="I319" s="28"/>
      <c r="J319" s="28"/>
      <c r="K319" s="8"/>
      <c r="L319" s="8"/>
      <c r="O319" s="27" t="s">
        <v>76</v>
      </c>
    </row>
    <row r="320" spans="1:19" ht="15" customHeight="1">
      <c r="A320" s="8"/>
      <c r="C320" s="27" t="str">
        <f>IF(C279="","",C279)</f>
        <v>NIP. 197405082014121002</v>
      </c>
      <c r="D320" s="28"/>
      <c r="E320" s="28"/>
      <c r="F320" s="28"/>
      <c r="G320" s="28"/>
      <c r="H320" s="28"/>
      <c r="I320" s="28"/>
      <c r="J320" s="28"/>
      <c r="K320" s="8"/>
      <c r="L320" s="8"/>
      <c r="O320" s="27" t="s">
        <v>77</v>
      </c>
    </row>
    <row r="330" spans="1:16" ht="17.25" customHeight="1">
      <c r="A330" s="64" t="str">
        <f>$A$1</f>
        <v>DAFTAR PENERIMA HONORARIUM/GAJI TENAGA PERPUSTAKAAN TIDAK TETAP (PEMBAYARAN NON TUNAI)</v>
      </c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</row>
    <row r="331" spans="1:16" ht="17.25" customHeight="1">
      <c r="A331" s="64" t="s">
        <v>80</v>
      </c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</row>
    <row r="332" spans="1:16" ht="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15" customHeight="1">
      <c r="C333" s="4" t="s">
        <v>0</v>
      </c>
      <c r="D333" s="5" t="s">
        <v>1</v>
      </c>
      <c r="E333" s="5"/>
      <c r="F333" s="5"/>
      <c r="G333" s="5"/>
      <c r="H333" s="5"/>
      <c r="I333" s="5"/>
      <c r="K333" s="6"/>
      <c r="L333" s="7"/>
      <c r="M333" s="4" t="s">
        <v>26</v>
      </c>
      <c r="N333" s="4" t="str">
        <f>N296</f>
        <v>: 07 Pengembangan Standar Pembiayaan</v>
      </c>
      <c r="O333" s="3"/>
    </row>
    <row r="334" spans="1:16" ht="15" customHeight="1">
      <c r="C334" s="4" t="s">
        <v>2</v>
      </c>
      <c r="D334" s="4" t="str">
        <f>D297</f>
        <v>: SD NEGERI LEBAKLEUNGSIR</v>
      </c>
      <c r="E334" s="4"/>
      <c r="F334" s="4"/>
      <c r="G334" s="4"/>
      <c r="H334" s="4"/>
      <c r="I334" s="4"/>
      <c r="K334" s="6"/>
      <c r="M334" s="4" t="s">
        <v>27</v>
      </c>
      <c r="N334" s="4" t="str">
        <f>N297</f>
        <v>: Pembayaran Honor (Tenaga Perpustakaan)</v>
      </c>
      <c r="O334" s="3"/>
    </row>
    <row r="335" spans="1:16" ht="15" customHeight="1">
      <c r="C335" s="4" t="s">
        <v>3</v>
      </c>
      <c r="D335" s="4" t="str">
        <f>D298</f>
        <v>: Cikalongwetan</v>
      </c>
      <c r="E335" s="4"/>
      <c r="F335" s="4"/>
      <c r="G335" s="4"/>
      <c r="H335" s="4"/>
      <c r="I335" s="4"/>
      <c r="K335" s="6"/>
      <c r="M335" s="8" t="s">
        <v>28</v>
      </c>
      <c r="N335" s="4" t="str">
        <f>N298</f>
        <v>: 5.1.02.02.01.0013</v>
      </c>
      <c r="O335" s="3"/>
    </row>
    <row r="336" spans="1:16" ht="15" customHeight="1">
      <c r="C336" s="4" t="s">
        <v>5</v>
      </c>
      <c r="D336" s="4" t="str">
        <f>D299</f>
        <v>: Bandung Barat</v>
      </c>
      <c r="E336" s="4"/>
      <c r="F336" s="4"/>
      <c r="G336" s="4"/>
      <c r="H336" s="4"/>
      <c r="I336" s="4"/>
      <c r="K336" s="6"/>
      <c r="M336" s="4" t="s">
        <v>7</v>
      </c>
      <c r="N336" s="4" t="str">
        <f>N299</f>
        <v>: 12</v>
      </c>
      <c r="O336" s="3"/>
      <c r="P336" s="8"/>
    </row>
    <row r="337" spans="1:19" ht="15" customHeight="1">
      <c r="M337" s="8"/>
      <c r="N337" s="8"/>
      <c r="O337" s="8"/>
    </row>
    <row r="338" spans="1:19" ht="18.5" customHeight="1">
      <c r="A338" s="62" t="s">
        <v>8</v>
      </c>
      <c r="B338" s="65" t="s">
        <v>9</v>
      </c>
      <c r="C338" s="66"/>
      <c r="D338" s="62" t="s">
        <v>10</v>
      </c>
      <c r="E338" s="69" t="s">
        <v>72</v>
      </c>
      <c r="F338" s="70"/>
      <c r="G338" s="70"/>
      <c r="H338" s="71"/>
      <c r="I338" s="72" t="s">
        <v>14</v>
      </c>
      <c r="J338" s="72" t="s">
        <v>11</v>
      </c>
      <c r="K338" s="65" t="s">
        <v>12</v>
      </c>
      <c r="L338" s="66"/>
      <c r="M338" s="74" t="s">
        <v>31</v>
      </c>
      <c r="N338" s="72" t="s">
        <v>16</v>
      </c>
      <c r="O338" s="65" t="s">
        <v>17</v>
      </c>
      <c r="P338" s="66"/>
    </row>
    <row r="339" spans="1:19" ht="34" customHeight="1">
      <c r="A339" s="63"/>
      <c r="B339" s="67"/>
      <c r="C339" s="68"/>
      <c r="D339" s="63"/>
      <c r="E339" s="35" t="str">
        <f>IF(E302="","",E302)</f>
        <v>Tenaga Perpustakaan</v>
      </c>
      <c r="F339" s="35" t="str">
        <f t="shared" ref="F339:H339" si="64">IF(F302="","",F302)</f>
        <v>Pembina Ekskul</v>
      </c>
      <c r="G339" s="35" t="str">
        <f t="shared" si="64"/>
        <v>Guru</v>
      </c>
      <c r="H339" s="39" t="str">
        <f t="shared" si="64"/>
        <v>TAS/ Operator</v>
      </c>
      <c r="I339" s="73"/>
      <c r="J339" s="73"/>
      <c r="K339" s="67"/>
      <c r="L339" s="68"/>
      <c r="M339" s="75"/>
      <c r="N339" s="73"/>
      <c r="O339" s="67"/>
      <c r="P339" s="68"/>
    </row>
    <row r="340" spans="1:19" ht="24" customHeight="1">
      <c r="A340" s="11">
        <v>1</v>
      </c>
      <c r="B340" s="12" t="str">
        <f t="shared" ref="B340:B345" si="65">IF(B303="","",B303)</f>
        <v>LINDAWATI</v>
      </c>
      <c r="C340" s="13"/>
      <c r="D340" s="32" t="str">
        <f t="shared" ref="D340:H345" si="66">IF(D303="","",D303)</f>
        <v>Tenaga Perpustakaan</v>
      </c>
      <c r="E340" s="37">
        <f>IF(E303="","",E303)</f>
        <v>300000</v>
      </c>
      <c r="F340" s="37">
        <f>IF(F303="","",F303)</f>
        <v>100000</v>
      </c>
      <c r="G340" s="37" t="str">
        <f>IF(G303="","",G303)</f>
        <v>-</v>
      </c>
      <c r="H340" s="37">
        <f>IF(H303="","",H303)</f>
        <v>150000</v>
      </c>
      <c r="I340" s="16">
        <f>IF(B340="","",SUM(E340:H340))</f>
        <v>550000</v>
      </c>
      <c r="J340" s="38" t="str">
        <f t="shared" ref="J340:L345" si="67">IF(J303="","",J303)</f>
        <v>PTT</v>
      </c>
      <c r="K340" s="38">
        <f t="shared" si="67"/>
        <v>1</v>
      </c>
      <c r="L340" s="38" t="str">
        <f t="shared" si="67"/>
        <v>Bulan</v>
      </c>
      <c r="M340" s="17">
        <f>IFERROR(I340*0/100,"")</f>
        <v>0</v>
      </c>
      <c r="N340" s="16">
        <f>IFERROR(SUM(I340*K340)-M340,"")</f>
        <v>550000</v>
      </c>
      <c r="O340" s="54">
        <v>1</v>
      </c>
      <c r="P340" s="56">
        <v>2</v>
      </c>
    </row>
    <row r="341" spans="1:19" ht="24" customHeight="1">
      <c r="A341" s="11">
        <v>2</v>
      </c>
      <c r="B341" s="12" t="str">
        <f t="shared" si="65"/>
        <v/>
      </c>
      <c r="C341" s="13"/>
      <c r="D341" s="32" t="str">
        <f t="shared" si="66"/>
        <v/>
      </c>
      <c r="E341" s="37" t="str">
        <f t="shared" si="66"/>
        <v/>
      </c>
      <c r="F341" s="37" t="str">
        <f t="shared" si="66"/>
        <v/>
      </c>
      <c r="G341" s="37" t="str">
        <f t="shared" si="66"/>
        <v/>
      </c>
      <c r="H341" s="37" t="str">
        <f t="shared" si="66"/>
        <v/>
      </c>
      <c r="I341" s="16" t="str">
        <f t="shared" ref="I341:I345" si="68">IF(B341="","",SUM(E341:H341))</f>
        <v/>
      </c>
      <c r="J341" s="38" t="str">
        <f t="shared" si="67"/>
        <v/>
      </c>
      <c r="K341" s="38" t="str">
        <f t="shared" si="67"/>
        <v/>
      </c>
      <c r="L341" s="38" t="str">
        <f t="shared" si="67"/>
        <v/>
      </c>
      <c r="M341" s="17" t="str">
        <f t="shared" ref="M341:M345" si="69">IFERROR(I341*0/100,"")</f>
        <v/>
      </c>
      <c r="N341" s="16" t="str">
        <f t="shared" ref="N341:N345" si="70">IFERROR(SUM(I341*K341)-M341,"")</f>
        <v/>
      </c>
      <c r="O341" s="55"/>
      <c r="P341" s="57"/>
    </row>
    <row r="342" spans="1:19" ht="24" customHeight="1">
      <c r="A342" s="11">
        <v>3</v>
      </c>
      <c r="B342" s="12" t="str">
        <f t="shared" si="65"/>
        <v/>
      </c>
      <c r="C342" s="13"/>
      <c r="D342" s="32" t="str">
        <f t="shared" si="66"/>
        <v/>
      </c>
      <c r="E342" s="37" t="str">
        <f t="shared" si="66"/>
        <v/>
      </c>
      <c r="F342" s="37" t="str">
        <f t="shared" si="66"/>
        <v>-</v>
      </c>
      <c r="G342" s="37" t="str">
        <f t="shared" si="66"/>
        <v>-</v>
      </c>
      <c r="H342" s="37" t="str">
        <f t="shared" si="66"/>
        <v/>
      </c>
      <c r="I342" s="16" t="str">
        <f t="shared" si="68"/>
        <v/>
      </c>
      <c r="J342" s="38" t="str">
        <f t="shared" si="67"/>
        <v/>
      </c>
      <c r="K342" s="38" t="str">
        <f t="shared" si="67"/>
        <v/>
      </c>
      <c r="L342" s="38" t="str">
        <f t="shared" si="67"/>
        <v/>
      </c>
      <c r="M342" s="17" t="str">
        <f t="shared" si="69"/>
        <v/>
      </c>
      <c r="N342" s="16" t="str">
        <f t="shared" si="70"/>
        <v/>
      </c>
      <c r="O342" s="54">
        <v>3</v>
      </c>
      <c r="P342" s="56">
        <v>4</v>
      </c>
    </row>
    <row r="343" spans="1:19" ht="24" customHeight="1">
      <c r="A343" s="11">
        <v>4</v>
      </c>
      <c r="B343" s="12" t="str">
        <f t="shared" si="65"/>
        <v/>
      </c>
      <c r="C343" s="13"/>
      <c r="D343" s="32" t="str">
        <f t="shared" si="66"/>
        <v/>
      </c>
      <c r="E343" s="37" t="str">
        <f t="shared" si="66"/>
        <v/>
      </c>
      <c r="F343" s="37" t="str">
        <f t="shared" si="66"/>
        <v/>
      </c>
      <c r="G343" s="37" t="str">
        <f t="shared" si="66"/>
        <v/>
      </c>
      <c r="H343" s="37" t="str">
        <f t="shared" si="66"/>
        <v/>
      </c>
      <c r="I343" s="16" t="str">
        <f t="shared" si="68"/>
        <v/>
      </c>
      <c r="J343" s="38" t="str">
        <f t="shared" si="67"/>
        <v/>
      </c>
      <c r="K343" s="38" t="str">
        <f t="shared" si="67"/>
        <v/>
      </c>
      <c r="L343" s="38" t="str">
        <f t="shared" si="67"/>
        <v/>
      </c>
      <c r="M343" s="17" t="str">
        <f t="shared" si="69"/>
        <v/>
      </c>
      <c r="N343" s="16" t="str">
        <f t="shared" si="70"/>
        <v/>
      </c>
      <c r="O343" s="55"/>
      <c r="P343" s="57"/>
    </row>
    <row r="344" spans="1:19" ht="24" hidden="1" customHeight="1">
      <c r="A344" s="11">
        <v>5</v>
      </c>
      <c r="B344" s="12" t="str">
        <f t="shared" si="65"/>
        <v/>
      </c>
      <c r="C344" s="13"/>
      <c r="D344" s="32" t="str">
        <f t="shared" si="66"/>
        <v/>
      </c>
      <c r="E344" s="37" t="str">
        <f t="shared" si="66"/>
        <v/>
      </c>
      <c r="F344" s="37" t="str">
        <f t="shared" si="66"/>
        <v/>
      </c>
      <c r="G344" s="37" t="str">
        <f t="shared" si="66"/>
        <v/>
      </c>
      <c r="H344" s="37" t="str">
        <f t="shared" si="66"/>
        <v/>
      </c>
      <c r="I344" s="16" t="str">
        <f t="shared" si="68"/>
        <v/>
      </c>
      <c r="J344" s="38" t="str">
        <f t="shared" si="67"/>
        <v/>
      </c>
      <c r="K344" s="38" t="str">
        <f t="shared" si="67"/>
        <v/>
      </c>
      <c r="L344" s="38" t="str">
        <f t="shared" si="67"/>
        <v/>
      </c>
      <c r="M344" s="17" t="str">
        <f t="shared" si="69"/>
        <v/>
      </c>
      <c r="N344" s="16" t="str">
        <f t="shared" si="70"/>
        <v/>
      </c>
      <c r="O344" s="58">
        <v>5</v>
      </c>
      <c r="P344" s="59">
        <v>6</v>
      </c>
    </row>
    <row r="345" spans="1:19" ht="24" hidden="1" customHeight="1">
      <c r="A345" s="11">
        <v>6</v>
      </c>
      <c r="B345" s="12" t="str">
        <f t="shared" si="65"/>
        <v/>
      </c>
      <c r="C345" s="13"/>
      <c r="D345" s="32" t="str">
        <f t="shared" si="66"/>
        <v/>
      </c>
      <c r="E345" s="37" t="str">
        <f t="shared" si="66"/>
        <v/>
      </c>
      <c r="F345" s="37" t="str">
        <f t="shared" si="66"/>
        <v/>
      </c>
      <c r="G345" s="37" t="str">
        <f t="shared" si="66"/>
        <v/>
      </c>
      <c r="H345" s="37" t="str">
        <f t="shared" si="66"/>
        <v/>
      </c>
      <c r="I345" s="16" t="str">
        <f t="shared" si="68"/>
        <v/>
      </c>
      <c r="J345" s="38" t="str">
        <f t="shared" si="67"/>
        <v/>
      </c>
      <c r="K345" s="38" t="str">
        <f t="shared" si="67"/>
        <v/>
      </c>
      <c r="L345" s="38" t="str">
        <f t="shared" si="67"/>
        <v/>
      </c>
      <c r="M345" s="17" t="str">
        <f t="shared" si="69"/>
        <v/>
      </c>
      <c r="N345" s="16" t="str">
        <f t="shared" si="70"/>
        <v/>
      </c>
      <c r="O345" s="58"/>
      <c r="P345" s="59"/>
    </row>
    <row r="346" spans="1:19" s="21" customFormat="1" ht="22.5" customHeight="1">
      <c r="A346" s="60" t="s">
        <v>20</v>
      </c>
      <c r="B346" s="61"/>
      <c r="C346" s="61"/>
      <c r="D346" s="61"/>
      <c r="E346" s="61"/>
      <c r="F346" s="61"/>
      <c r="G346" s="61"/>
      <c r="H346" s="36"/>
      <c r="I346" s="18">
        <f>SUM(I340:I345)</f>
        <v>550000</v>
      </c>
      <c r="J346" s="36"/>
      <c r="K346" s="36"/>
      <c r="L346" s="36"/>
      <c r="M346" s="19">
        <f>SUM(M340:M345)</f>
        <v>0</v>
      </c>
      <c r="N346" s="18">
        <f>SUM(N340:N345)</f>
        <v>550000</v>
      </c>
      <c r="O346" s="20"/>
      <c r="P346" s="20"/>
      <c r="S346" s="22"/>
    </row>
    <row r="347" spans="1:19" ht="23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N347" s="23"/>
    </row>
    <row r="348" spans="1:19" ht="17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O348" s="24" t="s">
        <v>81</v>
      </c>
    </row>
    <row r="349" spans="1:19" ht="18" customHeight="1">
      <c r="A349" s="8"/>
      <c r="C349" s="24" t="s">
        <v>21</v>
      </c>
      <c r="D349" s="24"/>
      <c r="E349" s="24"/>
      <c r="F349" s="24"/>
      <c r="G349" s="24"/>
      <c r="H349" s="24"/>
      <c r="I349" s="24"/>
      <c r="J349" s="24"/>
      <c r="K349" s="24"/>
      <c r="L349" s="8"/>
      <c r="O349" s="24" t="s">
        <v>87</v>
      </c>
    </row>
    <row r="350" spans="1:19">
      <c r="A350" s="8"/>
      <c r="C350" s="24" t="s">
        <v>22</v>
      </c>
      <c r="D350" s="24"/>
      <c r="E350" s="24"/>
      <c r="F350" s="24"/>
      <c r="G350" s="24"/>
      <c r="H350" s="24"/>
      <c r="I350" s="24"/>
      <c r="J350" s="24"/>
      <c r="K350" s="24"/>
      <c r="L350" s="8"/>
      <c r="O350" s="24" t="s">
        <v>23</v>
      </c>
    </row>
    <row r="351" spans="1:19">
      <c r="A351" s="8"/>
      <c r="C351" s="24"/>
      <c r="D351" s="24"/>
      <c r="E351" s="24"/>
      <c r="F351" s="24"/>
      <c r="G351" s="24"/>
      <c r="H351" s="24"/>
      <c r="I351" s="24"/>
      <c r="J351" s="24"/>
      <c r="K351" s="24"/>
      <c r="L351" s="8"/>
      <c r="O351" s="25"/>
      <c r="S351" s="26"/>
    </row>
    <row r="352" spans="1:19">
      <c r="A352" s="8"/>
      <c r="C352" s="24"/>
      <c r="D352" s="24"/>
      <c r="E352" s="24"/>
      <c r="F352" s="24"/>
      <c r="G352" s="24"/>
      <c r="H352" s="24"/>
      <c r="I352" s="24"/>
      <c r="J352" s="24"/>
      <c r="K352" s="24"/>
      <c r="L352" s="8"/>
      <c r="O352" s="25"/>
    </row>
    <row r="353" spans="1:16">
      <c r="A353" s="8"/>
      <c r="C353" s="24"/>
      <c r="D353" s="24"/>
      <c r="E353" s="24"/>
      <c r="F353" s="24"/>
      <c r="G353" s="24"/>
      <c r="H353" s="24"/>
      <c r="I353" s="24"/>
      <c r="J353" s="24"/>
      <c r="K353" s="24"/>
      <c r="L353" s="8"/>
      <c r="O353" s="25"/>
    </row>
    <row r="354" spans="1:16">
      <c r="A354" s="8"/>
      <c r="C354" s="24"/>
      <c r="D354" s="24"/>
      <c r="E354" s="24"/>
      <c r="F354" s="24"/>
      <c r="G354" s="24"/>
      <c r="H354" s="24"/>
      <c r="I354" s="24"/>
      <c r="J354" s="24"/>
      <c r="K354" s="24"/>
      <c r="L354" s="8"/>
      <c r="O354" s="25"/>
    </row>
    <row r="355" spans="1:16">
      <c r="A355" s="8"/>
      <c r="C355" s="24"/>
      <c r="D355" s="24"/>
      <c r="E355" s="24"/>
      <c r="F355" s="24"/>
      <c r="G355" s="24"/>
      <c r="H355" s="24"/>
      <c r="I355" s="24"/>
      <c r="J355" s="24"/>
      <c r="K355" s="24"/>
      <c r="L355" s="8"/>
      <c r="O355" s="25"/>
    </row>
    <row r="356" spans="1:16" ht="15" customHeight="1">
      <c r="A356" s="8"/>
      <c r="C356" s="27" t="str">
        <f>IF(C319="","",C319)</f>
        <v>BADRUDDIN, S.Ag.</v>
      </c>
      <c r="D356" s="28"/>
      <c r="E356" s="28"/>
      <c r="F356" s="28"/>
      <c r="G356" s="28"/>
      <c r="H356" s="28"/>
      <c r="I356" s="28"/>
      <c r="J356" s="28"/>
      <c r="K356" s="8"/>
      <c r="L356" s="8"/>
      <c r="O356" s="27" t="s">
        <v>76</v>
      </c>
    </row>
    <row r="357" spans="1:16" ht="15" customHeight="1">
      <c r="A357" s="8"/>
      <c r="C357" s="27" t="str">
        <f>IF(C320="","",C320)</f>
        <v>NIP. 197405082014121002</v>
      </c>
      <c r="D357" s="28"/>
      <c r="E357" s="28"/>
      <c r="F357" s="28"/>
      <c r="G357" s="28"/>
      <c r="H357" s="28"/>
      <c r="I357" s="28"/>
      <c r="J357" s="28"/>
      <c r="K357" s="8"/>
      <c r="L357" s="8"/>
      <c r="O357" s="27" t="s">
        <v>77</v>
      </c>
    </row>
    <row r="367" spans="1:16" ht="17.25" customHeight="1">
      <c r="A367" s="64" t="str">
        <f>$A$1</f>
        <v>DAFTAR PENERIMA HONORARIUM/GAJI TENAGA PERPUSTAKAAN TIDAK TETAP (PEMBAYARAN NON TUNAI)</v>
      </c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</row>
    <row r="368" spans="1:16" ht="17.25" customHeight="1">
      <c r="A368" s="64" t="s">
        <v>82</v>
      </c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</row>
    <row r="369" spans="1:19" ht="1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9" ht="15" customHeight="1">
      <c r="C370" s="4" t="s">
        <v>0</v>
      </c>
      <c r="D370" s="5" t="s">
        <v>1</v>
      </c>
      <c r="E370" s="5"/>
      <c r="F370" s="5"/>
      <c r="G370" s="5"/>
      <c r="H370" s="5"/>
      <c r="I370" s="5"/>
      <c r="K370" s="6"/>
      <c r="L370" s="7"/>
      <c r="M370" s="4" t="s">
        <v>26</v>
      </c>
      <c r="N370" s="4" t="str">
        <f>N333</f>
        <v>: 07 Pengembangan Standar Pembiayaan</v>
      </c>
      <c r="O370" s="3"/>
    </row>
    <row r="371" spans="1:19" ht="15" customHeight="1">
      <c r="C371" s="4" t="s">
        <v>2</v>
      </c>
      <c r="D371" s="4" t="str">
        <f>D334</f>
        <v>: SD NEGERI LEBAKLEUNGSIR</v>
      </c>
      <c r="E371" s="4"/>
      <c r="F371" s="4"/>
      <c r="G371" s="4"/>
      <c r="H371" s="4"/>
      <c r="I371" s="4"/>
      <c r="K371" s="6"/>
      <c r="M371" s="4" t="s">
        <v>27</v>
      </c>
      <c r="N371" s="4" t="str">
        <f>N334</f>
        <v>: Pembayaran Honor (Tenaga Perpustakaan)</v>
      </c>
      <c r="O371" s="3"/>
    </row>
    <row r="372" spans="1:19" ht="15" customHeight="1">
      <c r="C372" s="4" t="s">
        <v>3</v>
      </c>
      <c r="D372" s="4" t="str">
        <f>D335</f>
        <v>: Cikalongwetan</v>
      </c>
      <c r="E372" s="4"/>
      <c r="F372" s="4"/>
      <c r="G372" s="4"/>
      <c r="H372" s="4"/>
      <c r="I372" s="4"/>
      <c r="K372" s="6"/>
      <c r="M372" s="8" t="s">
        <v>28</v>
      </c>
      <c r="N372" s="4" t="str">
        <f>N335</f>
        <v>: 5.1.02.02.01.0013</v>
      </c>
      <c r="O372" s="3"/>
    </row>
    <row r="373" spans="1:19" ht="15" customHeight="1">
      <c r="C373" s="4" t="s">
        <v>5</v>
      </c>
      <c r="D373" s="4" t="str">
        <f>D336</f>
        <v>: Bandung Barat</v>
      </c>
      <c r="E373" s="4"/>
      <c r="F373" s="4"/>
      <c r="G373" s="4"/>
      <c r="H373" s="4"/>
      <c r="I373" s="4"/>
      <c r="K373" s="6"/>
      <c r="M373" s="4" t="s">
        <v>7</v>
      </c>
      <c r="N373" s="4" t="str">
        <f>N336</f>
        <v>: 12</v>
      </c>
      <c r="O373" s="3"/>
      <c r="P373" s="8"/>
    </row>
    <row r="374" spans="1:19" ht="15" customHeight="1">
      <c r="M374" s="8"/>
      <c r="N374" s="8"/>
      <c r="O374" s="8"/>
    </row>
    <row r="375" spans="1:19" ht="18.5" customHeight="1">
      <c r="A375" s="62" t="s">
        <v>8</v>
      </c>
      <c r="B375" s="65" t="s">
        <v>9</v>
      </c>
      <c r="C375" s="66"/>
      <c r="D375" s="62" t="s">
        <v>10</v>
      </c>
      <c r="E375" s="69" t="s">
        <v>72</v>
      </c>
      <c r="F375" s="70"/>
      <c r="G375" s="70"/>
      <c r="H375" s="71"/>
      <c r="I375" s="72" t="s">
        <v>14</v>
      </c>
      <c r="J375" s="72" t="s">
        <v>11</v>
      </c>
      <c r="K375" s="65" t="s">
        <v>12</v>
      </c>
      <c r="L375" s="66"/>
      <c r="M375" s="74" t="s">
        <v>31</v>
      </c>
      <c r="N375" s="72" t="s">
        <v>16</v>
      </c>
      <c r="O375" s="65" t="s">
        <v>17</v>
      </c>
      <c r="P375" s="66"/>
    </row>
    <row r="376" spans="1:19" ht="34" customHeight="1">
      <c r="A376" s="63"/>
      <c r="B376" s="67"/>
      <c r="C376" s="68"/>
      <c r="D376" s="63"/>
      <c r="E376" s="35" t="str">
        <f>IF(E339="","",E339)</f>
        <v>Tenaga Perpustakaan</v>
      </c>
      <c r="F376" s="35" t="str">
        <f t="shared" ref="F376:H376" si="71">IF(F339="","",F339)</f>
        <v>Pembina Ekskul</v>
      </c>
      <c r="G376" s="35" t="str">
        <f t="shared" si="71"/>
        <v>Guru</v>
      </c>
      <c r="H376" s="39" t="str">
        <f t="shared" si="71"/>
        <v>TAS/ Operator</v>
      </c>
      <c r="I376" s="73"/>
      <c r="J376" s="73"/>
      <c r="K376" s="67"/>
      <c r="L376" s="68"/>
      <c r="M376" s="75"/>
      <c r="N376" s="73"/>
      <c r="O376" s="67"/>
      <c r="P376" s="68"/>
    </row>
    <row r="377" spans="1:19" ht="24" customHeight="1">
      <c r="A377" s="11">
        <v>1</v>
      </c>
      <c r="B377" s="12" t="str">
        <f t="shared" ref="B377:B382" si="72">IF(B340="","",B340)</f>
        <v>LINDAWATI</v>
      </c>
      <c r="C377" s="13"/>
      <c r="D377" s="32" t="str">
        <f t="shared" ref="D377:H382" si="73">IF(D340="","",D340)</f>
        <v>Tenaga Perpustakaan</v>
      </c>
      <c r="E377" s="37">
        <f>IF(E340="","",E340)</f>
        <v>300000</v>
      </c>
      <c r="F377" s="37">
        <f>IF(F340="","",F340)</f>
        <v>100000</v>
      </c>
      <c r="G377" s="37" t="str">
        <f>IF(G340="","",G340)</f>
        <v>-</v>
      </c>
      <c r="H377" s="37">
        <f>IF(H340="","",H340)</f>
        <v>150000</v>
      </c>
      <c r="I377" s="16">
        <f>IF(B377="","",SUM(E377:H377))</f>
        <v>550000</v>
      </c>
      <c r="J377" s="38" t="str">
        <f t="shared" ref="J377:L382" si="74">IF(J340="","",J340)</f>
        <v>PTT</v>
      </c>
      <c r="K377" s="38">
        <f t="shared" si="74"/>
        <v>1</v>
      </c>
      <c r="L377" s="38" t="str">
        <f t="shared" si="74"/>
        <v>Bulan</v>
      </c>
      <c r="M377" s="17">
        <f>IFERROR(I377*0/100,"")</f>
        <v>0</v>
      </c>
      <c r="N377" s="16">
        <f>IFERROR(SUM(I377*K377)-M377,"")</f>
        <v>550000</v>
      </c>
      <c r="O377" s="54">
        <v>1</v>
      </c>
      <c r="P377" s="56">
        <v>2</v>
      </c>
    </row>
    <row r="378" spans="1:19" ht="24" customHeight="1">
      <c r="A378" s="11">
        <v>2</v>
      </c>
      <c r="B378" s="12" t="str">
        <f t="shared" si="72"/>
        <v/>
      </c>
      <c r="C378" s="13"/>
      <c r="D378" s="32" t="str">
        <f t="shared" si="73"/>
        <v/>
      </c>
      <c r="E378" s="37" t="str">
        <f t="shared" si="73"/>
        <v/>
      </c>
      <c r="F378" s="37" t="str">
        <f t="shared" si="73"/>
        <v/>
      </c>
      <c r="G378" s="37" t="str">
        <f t="shared" si="73"/>
        <v/>
      </c>
      <c r="H378" s="37" t="str">
        <f t="shared" si="73"/>
        <v/>
      </c>
      <c r="I378" s="16" t="str">
        <f t="shared" ref="I378:I382" si="75">IF(B378="","",SUM(E378:H378))</f>
        <v/>
      </c>
      <c r="J378" s="38" t="str">
        <f t="shared" si="74"/>
        <v/>
      </c>
      <c r="K378" s="38" t="str">
        <f t="shared" si="74"/>
        <v/>
      </c>
      <c r="L378" s="38" t="str">
        <f t="shared" si="74"/>
        <v/>
      </c>
      <c r="M378" s="17" t="str">
        <f t="shared" ref="M378:M382" si="76">IFERROR(I378*0/100,"")</f>
        <v/>
      </c>
      <c r="N378" s="16" t="str">
        <f t="shared" ref="N378:N382" si="77">IFERROR(SUM(I378*K378)-M378,"")</f>
        <v/>
      </c>
      <c r="O378" s="55"/>
      <c r="P378" s="57"/>
    </row>
    <row r="379" spans="1:19" ht="24" customHeight="1">
      <c r="A379" s="11">
        <v>3</v>
      </c>
      <c r="B379" s="12" t="str">
        <f t="shared" si="72"/>
        <v/>
      </c>
      <c r="C379" s="13"/>
      <c r="D379" s="32" t="str">
        <f t="shared" si="73"/>
        <v/>
      </c>
      <c r="E379" s="37" t="str">
        <f t="shared" si="73"/>
        <v/>
      </c>
      <c r="F379" s="37" t="str">
        <f t="shared" si="73"/>
        <v>-</v>
      </c>
      <c r="G379" s="37" t="str">
        <f t="shared" si="73"/>
        <v>-</v>
      </c>
      <c r="H379" s="37" t="str">
        <f t="shared" si="73"/>
        <v/>
      </c>
      <c r="I379" s="16" t="str">
        <f t="shared" si="75"/>
        <v/>
      </c>
      <c r="J379" s="38" t="str">
        <f t="shared" si="74"/>
        <v/>
      </c>
      <c r="K379" s="38" t="str">
        <f t="shared" si="74"/>
        <v/>
      </c>
      <c r="L379" s="38" t="str">
        <f t="shared" si="74"/>
        <v/>
      </c>
      <c r="M379" s="17" t="str">
        <f t="shared" si="76"/>
        <v/>
      </c>
      <c r="N379" s="16" t="str">
        <f t="shared" si="77"/>
        <v/>
      </c>
      <c r="O379" s="54">
        <v>3</v>
      </c>
      <c r="P379" s="56">
        <v>4</v>
      </c>
    </row>
    <row r="380" spans="1:19" ht="24" customHeight="1">
      <c r="A380" s="11">
        <v>4</v>
      </c>
      <c r="B380" s="12" t="str">
        <f t="shared" si="72"/>
        <v/>
      </c>
      <c r="C380" s="13"/>
      <c r="D380" s="32" t="str">
        <f t="shared" si="73"/>
        <v/>
      </c>
      <c r="E380" s="37" t="str">
        <f t="shared" si="73"/>
        <v/>
      </c>
      <c r="F380" s="37" t="str">
        <f t="shared" si="73"/>
        <v/>
      </c>
      <c r="G380" s="37" t="str">
        <f t="shared" si="73"/>
        <v/>
      </c>
      <c r="H380" s="37" t="str">
        <f t="shared" si="73"/>
        <v/>
      </c>
      <c r="I380" s="16" t="str">
        <f t="shared" si="75"/>
        <v/>
      </c>
      <c r="J380" s="38" t="str">
        <f t="shared" si="74"/>
        <v/>
      </c>
      <c r="K380" s="38" t="str">
        <f t="shared" si="74"/>
        <v/>
      </c>
      <c r="L380" s="38" t="str">
        <f t="shared" si="74"/>
        <v/>
      </c>
      <c r="M380" s="17" t="str">
        <f t="shared" si="76"/>
        <v/>
      </c>
      <c r="N380" s="16" t="str">
        <f t="shared" si="77"/>
        <v/>
      </c>
      <c r="O380" s="55"/>
      <c r="P380" s="57"/>
    </row>
    <row r="381" spans="1:19" ht="24" hidden="1" customHeight="1">
      <c r="A381" s="11">
        <v>5</v>
      </c>
      <c r="B381" s="12" t="str">
        <f t="shared" si="72"/>
        <v/>
      </c>
      <c r="C381" s="13"/>
      <c r="D381" s="32" t="str">
        <f t="shared" si="73"/>
        <v/>
      </c>
      <c r="E381" s="37" t="str">
        <f t="shared" si="73"/>
        <v/>
      </c>
      <c r="F381" s="37" t="str">
        <f t="shared" si="73"/>
        <v/>
      </c>
      <c r="G381" s="37" t="str">
        <f t="shared" si="73"/>
        <v/>
      </c>
      <c r="H381" s="37" t="str">
        <f t="shared" si="73"/>
        <v/>
      </c>
      <c r="I381" s="16" t="str">
        <f t="shared" si="75"/>
        <v/>
      </c>
      <c r="J381" s="38" t="str">
        <f t="shared" si="74"/>
        <v/>
      </c>
      <c r="K381" s="38" t="str">
        <f t="shared" si="74"/>
        <v/>
      </c>
      <c r="L381" s="38" t="str">
        <f t="shared" si="74"/>
        <v/>
      </c>
      <c r="M381" s="17" t="str">
        <f t="shared" si="76"/>
        <v/>
      </c>
      <c r="N381" s="16" t="str">
        <f t="shared" si="77"/>
        <v/>
      </c>
      <c r="O381" s="58">
        <v>5</v>
      </c>
      <c r="P381" s="59">
        <v>6</v>
      </c>
    </row>
    <row r="382" spans="1:19" ht="24" hidden="1" customHeight="1">
      <c r="A382" s="11">
        <v>6</v>
      </c>
      <c r="B382" s="12" t="str">
        <f t="shared" si="72"/>
        <v/>
      </c>
      <c r="C382" s="13"/>
      <c r="D382" s="32" t="str">
        <f t="shared" si="73"/>
        <v/>
      </c>
      <c r="E382" s="37" t="str">
        <f t="shared" si="73"/>
        <v/>
      </c>
      <c r="F382" s="37" t="str">
        <f t="shared" si="73"/>
        <v/>
      </c>
      <c r="G382" s="37" t="str">
        <f t="shared" si="73"/>
        <v/>
      </c>
      <c r="H382" s="37" t="str">
        <f t="shared" si="73"/>
        <v/>
      </c>
      <c r="I382" s="16" t="str">
        <f t="shared" si="75"/>
        <v/>
      </c>
      <c r="J382" s="38" t="str">
        <f t="shared" si="74"/>
        <v/>
      </c>
      <c r="K382" s="38" t="str">
        <f t="shared" si="74"/>
        <v/>
      </c>
      <c r="L382" s="38" t="str">
        <f t="shared" si="74"/>
        <v/>
      </c>
      <c r="M382" s="17" t="str">
        <f t="shared" si="76"/>
        <v/>
      </c>
      <c r="N382" s="16" t="str">
        <f t="shared" si="77"/>
        <v/>
      </c>
      <c r="O382" s="58"/>
      <c r="P382" s="59"/>
    </row>
    <row r="383" spans="1:19" s="21" customFormat="1" ht="22.5" customHeight="1">
      <c r="A383" s="60" t="s">
        <v>20</v>
      </c>
      <c r="B383" s="61"/>
      <c r="C383" s="61"/>
      <c r="D383" s="61"/>
      <c r="E383" s="61"/>
      <c r="F383" s="61"/>
      <c r="G383" s="61"/>
      <c r="H383" s="36"/>
      <c r="I383" s="18">
        <f>SUM(I377:I382)</f>
        <v>550000</v>
      </c>
      <c r="J383" s="36"/>
      <c r="K383" s="36"/>
      <c r="L383" s="36"/>
      <c r="M383" s="19">
        <f>SUM(M377:M382)</f>
        <v>0</v>
      </c>
      <c r="N383" s="18">
        <f>SUM(N377:N382)</f>
        <v>550000</v>
      </c>
      <c r="O383" s="20"/>
      <c r="P383" s="20"/>
      <c r="S383" s="22"/>
    </row>
    <row r="384" spans="1:19" ht="23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N384" s="23"/>
    </row>
    <row r="385" spans="1:19" ht="17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O385" s="24" t="s">
        <v>83</v>
      </c>
    </row>
    <row r="386" spans="1:19" ht="18" customHeight="1">
      <c r="A386" s="8"/>
      <c r="C386" s="24" t="s">
        <v>21</v>
      </c>
      <c r="D386" s="24"/>
      <c r="E386" s="24"/>
      <c r="F386" s="24"/>
      <c r="G386" s="24"/>
      <c r="H386" s="24"/>
      <c r="I386" s="24"/>
      <c r="J386" s="24"/>
      <c r="K386" s="24"/>
      <c r="L386" s="8"/>
      <c r="O386" s="24" t="s">
        <v>88</v>
      </c>
    </row>
    <row r="387" spans="1:19">
      <c r="A387" s="8"/>
      <c r="C387" s="24" t="s">
        <v>22</v>
      </c>
      <c r="D387" s="24"/>
      <c r="E387" s="24"/>
      <c r="F387" s="24"/>
      <c r="G387" s="24"/>
      <c r="H387" s="24"/>
      <c r="I387" s="24"/>
      <c r="J387" s="24"/>
      <c r="K387" s="24"/>
      <c r="L387" s="8"/>
      <c r="O387" s="24" t="s">
        <v>23</v>
      </c>
    </row>
    <row r="388" spans="1:19">
      <c r="A388" s="8"/>
      <c r="C388" s="24"/>
      <c r="D388" s="24"/>
      <c r="E388" s="24"/>
      <c r="F388" s="24"/>
      <c r="G388" s="24"/>
      <c r="H388" s="24"/>
      <c r="I388" s="24"/>
      <c r="J388" s="24"/>
      <c r="K388" s="24"/>
      <c r="L388" s="8"/>
      <c r="O388" s="25"/>
      <c r="S388" s="26"/>
    </row>
    <row r="389" spans="1:19">
      <c r="A389" s="8"/>
      <c r="C389" s="24"/>
      <c r="D389" s="24"/>
      <c r="E389" s="24"/>
      <c r="F389" s="24"/>
      <c r="G389" s="24"/>
      <c r="H389" s="24"/>
      <c r="I389" s="24"/>
      <c r="J389" s="24"/>
      <c r="K389" s="24"/>
      <c r="L389" s="8"/>
      <c r="O389" s="25"/>
    </row>
    <row r="390" spans="1:19">
      <c r="A390" s="8"/>
      <c r="C390" s="24"/>
      <c r="D390" s="24"/>
      <c r="E390" s="24"/>
      <c r="F390" s="24"/>
      <c r="G390" s="24"/>
      <c r="H390" s="24"/>
      <c r="I390" s="24"/>
      <c r="J390" s="24"/>
      <c r="K390" s="24"/>
      <c r="L390" s="8"/>
      <c r="O390" s="25"/>
    </row>
    <row r="391" spans="1:19">
      <c r="A391" s="8"/>
      <c r="C391" s="24"/>
      <c r="D391" s="24"/>
      <c r="E391" s="24"/>
      <c r="F391" s="24"/>
      <c r="G391" s="24"/>
      <c r="H391" s="24"/>
      <c r="I391" s="24"/>
      <c r="J391" s="24"/>
      <c r="K391" s="24"/>
      <c r="L391" s="8"/>
      <c r="O391" s="25"/>
    </row>
    <row r="392" spans="1:19">
      <c r="A392" s="8"/>
      <c r="C392" s="24"/>
      <c r="D392" s="24"/>
      <c r="E392" s="24"/>
      <c r="F392" s="24"/>
      <c r="G392" s="24"/>
      <c r="H392" s="24"/>
      <c r="I392" s="24"/>
      <c r="J392" s="24"/>
      <c r="K392" s="24"/>
      <c r="L392" s="8"/>
      <c r="O392" s="25"/>
    </row>
    <row r="393" spans="1:19" ht="15" customHeight="1">
      <c r="A393" s="8"/>
      <c r="C393" s="27" t="str">
        <f>IF(C356="","",C356)</f>
        <v>BADRUDDIN, S.Ag.</v>
      </c>
      <c r="D393" s="28"/>
      <c r="E393" s="28"/>
      <c r="F393" s="28"/>
      <c r="G393" s="28"/>
      <c r="H393" s="28"/>
      <c r="I393" s="28"/>
      <c r="J393" s="28"/>
      <c r="K393" s="8"/>
      <c r="L393" s="8"/>
      <c r="O393" s="27" t="s">
        <v>76</v>
      </c>
    </row>
    <row r="394" spans="1:19" ht="15" customHeight="1">
      <c r="A394" s="8"/>
      <c r="C394" s="27" t="str">
        <f>IF(C357="","",C357)</f>
        <v>NIP. 197405082014121002</v>
      </c>
      <c r="D394" s="28"/>
      <c r="E394" s="28"/>
      <c r="F394" s="28"/>
      <c r="G394" s="28"/>
      <c r="H394" s="28"/>
      <c r="I394" s="28"/>
      <c r="J394" s="28"/>
      <c r="K394" s="8"/>
      <c r="L394" s="8"/>
      <c r="O394" s="27" t="s">
        <v>77</v>
      </c>
    </row>
    <row r="404" spans="1:16" ht="17.25" customHeight="1">
      <c r="A404" s="64" t="str">
        <f>$A$1</f>
        <v>DAFTAR PENERIMA HONORARIUM/GAJI TENAGA PERPUSTAKAAN TIDAK TETAP (PEMBAYARAN NON TUNAI)</v>
      </c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</row>
    <row r="405" spans="1:16" ht="17.25" customHeight="1">
      <c r="A405" s="64" t="s">
        <v>84</v>
      </c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</row>
    <row r="406" spans="1:16" ht="1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15" customHeight="1">
      <c r="C407" s="4" t="s">
        <v>0</v>
      </c>
      <c r="D407" s="5" t="s">
        <v>1</v>
      </c>
      <c r="E407" s="5"/>
      <c r="F407" s="5"/>
      <c r="G407" s="5"/>
      <c r="H407" s="5"/>
      <c r="I407" s="5"/>
      <c r="K407" s="6"/>
      <c r="L407" s="7"/>
      <c r="M407" s="4" t="s">
        <v>26</v>
      </c>
      <c r="N407" s="4" t="str">
        <f>N370</f>
        <v>: 07 Pengembangan Standar Pembiayaan</v>
      </c>
      <c r="O407" s="3"/>
    </row>
    <row r="408" spans="1:16" ht="15" customHeight="1">
      <c r="C408" s="4" t="s">
        <v>2</v>
      </c>
      <c r="D408" s="4" t="str">
        <f>D371</f>
        <v>: SD NEGERI LEBAKLEUNGSIR</v>
      </c>
      <c r="E408" s="4"/>
      <c r="F408" s="4"/>
      <c r="G408" s="4"/>
      <c r="H408" s="4"/>
      <c r="I408" s="4"/>
      <c r="K408" s="6"/>
      <c r="M408" s="4" t="s">
        <v>27</v>
      </c>
      <c r="N408" s="4" t="str">
        <f>N371</f>
        <v>: Pembayaran Honor (Tenaga Perpustakaan)</v>
      </c>
      <c r="O408" s="3"/>
    </row>
    <row r="409" spans="1:16" ht="15" customHeight="1">
      <c r="C409" s="4" t="s">
        <v>3</v>
      </c>
      <c r="D409" s="4" t="str">
        <f>D372</f>
        <v>: Cikalongwetan</v>
      </c>
      <c r="E409" s="4"/>
      <c r="F409" s="4"/>
      <c r="G409" s="4"/>
      <c r="H409" s="4"/>
      <c r="I409" s="4"/>
      <c r="K409" s="6"/>
      <c r="M409" s="8" t="s">
        <v>28</v>
      </c>
      <c r="N409" s="4" t="str">
        <f>N372</f>
        <v>: 5.1.02.02.01.0013</v>
      </c>
      <c r="O409" s="3"/>
    </row>
    <row r="410" spans="1:16" ht="15" customHeight="1">
      <c r="C410" s="4" t="s">
        <v>5</v>
      </c>
      <c r="D410" s="4" t="str">
        <f>D373</f>
        <v>: Bandung Barat</v>
      </c>
      <c r="E410" s="4"/>
      <c r="F410" s="4"/>
      <c r="G410" s="4"/>
      <c r="H410" s="4"/>
      <c r="I410" s="4"/>
      <c r="K410" s="6"/>
      <c r="M410" s="4" t="s">
        <v>7</v>
      </c>
      <c r="N410" s="4" t="str">
        <f>N373</f>
        <v>: 12</v>
      </c>
      <c r="O410" s="3"/>
      <c r="P410" s="8"/>
    </row>
    <row r="411" spans="1:16" ht="15" customHeight="1">
      <c r="M411" s="8"/>
      <c r="N411" s="8"/>
      <c r="O411" s="8"/>
    </row>
    <row r="412" spans="1:16" ht="18.5" customHeight="1">
      <c r="A412" s="62" t="s">
        <v>8</v>
      </c>
      <c r="B412" s="65" t="s">
        <v>9</v>
      </c>
      <c r="C412" s="66"/>
      <c r="D412" s="62" t="s">
        <v>10</v>
      </c>
      <c r="E412" s="69" t="s">
        <v>72</v>
      </c>
      <c r="F412" s="70"/>
      <c r="G412" s="70"/>
      <c r="H412" s="71"/>
      <c r="I412" s="72" t="s">
        <v>14</v>
      </c>
      <c r="J412" s="72" t="s">
        <v>11</v>
      </c>
      <c r="K412" s="65" t="s">
        <v>12</v>
      </c>
      <c r="L412" s="66"/>
      <c r="M412" s="74" t="s">
        <v>31</v>
      </c>
      <c r="N412" s="72" t="s">
        <v>16</v>
      </c>
      <c r="O412" s="65" t="s">
        <v>17</v>
      </c>
      <c r="P412" s="66"/>
    </row>
    <row r="413" spans="1:16" ht="34" customHeight="1">
      <c r="A413" s="63"/>
      <c r="B413" s="67"/>
      <c r="C413" s="68"/>
      <c r="D413" s="63"/>
      <c r="E413" s="35" t="str">
        <f>IF(E376="","",E376)</f>
        <v>Tenaga Perpustakaan</v>
      </c>
      <c r="F413" s="35" t="str">
        <f t="shared" ref="F413:H413" si="78">IF(F376="","",F376)</f>
        <v>Pembina Ekskul</v>
      </c>
      <c r="G413" s="35" t="str">
        <f t="shared" si="78"/>
        <v>Guru</v>
      </c>
      <c r="H413" s="39" t="str">
        <f t="shared" si="78"/>
        <v>TAS/ Operator</v>
      </c>
      <c r="I413" s="73"/>
      <c r="J413" s="73"/>
      <c r="K413" s="67"/>
      <c r="L413" s="68"/>
      <c r="M413" s="75"/>
      <c r="N413" s="73"/>
      <c r="O413" s="67"/>
      <c r="P413" s="68"/>
    </row>
    <row r="414" spans="1:16" ht="24" customHeight="1">
      <c r="A414" s="11">
        <v>1</v>
      </c>
      <c r="B414" s="12" t="str">
        <f>IF(B377="","",B377)</f>
        <v>LINDAWATI</v>
      </c>
      <c r="C414" s="13"/>
      <c r="D414" s="32" t="str">
        <f>IF(D377="","",D377)</f>
        <v>Tenaga Perpustakaan</v>
      </c>
      <c r="E414" s="37">
        <f>IF(E377="","",E377)</f>
        <v>300000</v>
      </c>
      <c r="F414" s="37">
        <f>IF(F377="","",F377)</f>
        <v>100000</v>
      </c>
      <c r="G414" s="37" t="str">
        <f>IF(G377="","",G377)</f>
        <v>-</v>
      </c>
      <c r="H414" s="37">
        <f>IF(H377="","",H377)</f>
        <v>150000</v>
      </c>
      <c r="I414" s="16">
        <f>IF(B414="","",SUM(E414:H414))</f>
        <v>550000</v>
      </c>
      <c r="J414" s="38" t="str">
        <f t="shared" ref="J414:L419" si="79">IF(J377="","",J377)</f>
        <v>PTT</v>
      </c>
      <c r="K414" s="38">
        <f t="shared" si="79"/>
        <v>1</v>
      </c>
      <c r="L414" s="38" t="str">
        <f t="shared" si="79"/>
        <v>Bulan</v>
      </c>
      <c r="M414" s="17">
        <f>IFERROR(I414*0/100,"")</f>
        <v>0</v>
      </c>
      <c r="N414" s="16">
        <f>IFERROR(SUM(I414*K414)-M414,"")</f>
        <v>550000</v>
      </c>
      <c r="O414" s="54">
        <v>1</v>
      </c>
      <c r="P414" s="56">
        <v>2</v>
      </c>
    </row>
    <row r="415" spans="1:16" ht="24" customHeight="1">
      <c r="A415" s="11">
        <v>2</v>
      </c>
      <c r="B415" s="12" t="str">
        <f>IF(B378="","",B378)</f>
        <v/>
      </c>
      <c r="C415" s="13"/>
      <c r="D415" s="32" t="str">
        <f>IF(D378="","",D378)</f>
        <v/>
      </c>
      <c r="E415" s="37" t="str">
        <f t="shared" ref="E415:H415" si="80">IF(E378="","",E378)</f>
        <v/>
      </c>
      <c r="F415" s="37" t="str">
        <f t="shared" si="80"/>
        <v/>
      </c>
      <c r="G415" s="37" t="str">
        <f t="shared" si="80"/>
        <v/>
      </c>
      <c r="H415" s="37" t="str">
        <f t="shared" si="80"/>
        <v/>
      </c>
      <c r="I415" s="16" t="str">
        <f t="shared" ref="I415:I419" si="81">IF(B415="","",SUM(E415:H415))</f>
        <v/>
      </c>
      <c r="J415" s="38" t="str">
        <f t="shared" si="79"/>
        <v/>
      </c>
      <c r="K415" s="38" t="str">
        <f t="shared" si="79"/>
        <v/>
      </c>
      <c r="L415" s="38" t="str">
        <f t="shared" si="79"/>
        <v/>
      </c>
      <c r="M415" s="17" t="str">
        <f t="shared" ref="M415:M419" si="82">IFERROR(I415*0/100,"")</f>
        <v/>
      </c>
      <c r="N415" s="16" t="str">
        <f t="shared" ref="N415:N419" si="83">IFERROR(SUM(I415*K415)-M415,"")</f>
        <v/>
      </c>
      <c r="O415" s="55"/>
      <c r="P415" s="57"/>
    </row>
    <row r="416" spans="1:16" ht="24" customHeight="1">
      <c r="A416" s="11">
        <v>3</v>
      </c>
      <c r="B416" s="12" t="str">
        <f t="shared" ref="B416:B419" si="84">IF(B379="","",B379)</f>
        <v/>
      </c>
      <c r="C416" s="13"/>
      <c r="D416" s="32" t="str">
        <f t="shared" ref="D416:H419" si="85">IF(D379="","",D379)</f>
        <v/>
      </c>
      <c r="E416" s="37" t="str">
        <f t="shared" si="85"/>
        <v/>
      </c>
      <c r="F416" s="37" t="str">
        <f t="shared" si="85"/>
        <v>-</v>
      </c>
      <c r="G416" s="37" t="str">
        <f t="shared" si="85"/>
        <v>-</v>
      </c>
      <c r="H416" s="37" t="str">
        <f t="shared" si="85"/>
        <v/>
      </c>
      <c r="I416" s="16" t="str">
        <f t="shared" si="81"/>
        <v/>
      </c>
      <c r="J416" s="38" t="str">
        <f t="shared" si="79"/>
        <v/>
      </c>
      <c r="K416" s="38" t="str">
        <f t="shared" si="79"/>
        <v/>
      </c>
      <c r="L416" s="38" t="str">
        <f t="shared" si="79"/>
        <v/>
      </c>
      <c r="M416" s="17" t="str">
        <f t="shared" si="82"/>
        <v/>
      </c>
      <c r="N416" s="16" t="str">
        <f t="shared" si="83"/>
        <v/>
      </c>
      <c r="O416" s="54">
        <v>3</v>
      </c>
      <c r="P416" s="56">
        <v>4</v>
      </c>
    </row>
    <row r="417" spans="1:19" ht="24" customHeight="1">
      <c r="A417" s="11">
        <v>4</v>
      </c>
      <c r="B417" s="12" t="str">
        <f t="shared" si="84"/>
        <v/>
      </c>
      <c r="C417" s="13"/>
      <c r="D417" s="32" t="str">
        <f t="shared" si="85"/>
        <v/>
      </c>
      <c r="E417" s="37" t="str">
        <f t="shared" si="85"/>
        <v/>
      </c>
      <c r="F417" s="37" t="str">
        <f t="shared" si="85"/>
        <v/>
      </c>
      <c r="G417" s="37" t="str">
        <f t="shared" si="85"/>
        <v/>
      </c>
      <c r="H417" s="37" t="str">
        <f t="shared" si="85"/>
        <v/>
      </c>
      <c r="I417" s="16" t="str">
        <f t="shared" si="81"/>
        <v/>
      </c>
      <c r="J417" s="38" t="str">
        <f t="shared" si="79"/>
        <v/>
      </c>
      <c r="K417" s="38" t="str">
        <f t="shared" si="79"/>
        <v/>
      </c>
      <c r="L417" s="38" t="str">
        <f t="shared" si="79"/>
        <v/>
      </c>
      <c r="M417" s="17" t="str">
        <f t="shared" si="82"/>
        <v/>
      </c>
      <c r="N417" s="16" t="str">
        <f t="shared" si="83"/>
        <v/>
      </c>
      <c r="O417" s="55"/>
      <c r="P417" s="57"/>
    </row>
    <row r="418" spans="1:19" ht="24" hidden="1" customHeight="1">
      <c r="A418" s="11">
        <v>5</v>
      </c>
      <c r="B418" s="12" t="str">
        <f t="shared" si="84"/>
        <v/>
      </c>
      <c r="C418" s="13"/>
      <c r="D418" s="32" t="str">
        <f t="shared" si="85"/>
        <v/>
      </c>
      <c r="E418" s="37" t="str">
        <f t="shared" si="85"/>
        <v/>
      </c>
      <c r="F418" s="37" t="str">
        <f t="shared" si="85"/>
        <v/>
      </c>
      <c r="G418" s="37" t="str">
        <f t="shared" si="85"/>
        <v/>
      </c>
      <c r="H418" s="37" t="str">
        <f t="shared" si="85"/>
        <v/>
      </c>
      <c r="I418" s="16" t="str">
        <f t="shared" si="81"/>
        <v/>
      </c>
      <c r="J418" s="38" t="str">
        <f t="shared" si="79"/>
        <v/>
      </c>
      <c r="K418" s="38" t="str">
        <f t="shared" si="79"/>
        <v/>
      </c>
      <c r="L418" s="38" t="str">
        <f t="shared" si="79"/>
        <v/>
      </c>
      <c r="M418" s="17" t="str">
        <f t="shared" si="82"/>
        <v/>
      </c>
      <c r="N418" s="16" t="str">
        <f t="shared" si="83"/>
        <v/>
      </c>
      <c r="O418" s="58">
        <v>5</v>
      </c>
      <c r="P418" s="59">
        <v>6</v>
      </c>
    </row>
    <row r="419" spans="1:19" ht="24" hidden="1" customHeight="1">
      <c r="A419" s="11">
        <v>6</v>
      </c>
      <c r="B419" s="12" t="str">
        <f t="shared" si="84"/>
        <v/>
      </c>
      <c r="C419" s="13"/>
      <c r="D419" s="32" t="str">
        <f t="shared" si="85"/>
        <v/>
      </c>
      <c r="E419" s="37" t="str">
        <f t="shared" si="85"/>
        <v/>
      </c>
      <c r="F419" s="37" t="str">
        <f t="shared" si="85"/>
        <v/>
      </c>
      <c r="G419" s="37" t="str">
        <f t="shared" si="85"/>
        <v/>
      </c>
      <c r="H419" s="37" t="str">
        <f t="shared" si="85"/>
        <v/>
      </c>
      <c r="I419" s="16" t="str">
        <f t="shared" si="81"/>
        <v/>
      </c>
      <c r="J419" s="38" t="str">
        <f t="shared" si="79"/>
        <v/>
      </c>
      <c r="K419" s="38" t="str">
        <f t="shared" si="79"/>
        <v/>
      </c>
      <c r="L419" s="38" t="str">
        <f t="shared" si="79"/>
        <v/>
      </c>
      <c r="M419" s="17" t="str">
        <f t="shared" si="82"/>
        <v/>
      </c>
      <c r="N419" s="16" t="str">
        <f t="shared" si="83"/>
        <v/>
      </c>
      <c r="O419" s="58"/>
      <c r="P419" s="59"/>
    </row>
    <row r="420" spans="1:19" s="21" customFormat="1" ht="22.5" customHeight="1">
      <c r="A420" s="60" t="s">
        <v>20</v>
      </c>
      <c r="B420" s="61"/>
      <c r="C420" s="61"/>
      <c r="D420" s="61"/>
      <c r="E420" s="61"/>
      <c r="F420" s="61"/>
      <c r="G420" s="61"/>
      <c r="H420" s="36"/>
      <c r="I420" s="18">
        <f>SUM(I414:I419)</f>
        <v>550000</v>
      </c>
      <c r="J420" s="36"/>
      <c r="K420" s="36"/>
      <c r="L420" s="36"/>
      <c r="M420" s="19">
        <f>SUM(M414:M419)</f>
        <v>0</v>
      </c>
      <c r="N420" s="18">
        <f>SUM(N414:N419)</f>
        <v>550000</v>
      </c>
      <c r="O420" s="20"/>
      <c r="P420" s="20"/>
      <c r="S420" s="22"/>
    </row>
    <row r="421" spans="1:19" ht="23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N421" s="23"/>
    </row>
    <row r="422" spans="1:19" ht="17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O422" s="24" t="s">
        <v>85</v>
      </c>
    </row>
    <row r="423" spans="1:19" ht="18" customHeight="1">
      <c r="A423" s="8"/>
      <c r="C423" s="24" t="s">
        <v>21</v>
      </c>
      <c r="D423" s="24"/>
      <c r="E423" s="24"/>
      <c r="F423" s="24"/>
      <c r="G423" s="24"/>
      <c r="H423" s="24"/>
      <c r="I423" s="24"/>
      <c r="J423" s="24"/>
      <c r="K423" s="24"/>
      <c r="L423" s="8"/>
      <c r="O423" s="24" t="s">
        <v>89</v>
      </c>
    </row>
    <row r="424" spans="1:19">
      <c r="A424" s="8"/>
      <c r="C424" s="24" t="s">
        <v>22</v>
      </c>
      <c r="D424" s="24"/>
      <c r="E424" s="24"/>
      <c r="F424" s="24"/>
      <c r="G424" s="24"/>
      <c r="H424" s="24"/>
      <c r="I424" s="24"/>
      <c r="J424" s="24"/>
      <c r="K424" s="24"/>
      <c r="L424" s="8"/>
      <c r="O424" s="24" t="s">
        <v>23</v>
      </c>
    </row>
    <row r="425" spans="1:19">
      <c r="A425" s="8"/>
      <c r="C425" s="24"/>
      <c r="D425" s="24"/>
      <c r="E425" s="24"/>
      <c r="F425" s="24"/>
      <c r="G425" s="24"/>
      <c r="H425" s="24"/>
      <c r="I425" s="24"/>
      <c r="J425" s="24"/>
      <c r="K425" s="24"/>
      <c r="L425" s="8"/>
      <c r="O425" s="25"/>
      <c r="S425" s="26"/>
    </row>
    <row r="426" spans="1:19">
      <c r="A426" s="8"/>
      <c r="C426" s="24"/>
      <c r="D426" s="24"/>
      <c r="E426" s="24"/>
      <c r="F426" s="24"/>
      <c r="G426" s="24"/>
      <c r="H426" s="24"/>
      <c r="I426" s="24"/>
      <c r="J426" s="24"/>
      <c r="K426" s="24"/>
      <c r="L426" s="8"/>
      <c r="O426" s="25"/>
    </row>
    <row r="427" spans="1:19">
      <c r="A427" s="8"/>
      <c r="C427" s="24"/>
      <c r="D427" s="24"/>
      <c r="E427" s="24"/>
      <c r="F427" s="24"/>
      <c r="G427" s="24"/>
      <c r="H427" s="24"/>
      <c r="I427" s="24"/>
      <c r="J427" s="24"/>
      <c r="K427" s="24"/>
      <c r="L427" s="8"/>
      <c r="O427" s="25"/>
    </row>
    <row r="428" spans="1:19">
      <c r="A428" s="8"/>
      <c r="C428" s="24"/>
      <c r="D428" s="24"/>
      <c r="E428" s="24"/>
      <c r="F428" s="24"/>
      <c r="G428" s="24"/>
      <c r="H428" s="24"/>
      <c r="I428" s="24"/>
      <c r="J428" s="24"/>
      <c r="K428" s="24"/>
      <c r="L428" s="8"/>
      <c r="O428" s="25"/>
    </row>
    <row r="429" spans="1:19">
      <c r="A429" s="8"/>
      <c r="C429" s="24"/>
      <c r="D429" s="24"/>
      <c r="E429" s="24"/>
      <c r="F429" s="24"/>
      <c r="G429" s="24"/>
      <c r="H429" s="24"/>
      <c r="I429" s="24"/>
      <c r="J429" s="24"/>
      <c r="K429" s="24"/>
      <c r="L429" s="8"/>
      <c r="O429" s="25"/>
    </row>
    <row r="430" spans="1:19" ht="15" customHeight="1">
      <c r="A430" s="8"/>
      <c r="C430" s="27" t="str">
        <f>IF(C393="","",C393)</f>
        <v>BADRUDDIN, S.Ag.</v>
      </c>
      <c r="D430" s="28"/>
      <c r="E430" s="28"/>
      <c r="F430" s="28"/>
      <c r="G430" s="28"/>
      <c r="H430" s="28"/>
      <c r="I430" s="28"/>
      <c r="J430" s="28"/>
      <c r="K430" s="8"/>
      <c r="L430" s="8"/>
      <c r="O430" s="27" t="s">
        <v>76</v>
      </c>
    </row>
    <row r="431" spans="1:19" ht="15" customHeight="1">
      <c r="A431" s="8"/>
      <c r="C431" s="27" t="str">
        <f>IF(C394="","",C394)</f>
        <v>NIP. 197405082014121002</v>
      </c>
      <c r="D431" s="28"/>
      <c r="E431" s="28"/>
      <c r="F431" s="28"/>
      <c r="G431" s="28"/>
      <c r="H431" s="28"/>
      <c r="I431" s="28"/>
      <c r="J431" s="28"/>
      <c r="K431" s="8"/>
      <c r="L431" s="8"/>
      <c r="O431" s="27" t="s">
        <v>77</v>
      </c>
    </row>
  </sheetData>
  <mergeCells count="227">
    <mergeCell ref="N9:N10"/>
    <mergeCell ref="O9:P10"/>
    <mergeCell ref="O11:O12"/>
    <mergeCell ref="P11:P12"/>
    <mergeCell ref="O13:O14"/>
    <mergeCell ref="P13:P14"/>
    <mergeCell ref="A1:P1"/>
    <mergeCell ref="A2:P2"/>
    <mergeCell ref="A9:A10"/>
    <mergeCell ref="B9:C10"/>
    <mergeCell ref="D9:D10"/>
    <mergeCell ref="E9:H9"/>
    <mergeCell ref="I9:I10"/>
    <mergeCell ref="J9:J10"/>
    <mergeCell ref="K9:L10"/>
    <mergeCell ref="M9:M10"/>
    <mergeCell ref="O15:O16"/>
    <mergeCell ref="P15:P16"/>
    <mergeCell ref="A36:P36"/>
    <mergeCell ref="A37:P37"/>
    <mergeCell ref="A44:A45"/>
    <mergeCell ref="B44:C45"/>
    <mergeCell ref="D44:D45"/>
    <mergeCell ref="E44:H44"/>
    <mergeCell ref="I44:I45"/>
    <mergeCell ref="O48:O49"/>
    <mergeCell ref="P48:P49"/>
    <mergeCell ref="O50:O51"/>
    <mergeCell ref="P50:P51"/>
    <mergeCell ref="A52:G52"/>
    <mergeCell ref="A71:P71"/>
    <mergeCell ref="J44:J45"/>
    <mergeCell ref="K44:L45"/>
    <mergeCell ref="M44:M45"/>
    <mergeCell ref="N44:N45"/>
    <mergeCell ref="O44:P45"/>
    <mergeCell ref="O46:O47"/>
    <mergeCell ref="P46:P47"/>
    <mergeCell ref="O79:P80"/>
    <mergeCell ref="O81:O82"/>
    <mergeCell ref="P81:P82"/>
    <mergeCell ref="O83:O84"/>
    <mergeCell ref="P83:P84"/>
    <mergeCell ref="O85:O86"/>
    <mergeCell ref="P85:P86"/>
    <mergeCell ref="A72:P72"/>
    <mergeCell ref="A79:A80"/>
    <mergeCell ref="B79:C80"/>
    <mergeCell ref="D79:D80"/>
    <mergeCell ref="E79:H79"/>
    <mergeCell ref="I79:I80"/>
    <mergeCell ref="J79:J80"/>
    <mergeCell ref="K79:L80"/>
    <mergeCell ref="M79:M80"/>
    <mergeCell ref="N79:N80"/>
    <mergeCell ref="M114:M115"/>
    <mergeCell ref="N114:N115"/>
    <mergeCell ref="O114:P115"/>
    <mergeCell ref="O116:O117"/>
    <mergeCell ref="P116:P117"/>
    <mergeCell ref="O118:O119"/>
    <mergeCell ref="P118:P119"/>
    <mergeCell ref="A87:G87"/>
    <mergeCell ref="A106:P106"/>
    <mergeCell ref="A107:P107"/>
    <mergeCell ref="A114:A115"/>
    <mergeCell ref="B114:C115"/>
    <mergeCell ref="D114:D115"/>
    <mergeCell ref="E114:H114"/>
    <mergeCell ref="I114:I115"/>
    <mergeCell ref="J114:J115"/>
    <mergeCell ref="K114:L115"/>
    <mergeCell ref="O120:O121"/>
    <mergeCell ref="P120:P121"/>
    <mergeCell ref="A122:G122"/>
    <mergeCell ref="A141:P141"/>
    <mergeCell ref="A142:P142"/>
    <mergeCell ref="A149:A150"/>
    <mergeCell ref="B149:C150"/>
    <mergeCell ref="D149:D150"/>
    <mergeCell ref="E149:H149"/>
    <mergeCell ref="I149:I150"/>
    <mergeCell ref="O153:O154"/>
    <mergeCell ref="P153:P154"/>
    <mergeCell ref="O155:O156"/>
    <mergeCell ref="P155:P156"/>
    <mergeCell ref="A157:G157"/>
    <mergeCell ref="A176:P176"/>
    <mergeCell ref="J149:J150"/>
    <mergeCell ref="K149:L150"/>
    <mergeCell ref="M149:M150"/>
    <mergeCell ref="N149:N150"/>
    <mergeCell ref="O149:P150"/>
    <mergeCell ref="O151:O152"/>
    <mergeCell ref="P151:P152"/>
    <mergeCell ref="O184:P185"/>
    <mergeCell ref="O186:O187"/>
    <mergeCell ref="P186:P187"/>
    <mergeCell ref="O188:O189"/>
    <mergeCell ref="P188:P189"/>
    <mergeCell ref="O190:O191"/>
    <mergeCell ref="P190:P191"/>
    <mergeCell ref="A177:P177"/>
    <mergeCell ref="A184:A185"/>
    <mergeCell ref="B184:C185"/>
    <mergeCell ref="D184:D185"/>
    <mergeCell ref="E184:H184"/>
    <mergeCell ref="I184:I185"/>
    <mergeCell ref="J184:J185"/>
    <mergeCell ref="K184:L185"/>
    <mergeCell ref="M184:M185"/>
    <mergeCell ref="N184:N185"/>
    <mergeCell ref="M219:M220"/>
    <mergeCell ref="N219:N220"/>
    <mergeCell ref="O219:P220"/>
    <mergeCell ref="O221:O222"/>
    <mergeCell ref="P221:P222"/>
    <mergeCell ref="O223:O224"/>
    <mergeCell ref="P223:P224"/>
    <mergeCell ref="A192:G192"/>
    <mergeCell ref="A211:P211"/>
    <mergeCell ref="A212:P212"/>
    <mergeCell ref="A219:A220"/>
    <mergeCell ref="B219:C220"/>
    <mergeCell ref="D219:D220"/>
    <mergeCell ref="E219:H219"/>
    <mergeCell ref="I219:I220"/>
    <mergeCell ref="J219:J220"/>
    <mergeCell ref="K219:L220"/>
    <mergeCell ref="O225:O226"/>
    <mergeCell ref="P225:P226"/>
    <mergeCell ref="A227:G227"/>
    <mergeCell ref="A252:P252"/>
    <mergeCell ref="A253:P253"/>
    <mergeCell ref="A260:A261"/>
    <mergeCell ref="B260:C261"/>
    <mergeCell ref="D260:D261"/>
    <mergeCell ref="E260:H260"/>
    <mergeCell ref="I260:I261"/>
    <mergeCell ref="O264:O265"/>
    <mergeCell ref="P264:P265"/>
    <mergeCell ref="O266:O267"/>
    <mergeCell ref="P266:P267"/>
    <mergeCell ref="A268:G268"/>
    <mergeCell ref="A293:P293"/>
    <mergeCell ref="J260:J261"/>
    <mergeCell ref="K260:L261"/>
    <mergeCell ref="M260:M261"/>
    <mergeCell ref="N260:N261"/>
    <mergeCell ref="O260:P261"/>
    <mergeCell ref="O262:O263"/>
    <mergeCell ref="P262:P263"/>
    <mergeCell ref="O301:P302"/>
    <mergeCell ref="O303:O304"/>
    <mergeCell ref="P303:P304"/>
    <mergeCell ref="O305:O306"/>
    <mergeCell ref="P305:P306"/>
    <mergeCell ref="O307:O308"/>
    <mergeCell ref="P307:P308"/>
    <mergeCell ref="A294:P294"/>
    <mergeCell ref="A301:A302"/>
    <mergeCell ref="B301:C302"/>
    <mergeCell ref="D301:D302"/>
    <mergeCell ref="E301:H301"/>
    <mergeCell ref="I301:I302"/>
    <mergeCell ref="J301:J302"/>
    <mergeCell ref="K301:L302"/>
    <mergeCell ref="M301:M302"/>
    <mergeCell ref="N301:N302"/>
    <mergeCell ref="M338:M339"/>
    <mergeCell ref="N338:N339"/>
    <mergeCell ref="O338:P339"/>
    <mergeCell ref="O340:O341"/>
    <mergeCell ref="P340:P341"/>
    <mergeCell ref="O342:O343"/>
    <mergeCell ref="P342:P343"/>
    <mergeCell ref="A309:G309"/>
    <mergeCell ref="A330:P330"/>
    <mergeCell ref="A331:P331"/>
    <mergeCell ref="A338:A339"/>
    <mergeCell ref="B338:C339"/>
    <mergeCell ref="D338:D339"/>
    <mergeCell ref="E338:H338"/>
    <mergeCell ref="I338:I339"/>
    <mergeCell ref="J338:J339"/>
    <mergeCell ref="K338:L339"/>
    <mergeCell ref="O344:O345"/>
    <mergeCell ref="P344:P345"/>
    <mergeCell ref="A346:G346"/>
    <mergeCell ref="A367:P367"/>
    <mergeCell ref="A368:P368"/>
    <mergeCell ref="A375:A376"/>
    <mergeCell ref="B375:C376"/>
    <mergeCell ref="D375:D376"/>
    <mergeCell ref="E375:H375"/>
    <mergeCell ref="I375:I376"/>
    <mergeCell ref="O379:O380"/>
    <mergeCell ref="P379:P380"/>
    <mergeCell ref="O381:O382"/>
    <mergeCell ref="P381:P382"/>
    <mergeCell ref="A383:G383"/>
    <mergeCell ref="A404:P404"/>
    <mergeCell ref="J375:J376"/>
    <mergeCell ref="K375:L376"/>
    <mergeCell ref="M375:M376"/>
    <mergeCell ref="N375:N376"/>
    <mergeCell ref="O375:P376"/>
    <mergeCell ref="O377:O378"/>
    <mergeCell ref="P377:P378"/>
    <mergeCell ref="A420:G420"/>
    <mergeCell ref="O412:P413"/>
    <mergeCell ref="O414:O415"/>
    <mergeCell ref="P414:P415"/>
    <mergeCell ref="O416:O417"/>
    <mergeCell ref="P416:P417"/>
    <mergeCell ref="O418:O419"/>
    <mergeCell ref="P418:P419"/>
    <mergeCell ref="A405:P405"/>
    <mergeCell ref="A412:A413"/>
    <mergeCell ref="B412:C413"/>
    <mergeCell ref="D412:D413"/>
    <mergeCell ref="E412:H412"/>
    <mergeCell ref="I412:I413"/>
    <mergeCell ref="J412:J413"/>
    <mergeCell ref="K412:L413"/>
    <mergeCell ref="M412:M413"/>
    <mergeCell ref="N412:N413"/>
  </mergeCells>
  <pageMargins left="0.86614173228346458" right="0.74803149606299213" top="0.94488188976377963" bottom="0.59055118110236227" header="0.31496062992125984" footer="0.31496062992125984"/>
  <pageSetup paperSize="14" scale="98" fitToHeight="0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3128-D955-4972-8D2A-157ED335A722}">
  <sheetPr>
    <tabColor rgb="FFC00000"/>
    <pageSetUpPr fitToPage="1"/>
  </sheetPr>
  <dimension ref="A1:S424"/>
  <sheetViews>
    <sheetView showGridLines="0" zoomScale="80" zoomScaleNormal="80" workbookViewId="0">
      <selection activeCell="N12" sqref="N12"/>
    </sheetView>
  </sheetViews>
  <sheetFormatPr defaultRowHeight="11.5"/>
  <cols>
    <col min="1" max="1" width="4.453125" style="1" customWidth="1"/>
    <col min="2" max="2" width="7.453125" style="1" customWidth="1"/>
    <col min="3" max="3" width="14.36328125" style="1" customWidth="1"/>
    <col min="4" max="4" width="17.6328125" style="1" customWidth="1"/>
    <col min="5" max="5" width="12.54296875" style="1" customWidth="1"/>
    <col min="6" max="8" width="9.81640625" style="1" hidden="1" customWidth="1"/>
    <col min="9" max="9" width="13.6328125" style="1" customWidth="1"/>
    <col min="10" max="10" width="7.81640625" style="1" customWidth="1"/>
    <col min="11" max="11" width="3.7265625" style="1" customWidth="1"/>
    <col min="12" max="12" width="6.6328125" style="1" customWidth="1"/>
    <col min="13" max="13" width="13.6328125" style="1" customWidth="1"/>
    <col min="14" max="14" width="14.81640625" style="1" customWidth="1"/>
    <col min="15" max="16" width="18" style="1" customWidth="1"/>
    <col min="17" max="17" width="5.54296875" style="1" customWidth="1"/>
    <col min="18" max="18" width="15.26953125" style="1" customWidth="1"/>
    <col min="19" max="19" width="35.26953125" style="2" customWidth="1"/>
    <col min="20" max="20" width="10.26953125" style="1" customWidth="1"/>
    <col min="21" max="21" width="12.54296875" style="1" customWidth="1"/>
    <col min="22" max="22" width="16" style="1" customWidth="1"/>
    <col min="23" max="23" width="16.54296875" style="1" customWidth="1"/>
    <col min="24" max="24" width="21.81640625" style="1" customWidth="1"/>
    <col min="25" max="255" width="8.7265625" style="1"/>
    <col min="256" max="256" width="7.81640625" style="1" customWidth="1"/>
    <col min="257" max="257" width="8.54296875" style="1" customWidth="1"/>
    <col min="258" max="258" width="20.1796875" style="1" customWidth="1"/>
    <col min="259" max="259" width="16.453125" style="1" customWidth="1"/>
    <col min="260" max="260" width="22.26953125" style="1" customWidth="1"/>
    <col min="261" max="261" width="17.81640625" style="1" customWidth="1"/>
    <col min="262" max="262" width="22.81640625" style="1" customWidth="1"/>
    <col min="263" max="263" width="25.453125" style="1" customWidth="1"/>
    <col min="264" max="265" width="6.7265625" style="1" customWidth="1"/>
    <col min="266" max="266" width="26.453125" style="1" customWidth="1"/>
    <col min="267" max="267" width="18.54296875" style="1" customWidth="1"/>
    <col min="268" max="268" width="29.81640625" style="1" customWidth="1"/>
    <col min="269" max="269" width="23.54296875" style="1" customWidth="1"/>
    <col min="270" max="270" width="31.453125" style="1" customWidth="1"/>
    <col min="271" max="511" width="8.7265625" style="1"/>
    <col min="512" max="512" width="7.81640625" style="1" customWidth="1"/>
    <col min="513" max="513" width="8.54296875" style="1" customWidth="1"/>
    <col min="514" max="514" width="20.1796875" style="1" customWidth="1"/>
    <col min="515" max="515" width="16.453125" style="1" customWidth="1"/>
    <col min="516" max="516" width="22.26953125" style="1" customWidth="1"/>
    <col min="517" max="517" width="17.81640625" style="1" customWidth="1"/>
    <col min="518" max="518" width="22.81640625" style="1" customWidth="1"/>
    <col min="519" max="519" width="25.453125" style="1" customWidth="1"/>
    <col min="520" max="521" width="6.7265625" style="1" customWidth="1"/>
    <col min="522" max="522" width="26.453125" style="1" customWidth="1"/>
    <col min="523" max="523" width="18.54296875" style="1" customWidth="1"/>
    <col min="524" max="524" width="29.81640625" style="1" customWidth="1"/>
    <col min="525" max="525" width="23.54296875" style="1" customWidth="1"/>
    <col min="526" max="526" width="31.453125" style="1" customWidth="1"/>
    <col min="527" max="767" width="8.7265625" style="1"/>
    <col min="768" max="768" width="7.81640625" style="1" customWidth="1"/>
    <col min="769" max="769" width="8.54296875" style="1" customWidth="1"/>
    <col min="770" max="770" width="20.1796875" style="1" customWidth="1"/>
    <col min="771" max="771" width="16.453125" style="1" customWidth="1"/>
    <col min="772" max="772" width="22.26953125" style="1" customWidth="1"/>
    <col min="773" max="773" width="17.81640625" style="1" customWidth="1"/>
    <col min="774" max="774" width="22.81640625" style="1" customWidth="1"/>
    <col min="775" max="775" width="25.453125" style="1" customWidth="1"/>
    <col min="776" max="777" width="6.7265625" style="1" customWidth="1"/>
    <col min="778" max="778" width="26.453125" style="1" customWidth="1"/>
    <col min="779" max="779" width="18.54296875" style="1" customWidth="1"/>
    <col min="780" max="780" width="29.81640625" style="1" customWidth="1"/>
    <col min="781" max="781" width="23.54296875" style="1" customWidth="1"/>
    <col min="782" max="782" width="31.453125" style="1" customWidth="1"/>
    <col min="783" max="1023" width="8.7265625" style="1"/>
    <col min="1024" max="1024" width="7.81640625" style="1" customWidth="1"/>
    <col min="1025" max="1025" width="8.54296875" style="1" customWidth="1"/>
    <col min="1026" max="1026" width="20.1796875" style="1" customWidth="1"/>
    <col min="1027" max="1027" width="16.453125" style="1" customWidth="1"/>
    <col min="1028" max="1028" width="22.26953125" style="1" customWidth="1"/>
    <col min="1029" max="1029" width="17.81640625" style="1" customWidth="1"/>
    <col min="1030" max="1030" width="22.81640625" style="1" customWidth="1"/>
    <col min="1031" max="1031" width="25.453125" style="1" customWidth="1"/>
    <col min="1032" max="1033" width="6.7265625" style="1" customWidth="1"/>
    <col min="1034" max="1034" width="26.453125" style="1" customWidth="1"/>
    <col min="1035" max="1035" width="18.54296875" style="1" customWidth="1"/>
    <col min="1036" max="1036" width="29.81640625" style="1" customWidth="1"/>
    <col min="1037" max="1037" width="23.54296875" style="1" customWidth="1"/>
    <col min="1038" max="1038" width="31.453125" style="1" customWidth="1"/>
    <col min="1039" max="1279" width="8.7265625" style="1"/>
    <col min="1280" max="1280" width="7.81640625" style="1" customWidth="1"/>
    <col min="1281" max="1281" width="8.54296875" style="1" customWidth="1"/>
    <col min="1282" max="1282" width="20.1796875" style="1" customWidth="1"/>
    <col min="1283" max="1283" width="16.453125" style="1" customWidth="1"/>
    <col min="1284" max="1284" width="22.26953125" style="1" customWidth="1"/>
    <col min="1285" max="1285" width="17.81640625" style="1" customWidth="1"/>
    <col min="1286" max="1286" width="22.81640625" style="1" customWidth="1"/>
    <col min="1287" max="1287" width="25.453125" style="1" customWidth="1"/>
    <col min="1288" max="1289" width="6.7265625" style="1" customWidth="1"/>
    <col min="1290" max="1290" width="26.453125" style="1" customWidth="1"/>
    <col min="1291" max="1291" width="18.54296875" style="1" customWidth="1"/>
    <col min="1292" max="1292" width="29.81640625" style="1" customWidth="1"/>
    <col min="1293" max="1293" width="23.54296875" style="1" customWidth="1"/>
    <col min="1294" max="1294" width="31.453125" style="1" customWidth="1"/>
    <col min="1295" max="1535" width="8.7265625" style="1"/>
    <col min="1536" max="1536" width="7.81640625" style="1" customWidth="1"/>
    <col min="1537" max="1537" width="8.54296875" style="1" customWidth="1"/>
    <col min="1538" max="1538" width="20.1796875" style="1" customWidth="1"/>
    <col min="1539" max="1539" width="16.453125" style="1" customWidth="1"/>
    <col min="1540" max="1540" width="22.26953125" style="1" customWidth="1"/>
    <col min="1541" max="1541" width="17.81640625" style="1" customWidth="1"/>
    <col min="1542" max="1542" width="22.81640625" style="1" customWidth="1"/>
    <col min="1543" max="1543" width="25.453125" style="1" customWidth="1"/>
    <col min="1544" max="1545" width="6.7265625" style="1" customWidth="1"/>
    <col min="1546" max="1546" width="26.453125" style="1" customWidth="1"/>
    <col min="1547" max="1547" width="18.54296875" style="1" customWidth="1"/>
    <col min="1548" max="1548" width="29.81640625" style="1" customWidth="1"/>
    <col min="1549" max="1549" width="23.54296875" style="1" customWidth="1"/>
    <col min="1550" max="1550" width="31.453125" style="1" customWidth="1"/>
    <col min="1551" max="1791" width="8.7265625" style="1"/>
    <col min="1792" max="1792" width="7.81640625" style="1" customWidth="1"/>
    <col min="1793" max="1793" width="8.54296875" style="1" customWidth="1"/>
    <col min="1794" max="1794" width="20.1796875" style="1" customWidth="1"/>
    <col min="1795" max="1795" width="16.453125" style="1" customWidth="1"/>
    <col min="1796" max="1796" width="22.26953125" style="1" customWidth="1"/>
    <col min="1797" max="1797" width="17.81640625" style="1" customWidth="1"/>
    <col min="1798" max="1798" width="22.81640625" style="1" customWidth="1"/>
    <col min="1799" max="1799" width="25.453125" style="1" customWidth="1"/>
    <col min="1800" max="1801" width="6.7265625" style="1" customWidth="1"/>
    <col min="1802" max="1802" width="26.453125" style="1" customWidth="1"/>
    <col min="1803" max="1803" width="18.54296875" style="1" customWidth="1"/>
    <col min="1804" max="1804" width="29.81640625" style="1" customWidth="1"/>
    <col min="1805" max="1805" width="23.54296875" style="1" customWidth="1"/>
    <col min="1806" max="1806" width="31.453125" style="1" customWidth="1"/>
    <col min="1807" max="2047" width="8.7265625" style="1"/>
    <col min="2048" max="2048" width="7.81640625" style="1" customWidth="1"/>
    <col min="2049" max="2049" width="8.54296875" style="1" customWidth="1"/>
    <col min="2050" max="2050" width="20.1796875" style="1" customWidth="1"/>
    <col min="2051" max="2051" width="16.453125" style="1" customWidth="1"/>
    <col min="2052" max="2052" width="22.26953125" style="1" customWidth="1"/>
    <col min="2053" max="2053" width="17.81640625" style="1" customWidth="1"/>
    <col min="2054" max="2054" width="22.81640625" style="1" customWidth="1"/>
    <col min="2055" max="2055" width="25.453125" style="1" customWidth="1"/>
    <col min="2056" max="2057" width="6.7265625" style="1" customWidth="1"/>
    <col min="2058" max="2058" width="26.453125" style="1" customWidth="1"/>
    <col min="2059" max="2059" width="18.54296875" style="1" customWidth="1"/>
    <col min="2060" max="2060" width="29.81640625" style="1" customWidth="1"/>
    <col min="2061" max="2061" width="23.54296875" style="1" customWidth="1"/>
    <col min="2062" max="2062" width="31.453125" style="1" customWidth="1"/>
    <col min="2063" max="2303" width="8.7265625" style="1"/>
    <col min="2304" max="2304" width="7.81640625" style="1" customWidth="1"/>
    <col min="2305" max="2305" width="8.54296875" style="1" customWidth="1"/>
    <col min="2306" max="2306" width="20.1796875" style="1" customWidth="1"/>
    <col min="2307" max="2307" width="16.453125" style="1" customWidth="1"/>
    <col min="2308" max="2308" width="22.26953125" style="1" customWidth="1"/>
    <col min="2309" max="2309" width="17.81640625" style="1" customWidth="1"/>
    <col min="2310" max="2310" width="22.81640625" style="1" customWidth="1"/>
    <col min="2311" max="2311" width="25.453125" style="1" customWidth="1"/>
    <col min="2312" max="2313" width="6.7265625" style="1" customWidth="1"/>
    <col min="2314" max="2314" width="26.453125" style="1" customWidth="1"/>
    <col min="2315" max="2315" width="18.54296875" style="1" customWidth="1"/>
    <col min="2316" max="2316" width="29.81640625" style="1" customWidth="1"/>
    <col min="2317" max="2317" width="23.54296875" style="1" customWidth="1"/>
    <col min="2318" max="2318" width="31.453125" style="1" customWidth="1"/>
    <col min="2319" max="2559" width="8.7265625" style="1"/>
    <col min="2560" max="2560" width="7.81640625" style="1" customWidth="1"/>
    <col min="2561" max="2561" width="8.54296875" style="1" customWidth="1"/>
    <col min="2562" max="2562" width="20.1796875" style="1" customWidth="1"/>
    <col min="2563" max="2563" width="16.453125" style="1" customWidth="1"/>
    <col min="2564" max="2564" width="22.26953125" style="1" customWidth="1"/>
    <col min="2565" max="2565" width="17.81640625" style="1" customWidth="1"/>
    <col min="2566" max="2566" width="22.81640625" style="1" customWidth="1"/>
    <col min="2567" max="2567" width="25.453125" style="1" customWidth="1"/>
    <col min="2568" max="2569" width="6.7265625" style="1" customWidth="1"/>
    <col min="2570" max="2570" width="26.453125" style="1" customWidth="1"/>
    <col min="2571" max="2571" width="18.54296875" style="1" customWidth="1"/>
    <col min="2572" max="2572" width="29.81640625" style="1" customWidth="1"/>
    <col min="2573" max="2573" width="23.54296875" style="1" customWidth="1"/>
    <col min="2574" max="2574" width="31.453125" style="1" customWidth="1"/>
    <col min="2575" max="2815" width="8.7265625" style="1"/>
    <col min="2816" max="2816" width="7.81640625" style="1" customWidth="1"/>
    <col min="2817" max="2817" width="8.54296875" style="1" customWidth="1"/>
    <col min="2818" max="2818" width="20.1796875" style="1" customWidth="1"/>
    <col min="2819" max="2819" width="16.453125" style="1" customWidth="1"/>
    <col min="2820" max="2820" width="22.26953125" style="1" customWidth="1"/>
    <col min="2821" max="2821" width="17.81640625" style="1" customWidth="1"/>
    <col min="2822" max="2822" width="22.81640625" style="1" customWidth="1"/>
    <col min="2823" max="2823" width="25.453125" style="1" customWidth="1"/>
    <col min="2824" max="2825" width="6.7265625" style="1" customWidth="1"/>
    <col min="2826" max="2826" width="26.453125" style="1" customWidth="1"/>
    <col min="2827" max="2827" width="18.54296875" style="1" customWidth="1"/>
    <col min="2828" max="2828" width="29.81640625" style="1" customWidth="1"/>
    <col min="2829" max="2829" width="23.54296875" style="1" customWidth="1"/>
    <col min="2830" max="2830" width="31.453125" style="1" customWidth="1"/>
    <col min="2831" max="3071" width="8.7265625" style="1"/>
    <col min="3072" max="3072" width="7.81640625" style="1" customWidth="1"/>
    <col min="3073" max="3073" width="8.54296875" style="1" customWidth="1"/>
    <col min="3074" max="3074" width="20.1796875" style="1" customWidth="1"/>
    <col min="3075" max="3075" width="16.453125" style="1" customWidth="1"/>
    <col min="3076" max="3076" width="22.26953125" style="1" customWidth="1"/>
    <col min="3077" max="3077" width="17.81640625" style="1" customWidth="1"/>
    <col min="3078" max="3078" width="22.81640625" style="1" customWidth="1"/>
    <col min="3079" max="3079" width="25.453125" style="1" customWidth="1"/>
    <col min="3080" max="3081" width="6.7265625" style="1" customWidth="1"/>
    <col min="3082" max="3082" width="26.453125" style="1" customWidth="1"/>
    <col min="3083" max="3083" width="18.54296875" style="1" customWidth="1"/>
    <col min="3084" max="3084" width="29.81640625" style="1" customWidth="1"/>
    <col min="3085" max="3085" width="23.54296875" style="1" customWidth="1"/>
    <col min="3086" max="3086" width="31.453125" style="1" customWidth="1"/>
    <col min="3087" max="3327" width="8.7265625" style="1"/>
    <col min="3328" max="3328" width="7.81640625" style="1" customWidth="1"/>
    <col min="3329" max="3329" width="8.54296875" style="1" customWidth="1"/>
    <col min="3330" max="3330" width="20.1796875" style="1" customWidth="1"/>
    <col min="3331" max="3331" width="16.453125" style="1" customWidth="1"/>
    <col min="3332" max="3332" width="22.26953125" style="1" customWidth="1"/>
    <col min="3333" max="3333" width="17.81640625" style="1" customWidth="1"/>
    <col min="3334" max="3334" width="22.81640625" style="1" customWidth="1"/>
    <col min="3335" max="3335" width="25.453125" style="1" customWidth="1"/>
    <col min="3336" max="3337" width="6.7265625" style="1" customWidth="1"/>
    <col min="3338" max="3338" width="26.453125" style="1" customWidth="1"/>
    <col min="3339" max="3339" width="18.54296875" style="1" customWidth="1"/>
    <col min="3340" max="3340" width="29.81640625" style="1" customWidth="1"/>
    <col min="3341" max="3341" width="23.54296875" style="1" customWidth="1"/>
    <col min="3342" max="3342" width="31.453125" style="1" customWidth="1"/>
    <col min="3343" max="3583" width="8.7265625" style="1"/>
    <col min="3584" max="3584" width="7.81640625" style="1" customWidth="1"/>
    <col min="3585" max="3585" width="8.54296875" style="1" customWidth="1"/>
    <col min="3586" max="3586" width="20.1796875" style="1" customWidth="1"/>
    <col min="3587" max="3587" width="16.453125" style="1" customWidth="1"/>
    <col min="3588" max="3588" width="22.26953125" style="1" customWidth="1"/>
    <col min="3589" max="3589" width="17.81640625" style="1" customWidth="1"/>
    <col min="3590" max="3590" width="22.81640625" style="1" customWidth="1"/>
    <col min="3591" max="3591" width="25.453125" style="1" customWidth="1"/>
    <col min="3592" max="3593" width="6.7265625" style="1" customWidth="1"/>
    <col min="3594" max="3594" width="26.453125" style="1" customWidth="1"/>
    <col min="3595" max="3595" width="18.54296875" style="1" customWidth="1"/>
    <col min="3596" max="3596" width="29.81640625" style="1" customWidth="1"/>
    <col min="3597" max="3597" width="23.54296875" style="1" customWidth="1"/>
    <col min="3598" max="3598" width="31.453125" style="1" customWidth="1"/>
    <col min="3599" max="3839" width="8.7265625" style="1"/>
    <col min="3840" max="3840" width="7.81640625" style="1" customWidth="1"/>
    <col min="3841" max="3841" width="8.54296875" style="1" customWidth="1"/>
    <col min="3842" max="3842" width="20.1796875" style="1" customWidth="1"/>
    <col min="3843" max="3843" width="16.453125" style="1" customWidth="1"/>
    <col min="3844" max="3844" width="22.26953125" style="1" customWidth="1"/>
    <col min="3845" max="3845" width="17.81640625" style="1" customWidth="1"/>
    <col min="3846" max="3846" width="22.81640625" style="1" customWidth="1"/>
    <col min="3847" max="3847" width="25.453125" style="1" customWidth="1"/>
    <col min="3848" max="3849" width="6.7265625" style="1" customWidth="1"/>
    <col min="3850" max="3850" width="26.453125" style="1" customWidth="1"/>
    <col min="3851" max="3851" width="18.54296875" style="1" customWidth="1"/>
    <col min="3852" max="3852" width="29.81640625" style="1" customWidth="1"/>
    <col min="3853" max="3853" width="23.54296875" style="1" customWidth="1"/>
    <col min="3854" max="3854" width="31.453125" style="1" customWidth="1"/>
    <col min="3855" max="4095" width="8.7265625" style="1"/>
    <col min="4096" max="4096" width="7.81640625" style="1" customWidth="1"/>
    <col min="4097" max="4097" width="8.54296875" style="1" customWidth="1"/>
    <col min="4098" max="4098" width="20.1796875" style="1" customWidth="1"/>
    <col min="4099" max="4099" width="16.453125" style="1" customWidth="1"/>
    <col min="4100" max="4100" width="22.26953125" style="1" customWidth="1"/>
    <col min="4101" max="4101" width="17.81640625" style="1" customWidth="1"/>
    <col min="4102" max="4102" width="22.81640625" style="1" customWidth="1"/>
    <col min="4103" max="4103" width="25.453125" style="1" customWidth="1"/>
    <col min="4104" max="4105" width="6.7265625" style="1" customWidth="1"/>
    <col min="4106" max="4106" width="26.453125" style="1" customWidth="1"/>
    <col min="4107" max="4107" width="18.54296875" style="1" customWidth="1"/>
    <col min="4108" max="4108" width="29.81640625" style="1" customWidth="1"/>
    <col min="4109" max="4109" width="23.54296875" style="1" customWidth="1"/>
    <col min="4110" max="4110" width="31.453125" style="1" customWidth="1"/>
    <col min="4111" max="4351" width="8.7265625" style="1"/>
    <col min="4352" max="4352" width="7.81640625" style="1" customWidth="1"/>
    <col min="4353" max="4353" width="8.54296875" style="1" customWidth="1"/>
    <col min="4354" max="4354" width="20.1796875" style="1" customWidth="1"/>
    <col min="4355" max="4355" width="16.453125" style="1" customWidth="1"/>
    <col min="4356" max="4356" width="22.26953125" style="1" customWidth="1"/>
    <col min="4357" max="4357" width="17.81640625" style="1" customWidth="1"/>
    <col min="4358" max="4358" width="22.81640625" style="1" customWidth="1"/>
    <col min="4359" max="4359" width="25.453125" style="1" customWidth="1"/>
    <col min="4360" max="4361" width="6.7265625" style="1" customWidth="1"/>
    <col min="4362" max="4362" width="26.453125" style="1" customWidth="1"/>
    <col min="4363" max="4363" width="18.54296875" style="1" customWidth="1"/>
    <col min="4364" max="4364" width="29.81640625" style="1" customWidth="1"/>
    <col min="4365" max="4365" width="23.54296875" style="1" customWidth="1"/>
    <col min="4366" max="4366" width="31.453125" style="1" customWidth="1"/>
    <col min="4367" max="4607" width="8.7265625" style="1"/>
    <col min="4608" max="4608" width="7.81640625" style="1" customWidth="1"/>
    <col min="4609" max="4609" width="8.54296875" style="1" customWidth="1"/>
    <col min="4610" max="4610" width="20.1796875" style="1" customWidth="1"/>
    <col min="4611" max="4611" width="16.453125" style="1" customWidth="1"/>
    <col min="4612" max="4612" width="22.26953125" style="1" customWidth="1"/>
    <col min="4613" max="4613" width="17.81640625" style="1" customWidth="1"/>
    <col min="4614" max="4614" width="22.81640625" style="1" customWidth="1"/>
    <col min="4615" max="4615" width="25.453125" style="1" customWidth="1"/>
    <col min="4616" max="4617" width="6.7265625" style="1" customWidth="1"/>
    <col min="4618" max="4618" width="26.453125" style="1" customWidth="1"/>
    <col min="4619" max="4619" width="18.54296875" style="1" customWidth="1"/>
    <col min="4620" max="4620" width="29.81640625" style="1" customWidth="1"/>
    <col min="4621" max="4621" width="23.54296875" style="1" customWidth="1"/>
    <col min="4622" max="4622" width="31.453125" style="1" customWidth="1"/>
    <col min="4623" max="4863" width="8.7265625" style="1"/>
    <col min="4864" max="4864" width="7.81640625" style="1" customWidth="1"/>
    <col min="4865" max="4865" width="8.54296875" style="1" customWidth="1"/>
    <col min="4866" max="4866" width="20.1796875" style="1" customWidth="1"/>
    <col min="4867" max="4867" width="16.453125" style="1" customWidth="1"/>
    <col min="4868" max="4868" width="22.26953125" style="1" customWidth="1"/>
    <col min="4869" max="4869" width="17.81640625" style="1" customWidth="1"/>
    <col min="4870" max="4870" width="22.81640625" style="1" customWidth="1"/>
    <col min="4871" max="4871" width="25.453125" style="1" customWidth="1"/>
    <col min="4872" max="4873" width="6.7265625" style="1" customWidth="1"/>
    <col min="4874" max="4874" width="26.453125" style="1" customWidth="1"/>
    <col min="4875" max="4875" width="18.54296875" style="1" customWidth="1"/>
    <col min="4876" max="4876" width="29.81640625" style="1" customWidth="1"/>
    <col min="4877" max="4877" width="23.54296875" style="1" customWidth="1"/>
    <col min="4878" max="4878" width="31.453125" style="1" customWidth="1"/>
    <col min="4879" max="5119" width="8.7265625" style="1"/>
    <col min="5120" max="5120" width="7.81640625" style="1" customWidth="1"/>
    <col min="5121" max="5121" width="8.54296875" style="1" customWidth="1"/>
    <col min="5122" max="5122" width="20.1796875" style="1" customWidth="1"/>
    <col min="5123" max="5123" width="16.453125" style="1" customWidth="1"/>
    <col min="5124" max="5124" width="22.26953125" style="1" customWidth="1"/>
    <col min="5125" max="5125" width="17.81640625" style="1" customWidth="1"/>
    <col min="5126" max="5126" width="22.81640625" style="1" customWidth="1"/>
    <col min="5127" max="5127" width="25.453125" style="1" customWidth="1"/>
    <col min="5128" max="5129" width="6.7265625" style="1" customWidth="1"/>
    <col min="5130" max="5130" width="26.453125" style="1" customWidth="1"/>
    <col min="5131" max="5131" width="18.54296875" style="1" customWidth="1"/>
    <col min="5132" max="5132" width="29.81640625" style="1" customWidth="1"/>
    <col min="5133" max="5133" width="23.54296875" style="1" customWidth="1"/>
    <col min="5134" max="5134" width="31.453125" style="1" customWidth="1"/>
    <col min="5135" max="5375" width="8.7265625" style="1"/>
    <col min="5376" max="5376" width="7.81640625" style="1" customWidth="1"/>
    <col min="5377" max="5377" width="8.54296875" style="1" customWidth="1"/>
    <col min="5378" max="5378" width="20.1796875" style="1" customWidth="1"/>
    <col min="5379" max="5379" width="16.453125" style="1" customWidth="1"/>
    <col min="5380" max="5380" width="22.26953125" style="1" customWidth="1"/>
    <col min="5381" max="5381" width="17.81640625" style="1" customWidth="1"/>
    <col min="5382" max="5382" width="22.81640625" style="1" customWidth="1"/>
    <col min="5383" max="5383" width="25.453125" style="1" customWidth="1"/>
    <col min="5384" max="5385" width="6.7265625" style="1" customWidth="1"/>
    <col min="5386" max="5386" width="26.453125" style="1" customWidth="1"/>
    <col min="5387" max="5387" width="18.54296875" style="1" customWidth="1"/>
    <col min="5388" max="5388" width="29.81640625" style="1" customWidth="1"/>
    <col min="5389" max="5389" width="23.54296875" style="1" customWidth="1"/>
    <col min="5390" max="5390" width="31.453125" style="1" customWidth="1"/>
    <col min="5391" max="5631" width="8.7265625" style="1"/>
    <col min="5632" max="5632" width="7.81640625" style="1" customWidth="1"/>
    <col min="5633" max="5633" width="8.54296875" style="1" customWidth="1"/>
    <col min="5634" max="5634" width="20.1796875" style="1" customWidth="1"/>
    <col min="5635" max="5635" width="16.453125" style="1" customWidth="1"/>
    <col min="5636" max="5636" width="22.26953125" style="1" customWidth="1"/>
    <col min="5637" max="5637" width="17.81640625" style="1" customWidth="1"/>
    <col min="5638" max="5638" width="22.81640625" style="1" customWidth="1"/>
    <col min="5639" max="5639" width="25.453125" style="1" customWidth="1"/>
    <col min="5640" max="5641" width="6.7265625" style="1" customWidth="1"/>
    <col min="5642" max="5642" width="26.453125" style="1" customWidth="1"/>
    <col min="5643" max="5643" width="18.54296875" style="1" customWidth="1"/>
    <col min="5644" max="5644" width="29.81640625" style="1" customWidth="1"/>
    <col min="5645" max="5645" width="23.54296875" style="1" customWidth="1"/>
    <col min="5646" max="5646" width="31.453125" style="1" customWidth="1"/>
    <col min="5647" max="5887" width="8.7265625" style="1"/>
    <col min="5888" max="5888" width="7.81640625" style="1" customWidth="1"/>
    <col min="5889" max="5889" width="8.54296875" style="1" customWidth="1"/>
    <col min="5890" max="5890" width="20.1796875" style="1" customWidth="1"/>
    <col min="5891" max="5891" width="16.453125" style="1" customWidth="1"/>
    <col min="5892" max="5892" width="22.26953125" style="1" customWidth="1"/>
    <col min="5893" max="5893" width="17.81640625" style="1" customWidth="1"/>
    <col min="5894" max="5894" width="22.81640625" style="1" customWidth="1"/>
    <col min="5895" max="5895" width="25.453125" style="1" customWidth="1"/>
    <col min="5896" max="5897" width="6.7265625" style="1" customWidth="1"/>
    <col min="5898" max="5898" width="26.453125" style="1" customWidth="1"/>
    <col min="5899" max="5899" width="18.54296875" style="1" customWidth="1"/>
    <col min="5900" max="5900" width="29.81640625" style="1" customWidth="1"/>
    <col min="5901" max="5901" width="23.54296875" style="1" customWidth="1"/>
    <col min="5902" max="5902" width="31.453125" style="1" customWidth="1"/>
    <col min="5903" max="6143" width="8.7265625" style="1"/>
    <col min="6144" max="6144" width="7.81640625" style="1" customWidth="1"/>
    <col min="6145" max="6145" width="8.54296875" style="1" customWidth="1"/>
    <col min="6146" max="6146" width="20.1796875" style="1" customWidth="1"/>
    <col min="6147" max="6147" width="16.453125" style="1" customWidth="1"/>
    <col min="6148" max="6148" width="22.26953125" style="1" customWidth="1"/>
    <col min="6149" max="6149" width="17.81640625" style="1" customWidth="1"/>
    <col min="6150" max="6150" width="22.81640625" style="1" customWidth="1"/>
    <col min="6151" max="6151" width="25.453125" style="1" customWidth="1"/>
    <col min="6152" max="6153" width="6.7265625" style="1" customWidth="1"/>
    <col min="6154" max="6154" width="26.453125" style="1" customWidth="1"/>
    <col min="6155" max="6155" width="18.54296875" style="1" customWidth="1"/>
    <col min="6156" max="6156" width="29.81640625" style="1" customWidth="1"/>
    <col min="6157" max="6157" width="23.54296875" style="1" customWidth="1"/>
    <col min="6158" max="6158" width="31.453125" style="1" customWidth="1"/>
    <col min="6159" max="6399" width="8.7265625" style="1"/>
    <col min="6400" max="6400" width="7.81640625" style="1" customWidth="1"/>
    <col min="6401" max="6401" width="8.54296875" style="1" customWidth="1"/>
    <col min="6402" max="6402" width="20.1796875" style="1" customWidth="1"/>
    <col min="6403" max="6403" width="16.453125" style="1" customWidth="1"/>
    <col min="6404" max="6404" width="22.26953125" style="1" customWidth="1"/>
    <col min="6405" max="6405" width="17.81640625" style="1" customWidth="1"/>
    <col min="6406" max="6406" width="22.81640625" style="1" customWidth="1"/>
    <col min="6407" max="6407" width="25.453125" style="1" customWidth="1"/>
    <col min="6408" max="6409" width="6.7265625" style="1" customWidth="1"/>
    <col min="6410" max="6410" width="26.453125" style="1" customWidth="1"/>
    <col min="6411" max="6411" width="18.54296875" style="1" customWidth="1"/>
    <col min="6412" max="6412" width="29.81640625" style="1" customWidth="1"/>
    <col min="6413" max="6413" width="23.54296875" style="1" customWidth="1"/>
    <col min="6414" max="6414" width="31.453125" style="1" customWidth="1"/>
    <col min="6415" max="6655" width="8.7265625" style="1"/>
    <col min="6656" max="6656" width="7.81640625" style="1" customWidth="1"/>
    <col min="6657" max="6657" width="8.54296875" style="1" customWidth="1"/>
    <col min="6658" max="6658" width="20.1796875" style="1" customWidth="1"/>
    <col min="6659" max="6659" width="16.453125" style="1" customWidth="1"/>
    <col min="6660" max="6660" width="22.26953125" style="1" customWidth="1"/>
    <col min="6661" max="6661" width="17.81640625" style="1" customWidth="1"/>
    <col min="6662" max="6662" width="22.81640625" style="1" customWidth="1"/>
    <col min="6663" max="6663" width="25.453125" style="1" customWidth="1"/>
    <col min="6664" max="6665" width="6.7265625" style="1" customWidth="1"/>
    <col min="6666" max="6666" width="26.453125" style="1" customWidth="1"/>
    <col min="6667" max="6667" width="18.54296875" style="1" customWidth="1"/>
    <col min="6668" max="6668" width="29.81640625" style="1" customWidth="1"/>
    <col min="6669" max="6669" width="23.54296875" style="1" customWidth="1"/>
    <col min="6670" max="6670" width="31.453125" style="1" customWidth="1"/>
    <col min="6671" max="6911" width="8.7265625" style="1"/>
    <col min="6912" max="6912" width="7.81640625" style="1" customWidth="1"/>
    <col min="6913" max="6913" width="8.54296875" style="1" customWidth="1"/>
    <col min="6914" max="6914" width="20.1796875" style="1" customWidth="1"/>
    <col min="6915" max="6915" width="16.453125" style="1" customWidth="1"/>
    <col min="6916" max="6916" width="22.26953125" style="1" customWidth="1"/>
    <col min="6917" max="6917" width="17.81640625" style="1" customWidth="1"/>
    <col min="6918" max="6918" width="22.81640625" style="1" customWidth="1"/>
    <col min="6919" max="6919" width="25.453125" style="1" customWidth="1"/>
    <col min="6920" max="6921" width="6.7265625" style="1" customWidth="1"/>
    <col min="6922" max="6922" width="26.453125" style="1" customWidth="1"/>
    <col min="6923" max="6923" width="18.54296875" style="1" customWidth="1"/>
    <col min="6924" max="6924" width="29.81640625" style="1" customWidth="1"/>
    <col min="6925" max="6925" width="23.54296875" style="1" customWidth="1"/>
    <col min="6926" max="6926" width="31.453125" style="1" customWidth="1"/>
    <col min="6927" max="7167" width="8.7265625" style="1"/>
    <col min="7168" max="7168" width="7.81640625" style="1" customWidth="1"/>
    <col min="7169" max="7169" width="8.54296875" style="1" customWidth="1"/>
    <col min="7170" max="7170" width="20.1796875" style="1" customWidth="1"/>
    <col min="7171" max="7171" width="16.453125" style="1" customWidth="1"/>
    <col min="7172" max="7172" width="22.26953125" style="1" customWidth="1"/>
    <col min="7173" max="7173" width="17.81640625" style="1" customWidth="1"/>
    <col min="7174" max="7174" width="22.81640625" style="1" customWidth="1"/>
    <col min="7175" max="7175" width="25.453125" style="1" customWidth="1"/>
    <col min="7176" max="7177" width="6.7265625" style="1" customWidth="1"/>
    <col min="7178" max="7178" width="26.453125" style="1" customWidth="1"/>
    <col min="7179" max="7179" width="18.54296875" style="1" customWidth="1"/>
    <col min="7180" max="7180" width="29.81640625" style="1" customWidth="1"/>
    <col min="7181" max="7181" width="23.54296875" style="1" customWidth="1"/>
    <col min="7182" max="7182" width="31.453125" style="1" customWidth="1"/>
    <col min="7183" max="7423" width="8.7265625" style="1"/>
    <col min="7424" max="7424" width="7.81640625" style="1" customWidth="1"/>
    <col min="7425" max="7425" width="8.54296875" style="1" customWidth="1"/>
    <col min="7426" max="7426" width="20.1796875" style="1" customWidth="1"/>
    <col min="7427" max="7427" width="16.453125" style="1" customWidth="1"/>
    <col min="7428" max="7428" width="22.26953125" style="1" customWidth="1"/>
    <col min="7429" max="7429" width="17.81640625" style="1" customWidth="1"/>
    <col min="7430" max="7430" width="22.81640625" style="1" customWidth="1"/>
    <col min="7431" max="7431" width="25.453125" style="1" customWidth="1"/>
    <col min="7432" max="7433" width="6.7265625" style="1" customWidth="1"/>
    <col min="7434" max="7434" width="26.453125" style="1" customWidth="1"/>
    <col min="7435" max="7435" width="18.54296875" style="1" customWidth="1"/>
    <col min="7436" max="7436" width="29.81640625" style="1" customWidth="1"/>
    <col min="7437" max="7437" width="23.54296875" style="1" customWidth="1"/>
    <col min="7438" max="7438" width="31.453125" style="1" customWidth="1"/>
    <col min="7439" max="7679" width="8.7265625" style="1"/>
    <col min="7680" max="7680" width="7.81640625" style="1" customWidth="1"/>
    <col min="7681" max="7681" width="8.54296875" style="1" customWidth="1"/>
    <col min="7682" max="7682" width="20.1796875" style="1" customWidth="1"/>
    <col min="7683" max="7683" width="16.453125" style="1" customWidth="1"/>
    <col min="7684" max="7684" width="22.26953125" style="1" customWidth="1"/>
    <col min="7685" max="7685" width="17.81640625" style="1" customWidth="1"/>
    <col min="7686" max="7686" width="22.81640625" style="1" customWidth="1"/>
    <col min="7687" max="7687" width="25.453125" style="1" customWidth="1"/>
    <col min="7688" max="7689" width="6.7265625" style="1" customWidth="1"/>
    <col min="7690" max="7690" width="26.453125" style="1" customWidth="1"/>
    <col min="7691" max="7691" width="18.54296875" style="1" customWidth="1"/>
    <col min="7692" max="7692" width="29.81640625" style="1" customWidth="1"/>
    <col min="7693" max="7693" width="23.54296875" style="1" customWidth="1"/>
    <col min="7694" max="7694" width="31.453125" style="1" customWidth="1"/>
    <col min="7695" max="7935" width="8.7265625" style="1"/>
    <col min="7936" max="7936" width="7.81640625" style="1" customWidth="1"/>
    <col min="7937" max="7937" width="8.54296875" style="1" customWidth="1"/>
    <col min="7938" max="7938" width="20.1796875" style="1" customWidth="1"/>
    <col min="7939" max="7939" width="16.453125" style="1" customWidth="1"/>
    <col min="7940" max="7940" width="22.26953125" style="1" customWidth="1"/>
    <col min="7941" max="7941" width="17.81640625" style="1" customWidth="1"/>
    <col min="7942" max="7942" width="22.81640625" style="1" customWidth="1"/>
    <col min="7943" max="7943" width="25.453125" style="1" customWidth="1"/>
    <col min="7944" max="7945" width="6.7265625" style="1" customWidth="1"/>
    <col min="7946" max="7946" width="26.453125" style="1" customWidth="1"/>
    <col min="7947" max="7947" width="18.54296875" style="1" customWidth="1"/>
    <col min="7948" max="7948" width="29.81640625" style="1" customWidth="1"/>
    <col min="7949" max="7949" width="23.54296875" style="1" customWidth="1"/>
    <col min="7950" max="7950" width="31.453125" style="1" customWidth="1"/>
    <col min="7951" max="8191" width="8.7265625" style="1"/>
    <col min="8192" max="8192" width="7.81640625" style="1" customWidth="1"/>
    <col min="8193" max="8193" width="8.54296875" style="1" customWidth="1"/>
    <col min="8194" max="8194" width="20.1796875" style="1" customWidth="1"/>
    <col min="8195" max="8195" width="16.453125" style="1" customWidth="1"/>
    <col min="8196" max="8196" width="22.26953125" style="1" customWidth="1"/>
    <col min="8197" max="8197" width="17.81640625" style="1" customWidth="1"/>
    <col min="8198" max="8198" width="22.81640625" style="1" customWidth="1"/>
    <col min="8199" max="8199" width="25.453125" style="1" customWidth="1"/>
    <col min="8200" max="8201" width="6.7265625" style="1" customWidth="1"/>
    <col min="8202" max="8202" width="26.453125" style="1" customWidth="1"/>
    <col min="8203" max="8203" width="18.54296875" style="1" customWidth="1"/>
    <col min="8204" max="8204" width="29.81640625" style="1" customWidth="1"/>
    <col min="8205" max="8205" width="23.54296875" style="1" customWidth="1"/>
    <col min="8206" max="8206" width="31.453125" style="1" customWidth="1"/>
    <col min="8207" max="8447" width="8.7265625" style="1"/>
    <col min="8448" max="8448" width="7.81640625" style="1" customWidth="1"/>
    <col min="8449" max="8449" width="8.54296875" style="1" customWidth="1"/>
    <col min="8450" max="8450" width="20.1796875" style="1" customWidth="1"/>
    <col min="8451" max="8451" width="16.453125" style="1" customWidth="1"/>
    <col min="8452" max="8452" width="22.26953125" style="1" customWidth="1"/>
    <col min="8453" max="8453" width="17.81640625" style="1" customWidth="1"/>
    <col min="8454" max="8454" width="22.81640625" style="1" customWidth="1"/>
    <col min="8455" max="8455" width="25.453125" style="1" customWidth="1"/>
    <col min="8456" max="8457" width="6.7265625" style="1" customWidth="1"/>
    <col min="8458" max="8458" width="26.453125" style="1" customWidth="1"/>
    <col min="8459" max="8459" width="18.54296875" style="1" customWidth="1"/>
    <col min="8460" max="8460" width="29.81640625" style="1" customWidth="1"/>
    <col min="8461" max="8461" width="23.54296875" style="1" customWidth="1"/>
    <col min="8462" max="8462" width="31.453125" style="1" customWidth="1"/>
    <col min="8463" max="8703" width="8.7265625" style="1"/>
    <col min="8704" max="8704" width="7.81640625" style="1" customWidth="1"/>
    <col min="8705" max="8705" width="8.54296875" style="1" customWidth="1"/>
    <col min="8706" max="8706" width="20.1796875" style="1" customWidth="1"/>
    <col min="8707" max="8707" width="16.453125" style="1" customWidth="1"/>
    <col min="8708" max="8708" width="22.26953125" style="1" customWidth="1"/>
    <col min="8709" max="8709" width="17.81640625" style="1" customWidth="1"/>
    <col min="8710" max="8710" width="22.81640625" style="1" customWidth="1"/>
    <col min="8711" max="8711" width="25.453125" style="1" customWidth="1"/>
    <col min="8712" max="8713" width="6.7265625" style="1" customWidth="1"/>
    <col min="8714" max="8714" width="26.453125" style="1" customWidth="1"/>
    <col min="8715" max="8715" width="18.54296875" style="1" customWidth="1"/>
    <col min="8716" max="8716" width="29.81640625" style="1" customWidth="1"/>
    <col min="8717" max="8717" width="23.54296875" style="1" customWidth="1"/>
    <col min="8718" max="8718" width="31.453125" style="1" customWidth="1"/>
    <col min="8719" max="8959" width="8.7265625" style="1"/>
    <col min="8960" max="8960" width="7.81640625" style="1" customWidth="1"/>
    <col min="8961" max="8961" width="8.54296875" style="1" customWidth="1"/>
    <col min="8962" max="8962" width="20.1796875" style="1" customWidth="1"/>
    <col min="8963" max="8963" width="16.453125" style="1" customWidth="1"/>
    <col min="8964" max="8964" width="22.26953125" style="1" customWidth="1"/>
    <col min="8965" max="8965" width="17.81640625" style="1" customWidth="1"/>
    <col min="8966" max="8966" width="22.81640625" style="1" customWidth="1"/>
    <col min="8967" max="8967" width="25.453125" style="1" customWidth="1"/>
    <col min="8968" max="8969" width="6.7265625" style="1" customWidth="1"/>
    <col min="8970" max="8970" width="26.453125" style="1" customWidth="1"/>
    <col min="8971" max="8971" width="18.54296875" style="1" customWidth="1"/>
    <col min="8972" max="8972" width="29.81640625" style="1" customWidth="1"/>
    <col min="8973" max="8973" width="23.54296875" style="1" customWidth="1"/>
    <col min="8974" max="8974" width="31.453125" style="1" customWidth="1"/>
    <col min="8975" max="9215" width="8.7265625" style="1"/>
    <col min="9216" max="9216" width="7.81640625" style="1" customWidth="1"/>
    <col min="9217" max="9217" width="8.54296875" style="1" customWidth="1"/>
    <col min="9218" max="9218" width="20.1796875" style="1" customWidth="1"/>
    <col min="9219" max="9219" width="16.453125" style="1" customWidth="1"/>
    <col min="9220" max="9220" width="22.26953125" style="1" customWidth="1"/>
    <col min="9221" max="9221" width="17.81640625" style="1" customWidth="1"/>
    <col min="9222" max="9222" width="22.81640625" style="1" customWidth="1"/>
    <col min="9223" max="9223" width="25.453125" style="1" customWidth="1"/>
    <col min="9224" max="9225" width="6.7265625" style="1" customWidth="1"/>
    <col min="9226" max="9226" width="26.453125" style="1" customWidth="1"/>
    <col min="9227" max="9227" width="18.54296875" style="1" customWidth="1"/>
    <col min="9228" max="9228" width="29.81640625" style="1" customWidth="1"/>
    <col min="9229" max="9229" width="23.54296875" style="1" customWidth="1"/>
    <col min="9230" max="9230" width="31.453125" style="1" customWidth="1"/>
    <col min="9231" max="9471" width="8.7265625" style="1"/>
    <col min="9472" max="9472" width="7.81640625" style="1" customWidth="1"/>
    <col min="9473" max="9473" width="8.54296875" style="1" customWidth="1"/>
    <col min="9474" max="9474" width="20.1796875" style="1" customWidth="1"/>
    <col min="9475" max="9475" width="16.453125" style="1" customWidth="1"/>
    <col min="9476" max="9476" width="22.26953125" style="1" customWidth="1"/>
    <col min="9477" max="9477" width="17.81640625" style="1" customWidth="1"/>
    <col min="9478" max="9478" width="22.81640625" style="1" customWidth="1"/>
    <col min="9479" max="9479" width="25.453125" style="1" customWidth="1"/>
    <col min="9480" max="9481" width="6.7265625" style="1" customWidth="1"/>
    <col min="9482" max="9482" width="26.453125" style="1" customWidth="1"/>
    <col min="9483" max="9483" width="18.54296875" style="1" customWidth="1"/>
    <col min="9484" max="9484" width="29.81640625" style="1" customWidth="1"/>
    <col min="9485" max="9485" width="23.54296875" style="1" customWidth="1"/>
    <col min="9486" max="9486" width="31.453125" style="1" customWidth="1"/>
    <col min="9487" max="9727" width="8.7265625" style="1"/>
    <col min="9728" max="9728" width="7.81640625" style="1" customWidth="1"/>
    <col min="9729" max="9729" width="8.54296875" style="1" customWidth="1"/>
    <col min="9730" max="9730" width="20.1796875" style="1" customWidth="1"/>
    <col min="9731" max="9731" width="16.453125" style="1" customWidth="1"/>
    <col min="9732" max="9732" width="22.26953125" style="1" customWidth="1"/>
    <col min="9733" max="9733" width="17.81640625" style="1" customWidth="1"/>
    <col min="9734" max="9734" width="22.81640625" style="1" customWidth="1"/>
    <col min="9735" max="9735" width="25.453125" style="1" customWidth="1"/>
    <col min="9736" max="9737" width="6.7265625" style="1" customWidth="1"/>
    <col min="9738" max="9738" width="26.453125" style="1" customWidth="1"/>
    <col min="9739" max="9739" width="18.54296875" style="1" customWidth="1"/>
    <col min="9740" max="9740" width="29.81640625" style="1" customWidth="1"/>
    <col min="9741" max="9741" width="23.54296875" style="1" customWidth="1"/>
    <col min="9742" max="9742" width="31.453125" style="1" customWidth="1"/>
    <col min="9743" max="9983" width="8.7265625" style="1"/>
    <col min="9984" max="9984" width="7.81640625" style="1" customWidth="1"/>
    <col min="9985" max="9985" width="8.54296875" style="1" customWidth="1"/>
    <col min="9986" max="9986" width="20.1796875" style="1" customWidth="1"/>
    <col min="9987" max="9987" width="16.453125" style="1" customWidth="1"/>
    <col min="9988" max="9988" width="22.26953125" style="1" customWidth="1"/>
    <col min="9989" max="9989" width="17.81640625" style="1" customWidth="1"/>
    <col min="9990" max="9990" width="22.81640625" style="1" customWidth="1"/>
    <col min="9991" max="9991" width="25.453125" style="1" customWidth="1"/>
    <col min="9992" max="9993" width="6.7265625" style="1" customWidth="1"/>
    <col min="9994" max="9994" width="26.453125" style="1" customWidth="1"/>
    <col min="9995" max="9995" width="18.54296875" style="1" customWidth="1"/>
    <col min="9996" max="9996" width="29.81640625" style="1" customWidth="1"/>
    <col min="9997" max="9997" width="23.54296875" style="1" customWidth="1"/>
    <col min="9998" max="9998" width="31.453125" style="1" customWidth="1"/>
    <col min="9999" max="10239" width="8.7265625" style="1"/>
    <col min="10240" max="10240" width="7.81640625" style="1" customWidth="1"/>
    <col min="10241" max="10241" width="8.54296875" style="1" customWidth="1"/>
    <col min="10242" max="10242" width="20.1796875" style="1" customWidth="1"/>
    <col min="10243" max="10243" width="16.453125" style="1" customWidth="1"/>
    <col min="10244" max="10244" width="22.26953125" style="1" customWidth="1"/>
    <col min="10245" max="10245" width="17.81640625" style="1" customWidth="1"/>
    <col min="10246" max="10246" width="22.81640625" style="1" customWidth="1"/>
    <col min="10247" max="10247" width="25.453125" style="1" customWidth="1"/>
    <col min="10248" max="10249" width="6.7265625" style="1" customWidth="1"/>
    <col min="10250" max="10250" width="26.453125" style="1" customWidth="1"/>
    <col min="10251" max="10251" width="18.54296875" style="1" customWidth="1"/>
    <col min="10252" max="10252" width="29.81640625" style="1" customWidth="1"/>
    <col min="10253" max="10253" width="23.54296875" style="1" customWidth="1"/>
    <col min="10254" max="10254" width="31.453125" style="1" customWidth="1"/>
    <col min="10255" max="10495" width="8.7265625" style="1"/>
    <col min="10496" max="10496" width="7.81640625" style="1" customWidth="1"/>
    <col min="10497" max="10497" width="8.54296875" style="1" customWidth="1"/>
    <col min="10498" max="10498" width="20.1796875" style="1" customWidth="1"/>
    <col min="10499" max="10499" width="16.453125" style="1" customWidth="1"/>
    <col min="10500" max="10500" width="22.26953125" style="1" customWidth="1"/>
    <col min="10501" max="10501" width="17.81640625" style="1" customWidth="1"/>
    <col min="10502" max="10502" width="22.81640625" style="1" customWidth="1"/>
    <col min="10503" max="10503" width="25.453125" style="1" customWidth="1"/>
    <col min="10504" max="10505" width="6.7265625" style="1" customWidth="1"/>
    <col min="10506" max="10506" width="26.453125" style="1" customWidth="1"/>
    <col min="10507" max="10507" width="18.54296875" style="1" customWidth="1"/>
    <col min="10508" max="10508" width="29.81640625" style="1" customWidth="1"/>
    <col min="10509" max="10509" width="23.54296875" style="1" customWidth="1"/>
    <col min="10510" max="10510" width="31.453125" style="1" customWidth="1"/>
    <col min="10511" max="10751" width="8.7265625" style="1"/>
    <col min="10752" max="10752" width="7.81640625" style="1" customWidth="1"/>
    <col min="10753" max="10753" width="8.54296875" style="1" customWidth="1"/>
    <col min="10754" max="10754" width="20.1796875" style="1" customWidth="1"/>
    <col min="10755" max="10755" width="16.453125" style="1" customWidth="1"/>
    <col min="10756" max="10756" width="22.26953125" style="1" customWidth="1"/>
    <col min="10757" max="10757" width="17.81640625" style="1" customWidth="1"/>
    <col min="10758" max="10758" width="22.81640625" style="1" customWidth="1"/>
    <col min="10759" max="10759" width="25.453125" style="1" customWidth="1"/>
    <col min="10760" max="10761" width="6.7265625" style="1" customWidth="1"/>
    <col min="10762" max="10762" width="26.453125" style="1" customWidth="1"/>
    <col min="10763" max="10763" width="18.54296875" style="1" customWidth="1"/>
    <col min="10764" max="10764" width="29.81640625" style="1" customWidth="1"/>
    <col min="10765" max="10765" width="23.54296875" style="1" customWidth="1"/>
    <col min="10766" max="10766" width="31.453125" style="1" customWidth="1"/>
    <col min="10767" max="11007" width="8.7265625" style="1"/>
    <col min="11008" max="11008" width="7.81640625" style="1" customWidth="1"/>
    <col min="11009" max="11009" width="8.54296875" style="1" customWidth="1"/>
    <col min="11010" max="11010" width="20.1796875" style="1" customWidth="1"/>
    <col min="11011" max="11011" width="16.453125" style="1" customWidth="1"/>
    <col min="11012" max="11012" width="22.26953125" style="1" customWidth="1"/>
    <col min="11013" max="11013" width="17.81640625" style="1" customWidth="1"/>
    <col min="11014" max="11014" width="22.81640625" style="1" customWidth="1"/>
    <col min="11015" max="11015" width="25.453125" style="1" customWidth="1"/>
    <col min="11016" max="11017" width="6.7265625" style="1" customWidth="1"/>
    <col min="11018" max="11018" width="26.453125" style="1" customWidth="1"/>
    <col min="11019" max="11019" width="18.54296875" style="1" customWidth="1"/>
    <col min="11020" max="11020" width="29.81640625" style="1" customWidth="1"/>
    <col min="11021" max="11021" width="23.54296875" style="1" customWidth="1"/>
    <col min="11022" max="11022" width="31.453125" style="1" customWidth="1"/>
    <col min="11023" max="11263" width="8.7265625" style="1"/>
    <col min="11264" max="11264" width="7.81640625" style="1" customWidth="1"/>
    <col min="11265" max="11265" width="8.54296875" style="1" customWidth="1"/>
    <col min="11266" max="11266" width="20.1796875" style="1" customWidth="1"/>
    <col min="11267" max="11267" width="16.453125" style="1" customWidth="1"/>
    <col min="11268" max="11268" width="22.26953125" style="1" customWidth="1"/>
    <col min="11269" max="11269" width="17.81640625" style="1" customWidth="1"/>
    <col min="11270" max="11270" width="22.81640625" style="1" customWidth="1"/>
    <col min="11271" max="11271" width="25.453125" style="1" customWidth="1"/>
    <col min="11272" max="11273" width="6.7265625" style="1" customWidth="1"/>
    <col min="11274" max="11274" width="26.453125" style="1" customWidth="1"/>
    <col min="11275" max="11275" width="18.54296875" style="1" customWidth="1"/>
    <col min="11276" max="11276" width="29.81640625" style="1" customWidth="1"/>
    <col min="11277" max="11277" width="23.54296875" style="1" customWidth="1"/>
    <col min="11278" max="11278" width="31.453125" style="1" customWidth="1"/>
    <col min="11279" max="11519" width="8.7265625" style="1"/>
    <col min="11520" max="11520" width="7.81640625" style="1" customWidth="1"/>
    <col min="11521" max="11521" width="8.54296875" style="1" customWidth="1"/>
    <col min="11522" max="11522" width="20.1796875" style="1" customWidth="1"/>
    <col min="11523" max="11523" width="16.453125" style="1" customWidth="1"/>
    <col min="11524" max="11524" width="22.26953125" style="1" customWidth="1"/>
    <col min="11525" max="11525" width="17.81640625" style="1" customWidth="1"/>
    <col min="11526" max="11526" width="22.81640625" style="1" customWidth="1"/>
    <col min="11527" max="11527" width="25.453125" style="1" customWidth="1"/>
    <col min="11528" max="11529" width="6.7265625" style="1" customWidth="1"/>
    <col min="11530" max="11530" width="26.453125" style="1" customWidth="1"/>
    <col min="11531" max="11531" width="18.54296875" style="1" customWidth="1"/>
    <col min="11532" max="11532" width="29.81640625" style="1" customWidth="1"/>
    <col min="11533" max="11533" width="23.54296875" style="1" customWidth="1"/>
    <col min="11534" max="11534" width="31.453125" style="1" customWidth="1"/>
    <col min="11535" max="11775" width="8.7265625" style="1"/>
    <col min="11776" max="11776" width="7.81640625" style="1" customWidth="1"/>
    <col min="11777" max="11777" width="8.54296875" style="1" customWidth="1"/>
    <col min="11778" max="11778" width="20.1796875" style="1" customWidth="1"/>
    <col min="11779" max="11779" width="16.453125" style="1" customWidth="1"/>
    <col min="11780" max="11780" width="22.26953125" style="1" customWidth="1"/>
    <col min="11781" max="11781" width="17.81640625" style="1" customWidth="1"/>
    <col min="11782" max="11782" width="22.81640625" style="1" customWidth="1"/>
    <col min="11783" max="11783" width="25.453125" style="1" customWidth="1"/>
    <col min="11784" max="11785" width="6.7265625" style="1" customWidth="1"/>
    <col min="11786" max="11786" width="26.453125" style="1" customWidth="1"/>
    <col min="11787" max="11787" width="18.54296875" style="1" customWidth="1"/>
    <col min="11788" max="11788" width="29.81640625" style="1" customWidth="1"/>
    <col min="11789" max="11789" width="23.54296875" style="1" customWidth="1"/>
    <col min="11790" max="11790" width="31.453125" style="1" customWidth="1"/>
    <col min="11791" max="12031" width="8.7265625" style="1"/>
    <col min="12032" max="12032" width="7.81640625" style="1" customWidth="1"/>
    <col min="12033" max="12033" width="8.54296875" style="1" customWidth="1"/>
    <col min="12034" max="12034" width="20.1796875" style="1" customWidth="1"/>
    <col min="12035" max="12035" width="16.453125" style="1" customWidth="1"/>
    <col min="12036" max="12036" width="22.26953125" style="1" customWidth="1"/>
    <col min="12037" max="12037" width="17.81640625" style="1" customWidth="1"/>
    <col min="12038" max="12038" width="22.81640625" style="1" customWidth="1"/>
    <col min="12039" max="12039" width="25.453125" style="1" customWidth="1"/>
    <col min="12040" max="12041" width="6.7265625" style="1" customWidth="1"/>
    <col min="12042" max="12042" width="26.453125" style="1" customWidth="1"/>
    <col min="12043" max="12043" width="18.54296875" style="1" customWidth="1"/>
    <col min="12044" max="12044" width="29.81640625" style="1" customWidth="1"/>
    <col min="12045" max="12045" width="23.54296875" style="1" customWidth="1"/>
    <col min="12046" max="12046" width="31.453125" style="1" customWidth="1"/>
    <col min="12047" max="12287" width="8.7265625" style="1"/>
    <col min="12288" max="12288" width="7.81640625" style="1" customWidth="1"/>
    <col min="12289" max="12289" width="8.54296875" style="1" customWidth="1"/>
    <col min="12290" max="12290" width="20.1796875" style="1" customWidth="1"/>
    <col min="12291" max="12291" width="16.453125" style="1" customWidth="1"/>
    <col min="12292" max="12292" width="22.26953125" style="1" customWidth="1"/>
    <col min="12293" max="12293" width="17.81640625" style="1" customWidth="1"/>
    <col min="12294" max="12294" width="22.81640625" style="1" customWidth="1"/>
    <col min="12295" max="12295" width="25.453125" style="1" customWidth="1"/>
    <col min="12296" max="12297" width="6.7265625" style="1" customWidth="1"/>
    <col min="12298" max="12298" width="26.453125" style="1" customWidth="1"/>
    <col min="12299" max="12299" width="18.54296875" style="1" customWidth="1"/>
    <col min="12300" max="12300" width="29.81640625" style="1" customWidth="1"/>
    <col min="12301" max="12301" width="23.54296875" style="1" customWidth="1"/>
    <col min="12302" max="12302" width="31.453125" style="1" customWidth="1"/>
    <col min="12303" max="12543" width="8.7265625" style="1"/>
    <col min="12544" max="12544" width="7.81640625" style="1" customWidth="1"/>
    <col min="12545" max="12545" width="8.54296875" style="1" customWidth="1"/>
    <col min="12546" max="12546" width="20.1796875" style="1" customWidth="1"/>
    <col min="12547" max="12547" width="16.453125" style="1" customWidth="1"/>
    <col min="12548" max="12548" width="22.26953125" style="1" customWidth="1"/>
    <col min="12549" max="12549" width="17.81640625" style="1" customWidth="1"/>
    <col min="12550" max="12550" width="22.81640625" style="1" customWidth="1"/>
    <col min="12551" max="12551" width="25.453125" style="1" customWidth="1"/>
    <col min="12552" max="12553" width="6.7265625" style="1" customWidth="1"/>
    <col min="12554" max="12554" width="26.453125" style="1" customWidth="1"/>
    <col min="12555" max="12555" width="18.54296875" style="1" customWidth="1"/>
    <col min="12556" max="12556" width="29.81640625" style="1" customWidth="1"/>
    <col min="12557" max="12557" width="23.54296875" style="1" customWidth="1"/>
    <col min="12558" max="12558" width="31.453125" style="1" customWidth="1"/>
    <col min="12559" max="12799" width="8.7265625" style="1"/>
    <col min="12800" max="12800" width="7.81640625" style="1" customWidth="1"/>
    <col min="12801" max="12801" width="8.54296875" style="1" customWidth="1"/>
    <col min="12802" max="12802" width="20.1796875" style="1" customWidth="1"/>
    <col min="12803" max="12803" width="16.453125" style="1" customWidth="1"/>
    <col min="12804" max="12804" width="22.26953125" style="1" customWidth="1"/>
    <col min="12805" max="12805" width="17.81640625" style="1" customWidth="1"/>
    <col min="12806" max="12806" width="22.81640625" style="1" customWidth="1"/>
    <col min="12807" max="12807" width="25.453125" style="1" customWidth="1"/>
    <col min="12808" max="12809" width="6.7265625" style="1" customWidth="1"/>
    <col min="12810" max="12810" width="26.453125" style="1" customWidth="1"/>
    <col min="12811" max="12811" width="18.54296875" style="1" customWidth="1"/>
    <col min="12812" max="12812" width="29.81640625" style="1" customWidth="1"/>
    <col min="12813" max="12813" width="23.54296875" style="1" customWidth="1"/>
    <col min="12814" max="12814" width="31.453125" style="1" customWidth="1"/>
    <col min="12815" max="13055" width="8.7265625" style="1"/>
    <col min="13056" max="13056" width="7.81640625" style="1" customWidth="1"/>
    <col min="13057" max="13057" width="8.54296875" style="1" customWidth="1"/>
    <col min="13058" max="13058" width="20.1796875" style="1" customWidth="1"/>
    <col min="13059" max="13059" width="16.453125" style="1" customWidth="1"/>
    <col min="13060" max="13060" width="22.26953125" style="1" customWidth="1"/>
    <col min="13061" max="13061" width="17.81640625" style="1" customWidth="1"/>
    <col min="13062" max="13062" width="22.81640625" style="1" customWidth="1"/>
    <col min="13063" max="13063" width="25.453125" style="1" customWidth="1"/>
    <col min="13064" max="13065" width="6.7265625" style="1" customWidth="1"/>
    <col min="13066" max="13066" width="26.453125" style="1" customWidth="1"/>
    <col min="13067" max="13067" width="18.54296875" style="1" customWidth="1"/>
    <col min="13068" max="13068" width="29.81640625" style="1" customWidth="1"/>
    <col min="13069" max="13069" width="23.54296875" style="1" customWidth="1"/>
    <col min="13070" max="13070" width="31.453125" style="1" customWidth="1"/>
    <col min="13071" max="13311" width="8.7265625" style="1"/>
    <col min="13312" max="13312" width="7.81640625" style="1" customWidth="1"/>
    <col min="13313" max="13313" width="8.54296875" style="1" customWidth="1"/>
    <col min="13314" max="13314" width="20.1796875" style="1" customWidth="1"/>
    <col min="13315" max="13315" width="16.453125" style="1" customWidth="1"/>
    <col min="13316" max="13316" width="22.26953125" style="1" customWidth="1"/>
    <col min="13317" max="13317" width="17.81640625" style="1" customWidth="1"/>
    <col min="13318" max="13318" width="22.81640625" style="1" customWidth="1"/>
    <col min="13319" max="13319" width="25.453125" style="1" customWidth="1"/>
    <col min="13320" max="13321" width="6.7265625" style="1" customWidth="1"/>
    <col min="13322" max="13322" width="26.453125" style="1" customWidth="1"/>
    <col min="13323" max="13323" width="18.54296875" style="1" customWidth="1"/>
    <col min="13324" max="13324" width="29.81640625" style="1" customWidth="1"/>
    <col min="13325" max="13325" width="23.54296875" style="1" customWidth="1"/>
    <col min="13326" max="13326" width="31.453125" style="1" customWidth="1"/>
    <col min="13327" max="13567" width="8.7265625" style="1"/>
    <col min="13568" max="13568" width="7.81640625" style="1" customWidth="1"/>
    <col min="13569" max="13569" width="8.54296875" style="1" customWidth="1"/>
    <col min="13570" max="13570" width="20.1796875" style="1" customWidth="1"/>
    <col min="13571" max="13571" width="16.453125" style="1" customWidth="1"/>
    <col min="13572" max="13572" width="22.26953125" style="1" customWidth="1"/>
    <col min="13573" max="13573" width="17.81640625" style="1" customWidth="1"/>
    <col min="13574" max="13574" width="22.81640625" style="1" customWidth="1"/>
    <col min="13575" max="13575" width="25.453125" style="1" customWidth="1"/>
    <col min="13576" max="13577" width="6.7265625" style="1" customWidth="1"/>
    <col min="13578" max="13578" width="26.453125" style="1" customWidth="1"/>
    <col min="13579" max="13579" width="18.54296875" style="1" customWidth="1"/>
    <col min="13580" max="13580" width="29.81640625" style="1" customWidth="1"/>
    <col min="13581" max="13581" width="23.54296875" style="1" customWidth="1"/>
    <col min="13582" max="13582" width="31.453125" style="1" customWidth="1"/>
    <col min="13583" max="13823" width="8.7265625" style="1"/>
    <col min="13824" max="13824" width="7.81640625" style="1" customWidth="1"/>
    <col min="13825" max="13825" width="8.54296875" style="1" customWidth="1"/>
    <col min="13826" max="13826" width="20.1796875" style="1" customWidth="1"/>
    <col min="13827" max="13827" width="16.453125" style="1" customWidth="1"/>
    <col min="13828" max="13828" width="22.26953125" style="1" customWidth="1"/>
    <col min="13829" max="13829" width="17.81640625" style="1" customWidth="1"/>
    <col min="13830" max="13830" width="22.81640625" style="1" customWidth="1"/>
    <col min="13831" max="13831" width="25.453125" style="1" customWidth="1"/>
    <col min="13832" max="13833" width="6.7265625" style="1" customWidth="1"/>
    <col min="13834" max="13834" width="26.453125" style="1" customWidth="1"/>
    <col min="13835" max="13835" width="18.54296875" style="1" customWidth="1"/>
    <col min="13836" max="13836" width="29.81640625" style="1" customWidth="1"/>
    <col min="13837" max="13837" width="23.54296875" style="1" customWidth="1"/>
    <col min="13838" max="13838" width="31.453125" style="1" customWidth="1"/>
    <col min="13839" max="14079" width="8.7265625" style="1"/>
    <col min="14080" max="14080" width="7.81640625" style="1" customWidth="1"/>
    <col min="14081" max="14081" width="8.54296875" style="1" customWidth="1"/>
    <col min="14082" max="14082" width="20.1796875" style="1" customWidth="1"/>
    <col min="14083" max="14083" width="16.453125" style="1" customWidth="1"/>
    <col min="14084" max="14084" width="22.26953125" style="1" customWidth="1"/>
    <col min="14085" max="14085" width="17.81640625" style="1" customWidth="1"/>
    <col min="14086" max="14086" width="22.81640625" style="1" customWidth="1"/>
    <col min="14087" max="14087" width="25.453125" style="1" customWidth="1"/>
    <col min="14088" max="14089" width="6.7265625" style="1" customWidth="1"/>
    <col min="14090" max="14090" width="26.453125" style="1" customWidth="1"/>
    <col min="14091" max="14091" width="18.54296875" style="1" customWidth="1"/>
    <col min="14092" max="14092" width="29.81640625" style="1" customWidth="1"/>
    <col min="14093" max="14093" width="23.54296875" style="1" customWidth="1"/>
    <col min="14094" max="14094" width="31.453125" style="1" customWidth="1"/>
    <col min="14095" max="14335" width="8.7265625" style="1"/>
    <col min="14336" max="14336" width="7.81640625" style="1" customWidth="1"/>
    <col min="14337" max="14337" width="8.54296875" style="1" customWidth="1"/>
    <col min="14338" max="14338" width="20.1796875" style="1" customWidth="1"/>
    <col min="14339" max="14339" width="16.453125" style="1" customWidth="1"/>
    <col min="14340" max="14340" width="22.26953125" style="1" customWidth="1"/>
    <col min="14341" max="14341" width="17.81640625" style="1" customWidth="1"/>
    <col min="14342" max="14342" width="22.81640625" style="1" customWidth="1"/>
    <col min="14343" max="14343" width="25.453125" style="1" customWidth="1"/>
    <col min="14344" max="14345" width="6.7265625" style="1" customWidth="1"/>
    <col min="14346" max="14346" width="26.453125" style="1" customWidth="1"/>
    <col min="14347" max="14347" width="18.54296875" style="1" customWidth="1"/>
    <col min="14348" max="14348" width="29.81640625" style="1" customWidth="1"/>
    <col min="14349" max="14349" width="23.54296875" style="1" customWidth="1"/>
    <col min="14350" max="14350" width="31.453125" style="1" customWidth="1"/>
    <col min="14351" max="14591" width="8.7265625" style="1"/>
    <col min="14592" max="14592" width="7.81640625" style="1" customWidth="1"/>
    <col min="14593" max="14593" width="8.54296875" style="1" customWidth="1"/>
    <col min="14594" max="14594" width="20.1796875" style="1" customWidth="1"/>
    <col min="14595" max="14595" width="16.453125" style="1" customWidth="1"/>
    <col min="14596" max="14596" width="22.26953125" style="1" customWidth="1"/>
    <col min="14597" max="14597" width="17.81640625" style="1" customWidth="1"/>
    <col min="14598" max="14598" width="22.81640625" style="1" customWidth="1"/>
    <col min="14599" max="14599" width="25.453125" style="1" customWidth="1"/>
    <col min="14600" max="14601" width="6.7265625" style="1" customWidth="1"/>
    <col min="14602" max="14602" width="26.453125" style="1" customWidth="1"/>
    <col min="14603" max="14603" width="18.54296875" style="1" customWidth="1"/>
    <col min="14604" max="14604" width="29.81640625" style="1" customWidth="1"/>
    <col min="14605" max="14605" width="23.54296875" style="1" customWidth="1"/>
    <col min="14606" max="14606" width="31.453125" style="1" customWidth="1"/>
    <col min="14607" max="14847" width="8.7265625" style="1"/>
    <col min="14848" max="14848" width="7.81640625" style="1" customWidth="1"/>
    <col min="14849" max="14849" width="8.54296875" style="1" customWidth="1"/>
    <col min="14850" max="14850" width="20.1796875" style="1" customWidth="1"/>
    <col min="14851" max="14851" width="16.453125" style="1" customWidth="1"/>
    <col min="14852" max="14852" width="22.26953125" style="1" customWidth="1"/>
    <col min="14853" max="14853" width="17.81640625" style="1" customWidth="1"/>
    <col min="14854" max="14854" width="22.81640625" style="1" customWidth="1"/>
    <col min="14855" max="14855" width="25.453125" style="1" customWidth="1"/>
    <col min="14856" max="14857" width="6.7265625" style="1" customWidth="1"/>
    <col min="14858" max="14858" width="26.453125" style="1" customWidth="1"/>
    <col min="14859" max="14859" width="18.54296875" style="1" customWidth="1"/>
    <col min="14860" max="14860" width="29.81640625" style="1" customWidth="1"/>
    <col min="14861" max="14861" width="23.54296875" style="1" customWidth="1"/>
    <col min="14862" max="14862" width="31.453125" style="1" customWidth="1"/>
    <col min="14863" max="15103" width="8.7265625" style="1"/>
    <col min="15104" max="15104" width="7.81640625" style="1" customWidth="1"/>
    <col min="15105" max="15105" width="8.54296875" style="1" customWidth="1"/>
    <col min="15106" max="15106" width="20.1796875" style="1" customWidth="1"/>
    <col min="15107" max="15107" width="16.453125" style="1" customWidth="1"/>
    <col min="15108" max="15108" width="22.26953125" style="1" customWidth="1"/>
    <col min="15109" max="15109" width="17.81640625" style="1" customWidth="1"/>
    <col min="15110" max="15110" width="22.81640625" style="1" customWidth="1"/>
    <col min="15111" max="15111" width="25.453125" style="1" customWidth="1"/>
    <col min="15112" max="15113" width="6.7265625" style="1" customWidth="1"/>
    <col min="15114" max="15114" width="26.453125" style="1" customWidth="1"/>
    <col min="15115" max="15115" width="18.54296875" style="1" customWidth="1"/>
    <col min="15116" max="15116" width="29.81640625" style="1" customWidth="1"/>
    <col min="15117" max="15117" width="23.54296875" style="1" customWidth="1"/>
    <col min="15118" max="15118" width="31.453125" style="1" customWidth="1"/>
    <col min="15119" max="15359" width="8.7265625" style="1"/>
    <col min="15360" max="15360" width="7.81640625" style="1" customWidth="1"/>
    <col min="15361" max="15361" width="8.54296875" style="1" customWidth="1"/>
    <col min="15362" max="15362" width="20.1796875" style="1" customWidth="1"/>
    <col min="15363" max="15363" width="16.453125" style="1" customWidth="1"/>
    <col min="15364" max="15364" width="22.26953125" style="1" customWidth="1"/>
    <col min="15365" max="15365" width="17.81640625" style="1" customWidth="1"/>
    <col min="15366" max="15366" width="22.81640625" style="1" customWidth="1"/>
    <col min="15367" max="15367" width="25.453125" style="1" customWidth="1"/>
    <col min="15368" max="15369" width="6.7265625" style="1" customWidth="1"/>
    <col min="15370" max="15370" width="26.453125" style="1" customWidth="1"/>
    <col min="15371" max="15371" width="18.54296875" style="1" customWidth="1"/>
    <col min="15372" max="15372" width="29.81640625" style="1" customWidth="1"/>
    <col min="15373" max="15373" width="23.54296875" style="1" customWidth="1"/>
    <col min="15374" max="15374" width="31.453125" style="1" customWidth="1"/>
    <col min="15375" max="15615" width="8.7265625" style="1"/>
    <col min="15616" max="15616" width="7.81640625" style="1" customWidth="1"/>
    <col min="15617" max="15617" width="8.54296875" style="1" customWidth="1"/>
    <col min="15618" max="15618" width="20.1796875" style="1" customWidth="1"/>
    <col min="15619" max="15619" width="16.453125" style="1" customWidth="1"/>
    <col min="15620" max="15620" width="22.26953125" style="1" customWidth="1"/>
    <col min="15621" max="15621" width="17.81640625" style="1" customWidth="1"/>
    <col min="15622" max="15622" width="22.81640625" style="1" customWidth="1"/>
    <col min="15623" max="15623" width="25.453125" style="1" customWidth="1"/>
    <col min="15624" max="15625" width="6.7265625" style="1" customWidth="1"/>
    <col min="15626" max="15626" width="26.453125" style="1" customWidth="1"/>
    <col min="15627" max="15627" width="18.54296875" style="1" customWidth="1"/>
    <col min="15628" max="15628" width="29.81640625" style="1" customWidth="1"/>
    <col min="15629" max="15629" width="23.54296875" style="1" customWidth="1"/>
    <col min="15630" max="15630" width="31.453125" style="1" customWidth="1"/>
    <col min="15631" max="15871" width="8.7265625" style="1"/>
    <col min="15872" max="15872" width="7.81640625" style="1" customWidth="1"/>
    <col min="15873" max="15873" width="8.54296875" style="1" customWidth="1"/>
    <col min="15874" max="15874" width="20.1796875" style="1" customWidth="1"/>
    <col min="15875" max="15875" width="16.453125" style="1" customWidth="1"/>
    <col min="15876" max="15876" width="22.26953125" style="1" customWidth="1"/>
    <col min="15877" max="15877" width="17.81640625" style="1" customWidth="1"/>
    <col min="15878" max="15878" width="22.81640625" style="1" customWidth="1"/>
    <col min="15879" max="15879" width="25.453125" style="1" customWidth="1"/>
    <col min="15880" max="15881" width="6.7265625" style="1" customWidth="1"/>
    <col min="15882" max="15882" width="26.453125" style="1" customWidth="1"/>
    <col min="15883" max="15883" width="18.54296875" style="1" customWidth="1"/>
    <col min="15884" max="15884" width="29.81640625" style="1" customWidth="1"/>
    <col min="15885" max="15885" width="23.54296875" style="1" customWidth="1"/>
    <col min="15886" max="15886" width="31.453125" style="1" customWidth="1"/>
    <col min="15887" max="16127" width="8.7265625" style="1"/>
    <col min="16128" max="16128" width="7.81640625" style="1" customWidth="1"/>
    <col min="16129" max="16129" width="8.54296875" style="1" customWidth="1"/>
    <col min="16130" max="16130" width="20.1796875" style="1" customWidth="1"/>
    <col min="16131" max="16131" width="16.453125" style="1" customWidth="1"/>
    <col min="16132" max="16132" width="22.26953125" style="1" customWidth="1"/>
    <col min="16133" max="16133" width="17.81640625" style="1" customWidth="1"/>
    <col min="16134" max="16134" width="22.81640625" style="1" customWidth="1"/>
    <col min="16135" max="16135" width="25.453125" style="1" customWidth="1"/>
    <col min="16136" max="16137" width="6.7265625" style="1" customWidth="1"/>
    <col min="16138" max="16138" width="26.453125" style="1" customWidth="1"/>
    <col min="16139" max="16139" width="18.54296875" style="1" customWidth="1"/>
    <col min="16140" max="16140" width="29.81640625" style="1" customWidth="1"/>
    <col min="16141" max="16141" width="23.54296875" style="1" customWidth="1"/>
    <col min="16142" max="16142" width="31.453125" style="1" customWidth="1"/>
    <col min="16143" max="16383" width="8.7265625" style="1"/>
    <col min="16384" max="16384" width="9.1796875" style="1" customWidth="1"/>
  </cols>
  <sheetData>
    <row r="1" spans="1:16" ht="17.25" customHeight="1">
      <c r="A1" s="64" t="s">
        <v>93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17.25" customHeight="1">
      <c r="A2" s="64" t="str">
        <f>Honor_guru!A2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5" customHeight="1">
      <c r="C4" s="4" t="s">
        <v>0</v>
      </c>
      <c r="D4" s="5" t="str">
        <f>Honor_tendik!D4</f>
        <v>: ____________________________</v>
      </c>
      <c r="E4" s="5"/>
      <c r="F4" s="5"/>
      <c r="G4" s="5"/>
      <c r="H4" s="5"/>
      <c r="I4" s="5"/>
      <c r="K4" s="6"/>
      <c r="L4" s="7"/>
      <c r="M4" s="4" t="s">
        <v>26</v>
      </c>
      <c r="N4" s="4" t="s">
        <v>30</v>
      </c>
      <c r="O4" s="3"/>
    </row>
    <row r="5" spans="1:16" ht="15" customHeight="1">
      <c r="C5" s="4" t="s">
        <v>2</v>
      </c>
      <c r="D5" s="5" t="str">
        <f>Honor_tendik!D5</f>
        <v>: SD NEGERI LEBAKLEUNGSIR</v>
      </c>
      <c r="E5" s="4"/>
      <c r="F5" s="4"/>
      <c r="G5" s="4"/>
      <c r="H5" s="4"/>
      <c r="I5" s="4"/>
      <c r="K5" s="6"/>
      <c r="M5" s="4" t="s">
        <v>27</v>
      </c>
      <c r="N5" s="4" t="s">
        <v>154</v>
      </c>
      <c r="O5" s="3"/>
    </row>
    <row r="6" spans="1:16" ht="15" customHeight="1">
      <c r="C6" s="4" t="s">
        <v>3</v>
      </c>
      <c r="D6" s="5" t="str">
        <f>Honor_tendik!D6</f>
        <v>: Cikalongwetan</v>
      </c>
      <c r="E6" s="4"/>
      <c r="F6" s="4"/>
      <c r="G6" s="4"/>
      <c r="H6" s="4"/>
      <c r="I6" s="4"/>
      <c r="K6" s="6"/>
      <c r="M6" s="8" t="s">
        <v>28</v>
      </c>
      <c r="N6" s="4" t="s">
        <v>50</v>
      </c>
      <c r="O6" s="3"/>
    </row>
    <row r="7" spans="1:16" ht="15" customHeight="1">
      <c r="C7" s="4" t="s">
        <v>5</v>
      </c>
      <c r="D7" s="5" t="str">
        <f>Honor_tendik!D7</f>
        <v>: Bandung Barat</v>
      </c>
      <c r="E7" s="4"/>
      <c r="F7" s="4"/>
      <c r="G7" s="4"/>
      <c r="H7" s="4"/>
      <c r="I7" s="4"/>
      <c r="K7" s="6"/>
      <c r="M7" s="4" t="s">
        <v>7</v>
      </c>
      <c r="N7" s="30" t="s">
        <v>44</v>
      </c>
      <c r="O7" s="3"/>
      <c r="P7" s="8"/>
    </row>
    <row r="8" spans="1:16" ht="15" customHeight="1">
      <c r="M8" s="8"/>
      <c r="N8" s="8"/>
      <c r="O8" s="8"/>
    </row>
    <row r="9" spans="1:16" ht="18.5" customHeight="1">
      <c r="A9" s="62" t="s">
        <v>8</v>
      </c>
      <c r="B9" s="65" t="s">
        <v>9</v>
      </c>
      <c r="C9" s="66"/>
      <c r="D9" s="62" t="s">
        <v>10</v>
      </c>
      <c r="E9" s="69" t="s">
        <v>72</v>
      </c>
      <c r="F9" s="70"/>
      <c r="G9" s="70"/>
      <c r="H9" s="71"/>
      <c r="I9" s="72" t="s">
        <v>14</v>
      </c>
      <c r="J9" s="72" t="s">
        <v>11</v>
      </c>
      <c r="K9" s="65" t="s">
        <v>12</v>
      </c>
      <c r="L9" s="66"/>
      <c r="M9" s="74" t="s">
        <v>31</v>
      </c>
      <c r="N9" s="72" t="s">
        <v>16</v>
      </c>
      <c r="O9" s="65" t="s">
        <v>17</v>
      </c>
      <c r="P9" s="66"/>
    </row>
    <row r="10" spans="1:16" ht="28" customHeight="1">
      <c r="A10" s="63"/>
      <c r="B10" s="67"/>
      <c r="C10" s="68"/>
      <c r="D10" s="63"/>
      <c r="E10" s="35" t="s">
        <v>95</v>
      </c>
      <c r="F10" s="35" t="s">
        <v>41</v>
      </c>
      <c r="G10" s="35" t="s">
        <v>74</v>
      </c>
      <c r="H10" s="39" t="s">
        <v>92</v>
      </c>
      <c r="I10" s="73"/>
      <c r="J10" s="73"/>
      <c r="K10" s="67"/>
      <c r="L10" s="68"/>
      <c r="M10" s="75"/>
      <c r="N10" s="73"/>
      <c r="O10" s="67"/>
      <c r="P10" s="68"/>
    </row>
    <row r="11" spans="1:16" ht="30.5" customHeight="1">
      <c r="A11" s="11">
        <v>1</v>
      </c>
      <c r="B11" s="12" t="s">
        <v>94</v>
      </c>
      <c r="C11" s="13"/>
      <c r="D11" s="32" t="s">
        <v>46</v>
      </c>
      <c r="E11" s="37">
        <v>750000</v>
      </c>
      <c r="F11" s="37"/>
      <c r="G11" s="37"/>
      <c r="H11" s="40"/>
      <c r="I11" s="16">
        <f>IF(B11="","",SUM(E11:H11))</f>
        <v>750000</v>
      </c>
      <c r="J11" s="14" t="s">
        <v>32</v>
      </c>
      <c r="K11" s="14">
        <v>1</v>
      </c>
      <c r="L11" s="14" t="s">
        <v>19</v>
      </c>
      <c r="M11" s="17">
        <f>IFERROR(I11*0/100,"")</f>
        <v>0</v>
      </c>
      <c r="N11" s="16">
        <f>IFERROR(SUM(I11*K11)-M11,"")</f>
        <v>750000</v>
      </c>
      <c r="O11" s="54">
        <v>1</v>
      </c>
      <c r="P11" s="56">
        <v>2</v>
      </c>
    </row>
    <row r="12" spans="1:16" ht="30.5" customHeight="1">
      <c r="A12" s="11">
        <v>2</v>
      </c>
      <c r="B12" s="12"/>
      <c r="C12" s="13"/>
      <c r="D12" s="32"/>
      <c r="E12" s="37"/>
      <c r="F12" s="37"/>
      <c r="G12" s="37"/>
      <c r="H12" s="40"/>
      <c r="I12" s="16" t="str">
        <f t="shared" ref="I12:I16" si="0">IF(B12="","",SUM(E12:H12))</f>
        <v/>
      </c>
      <c r="J12" s="14"/>
      <c r="K12" s="14"/>
      <c r="L12" s="14"/>
      <c r="M12" s="17" t="str">
        <f t="shared" ref="M12:M16" si="1">IFERROR(I12*0/100,"")</f>
        <v/>
      </c>
      <c r="N12" s="16" t="str">
        <f t="shared" ref="N12:N16" si="2">IFERROR(SUM(I12*K12)-M12,"")</f>
        <v/>
      </c>
      <c r="O12" s="55"/>
      <c r="P12" s="57"/>
    </row>
    <row r="13" spans="1:16" ht="24" hidden="1" customHeight="1">
      <c r="A13" s="11">
        <v>3</v>
      </c>
      <c r="B13" s="12"/>
      <c r="C13" s="13"/>
      <c r="D13" s="32"/>
      <c r="E13" s="37"/>
      <c r="F13" s="37"/>
      <c r="G13" s="37"/>
      <c r="H13" s="40"/>
      <c r="I13" s="16" t="str">
        <f t="shared" si="0"/>
        <v/>
      </c>
      <c r="J13" s="14"/>
      <c r="K13" s="14"/>
      <c r="L13" s="14"/>
      <c r="M13" s="17" t="str">
        <f t="shared" si="1"/>
        <v/>
      </c>
      <c r="N13" s="16" t="str">
        <f t="shared" si="2"/>
        <v/>
      </c>
      <c r="O13" s="54">
        <v>3</v>
      </c>
      <c r="P13" s="56">
        <v>4</v>
      </c>
    </row>
    <row r="14" spans="1:16" ht="24" hidden="1" customHeight="1">
      <c r="A14" s="11">
        <v>4</v>
      </c>
      <c r="B14" s="12"/>
      <c r="C14" s="13"/>
      <c r="D14" s="32"/>
      <c r="E14" s="37"/>
      <c r="F14" s="37"/>
      <c r="G14" s="37"/>
      <c r="H14" s="40"/>
      <c r="I14" s="16" t="str">
        <f t="shared" si="0"/>
        <v/>
      </c>
      <c r="J14" s="14"/>
      <c r="K14" s="14"/>
      <c r="L14" s="14"/>
      <c r="M14" s="17" t="str">
        <f>IFERROR(I14*0/100,"")</f>
        <v/>
      </c>
      <c r="N14" s="16" t="str">
        <f t="shared" si="2"/>
        <v/>
      </c>
      <c r="O14" s="55"/>
      <c r="P14" s="57"/>
    </row>
    <row r="15" spans="1:16" ht="24" hidden="1" customHeight="1">
      <c r="A15" s="11">
        <v>5</v>
      </c>
      <c r="B15" s="12"/>
      <c r="C15" s="13"/>
      <c r="D15" s="13"/>
      <c r="E15" s="37"/>
      <c r="F15" s="37"/>
      <c r="G15" s="37"/>
      <c r="H15" s="13"/>
      <c r="I15" s="16" t="str">
        <f t="shared" si="0"/>
        <v/>
      </c>
      <c r="J15" s="14"/>
      <c r="K15" s="14"/>
      <c r="L15" s="14"/>
      <c r="M15" s="17" t="str">
        <f t="shared" si="1"/>
        <v/>
      </c>
      <c r="N15" s="16" t="str">
        <f t="shared" si="2"/>
        <v/>
      </c>
      <c r="O15" s="58">
        <v>5</v>
      </c>
      <c r="P15" s="59">
        <v>6</v>
      </c>
    </row>
    <row r="16" spans="1:16" ht="24" hidden="1" customHeight="1">
      <c r="A16" s="11">
        <v>6</v>
      </c>
      <c r="B16" s="12"/>
      <c r="C16" s="13"/>
      <c r="D16" s="13"/>
      <c r="E16" s="37"/>
      <c r="F16" s="37"/>
      <c r="G16" s="37"/>
      <c r="H16" s="13"/>
      <c r="I16" s="16" t="str">
        <f t="shared" si="0"/>
        <v/>
      </c>
      <c r="J16" s="14"/>
      <c r="K16" s="14"/>
      <c r="L16" s="14"/>
      <c r="M16" s="17" t="str">
        <f t="shared" si="1"/>
        <v/>
      </c>
      <c r="N16" s="16" t="str">
        <f t="shared" si="2"/>
        <v/>
      </c>
      <c r="O16" s="58"/>
      <c r="P16" s="59"/>
    </row>
    <row r="17" spans="1:19" s="21" customFormat="1" ht="22.5" customHeight="1">
      <c r="A17" s="60" t="s">
        <v>20</v>
      </c>
      <c r="B17" s="61"/>
      <c r="C17" s="61"/>
      <c r="D17" s="61"/>
      <c r="E17" s="61"/>
      <c r="F17" s="61"/>
      <c r="G17" s="61"/>
      <c r="H17" s="36"/>
      <c r="I17" s="18">
        <f>SUM(I11:I16)</f>
        <v>750000</v>
      </c>
      <c r="J17" s="36"/>
      <c r="K17" s="36"/>
      <c r="L17" s="36"/>
      <c r="M17" s="19">
        <f>SUM(M11:M16)</f>
        <v>0</v>
      </c>
      <c r="N17" s="18">
        <f>SUM(N11:N16)</f>
        <v>750000</v>
      </c>
      <c r="O17" s="20"/>
      <c r="P17" s="20"/>
      <c r="S17" s="22"/>
    </row>
    <row r="18" spans="1:19" ht="23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N18" s="23"/>
    </row>
    <row r="19" spans="1:19" ht="17.2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O19" s="24" t="str">
        <f>Honor_guru!P19</f>
        <v>Cikalongwetan, 2 Januari 2026</v>
      </c>
    </row>
    <row r="20" spans="1:19" ht="18" customHeight="1">
      <c r="A20" s="8"/>
      <c r="C20" s="24" t="s">
        <v>21</v>
      </c>
      <c r="D20" s="24"/>
      <c r="E20" s="24"/>
      <c r="F20" s="24"/>
      <c r="G20" s="24"/>
      <c r="H20" s="24"/>
      <c r="I20" s="24"/>
      <c r="J20" s="24"/>
      <c r="K20" s="24"/>
      <c r="L20" s="8"/>
      <c r="O20" s="24" t="str">
        <f>Honor_guru!P20</f>
        <v>Dibayar Lunas Tgl. 4 Februari 2026</v>
      </c>
    </row>
    <row r="21" spans="1:19">
      <c r="A21" s="8"/>
      <c r="C21" s="24" t="s">
        <v>22</v>
      </c>
      <c r="D21" s="24"/>
      <c r="E21" s="24"/>
      <c r="F21" s="24"/>
      <c r="G21" s="24"/>
      <c r="H21" s="24"/>
      <c r="I21" s="24"/>
      <c r="J21" s="24"/>
      <c r="K21" s="24"/>
      <c r="L21" s="8"/>
      <c r="O21" s="24" t="s">
        <v>23</v>
      </c>
    </row>
    <row r="22" spans="1:19">
      <c r="A22" s="8"/>
      <c r="C22" s="24"/>
      <c r="D22" s="24"/>
      <c r="E22" s="24"/>
      <c r="F22" s="24"/>
      <c r="G22" s="24"/>
      <c r="H22" s="24"/>
      <c r="I22" s="24"/>
      <c r="J22" s="24"/>
      <c r="K22" s="24"/>
      <c r="L22" s="8"/>
      <c r="O22" s="25"/>
      <c r="S22" s="26"/>
    </row>
    <row r="23" spans="1:19">
      <c r="A23" s="8"/>
      <c r="C23" s="24"/>
      <c r="D23" s="24"/>
      <c r="E23" s="24"/>
      <c r="F23" s="24"/>
      <c r="G23" s="24"/>
      <c r="H23" s="24"/>
      <c r="I23" s="24"/>
      <c r="J23" s="24"/>
      <c r="K23" s="24"/>
      <c r="L23" s="8"/>
      <c r="O23" s="25"/>
    </row>
    <row r="24" spans="1:19">
      <c r="A24" s="8"/>
      <c r="C24" s="24"/>
      <c r="D24" s="24"/>
      <c r="E24" s="24"/>
      <c r="F24" s="24"/>
      <c r="G24" s="24"/>
      <c r="H24" s="24"/>
      <c r="I24" s="24"/>
      <c r="J24" s="24"/>
      <c r="K24" s="24"/>
      <c r="L24" s="8"/>
      <c r="O24" s="25"/>
    </row>
    <row r="25" spans="1:19">
      <c r="A25" s="8"/>
      <c r="C25" s="24"/>
      <c r="D25" s="24"/>
      <c r="E25" s="24"/>
      <c r="F25" s="24"/>
      <c r="G25" s="24"/>
      <c r="H25" s="24"/>
      <c r="I25" s="24"/>
      <c r="J25" s="24"/>
      <c r="K25" s="24"/>
      <c r="L25" s="8"/>
      <c r="O25" s="25"/>
    </row>
    <row r="26" spans="1:19">
      <c r="A26" s="8"/>
      <c r="C26" s="24"/>
      <c r="D26" s="24"/>
      <c r="E26" s="24"/>
      <c r="F26" s="24"/>
      <c r="G26" s="24"/>
      <c r="H26" s="24"/>
      <c r="I26" s="24"/>
      <c r="J26" s="24"/>
      <c r="K26" s="24"/>
      <c r="L26" s="8"/>
      <c r="O26" s="25"/>
    </row>
    <row r="27" spans="1:19" ht="15" customHeight="1">
      <c r="A27" s="8"/>
      <c r="C27" s="27" t="str">
        <f>Honor_guru!C27</f>
        <v>BADRUDDIN, S.Ag.</v>
      </c>
      <c r="D27" s="28"/>
      <c r="E27" s="28"/>
      <c r="F27" s="28"/>
      <c r="G27" s="28"/>
      <c r="H27" s="28"/>
      <c r="I27" s="28"/>
      <c r="J27" s="28"/>
      <c r="K27" s="8"/>
      <c r="L27" s="8"/>
      <c r="O27" s="29" t="str">
        <f>Honor_guru!P27</f>
        <v>DEDE GUNAWAN, S.Pd.</v>
      </c>
    </row>
    <row r="28" spans="1:19" ht="15" customHeight="1">
      <c r="A28" s="8"/>
      <c r="C28" s="27" t="str">
        <f>Honor_guru!C28</f>
        <v>NIP. 197405082014121002</v>
      </c>
      <c r="D28" s="28"/>
      <c r="E28" s="28"/>
      <c r="F28" s="28"/>
      <c r="G28" s="28"/>
      <c r="H28" s="28"/>
      <c r="I28" s="28"/>
      <c r="J28" s="28"/>
      <c r="K28" s="8"/>
      <c r="L28" s="8"/>
      <c r="O28" s="29" t="str">
        <f>Honor_guru!P28</f>
        <v>NIP. 198507172020121003</v>
      </c>
    </row>
    <row r="29" spans="1:19" ht="15" customHeight="1">
      <c r="A29" s="8"/>
      <c r="C29" s="28"/>
      <c r="D29" s="28"/>
      <c r="E29" s="28"/>
      <c r="F29" s="28"/>
      <c r="G29" s="28"/>
      <c r="H29" s="28"/>
      <c r="I29" s="28"/>
      <c r="J29" s="28"/>
      <c r="K29" s="28"/>
      <c r="L29" s="8"/>
      <c r="O29" s="29"/>
    </row>
    <row r="30" spans="1:19" ht="15" customHeight="1">
      <c r="A30" s="8"/>
      <c r="C30" s="28"/>
      <c r="D30" s="28"/>
      <c r="E30" s="28"/>
      <c r="F30" s="28"/>
      <c r="G30" s="28"/>
      <c r="H30" s="28"/>
      <c r="I30" s="28"/>
      <c r="J30" s="28"/>
      <c r="K30" s="28"/>
      <c r="L30" s="8"/>
      <c r="O30" s="29"/>
    </row>
    <row r="37" spans="1:16" ht="17.25" customHeight="1">
      <c r="A37" s="64" t="str">
        <f>$A$1</f>
        <v>DAFTAR PENERIMA HONORARIUM/GAJI PENJAGA SEKOLAH TIDAK TETAP (PEMBAYARAN NON TUNAI)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</row>
    <row r="38" spans="1:16" ht="17.25" customHeight="1">
      <c r="A38" s="64" t="str">
        <f>Honor_guru!A37</f>
        <v>BULAN FEBRUARI 2026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</row>
    <row r="39" spans="1:16" ht="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5" customHeight="1">
      <c r="C40" s="4" t="s">
        <v>0</v>
      </c>
      <c r="D40" s="5" t="s">
        <v>1</v>
      </c>
      <c r="E40" s="5"/>
      <c r="F40" s="5"/>
      <c r="G40" s="5"/>
      <c r="H40" s="5"/>
      <c r="I40" s="5"/>
      <c r="K40" s="6"/>
      <c r="L40" s="7"/>
      <c r="M40" s="4" t="s">
        <v>26</v>
      </c>
      <c r="N40" s="4" t="str">
        <f>N4</f>
        <v>: 07 Pengembangan Standar Pembiayaan</v>
      </c>
      <c r="O40" s="3"/>
    </row>
    <row r="41" spans="1:16" ht="15" customHeight="1">
      <c r="C41" s="4" t="s">
        <v>2</v>
      </c>
      <c r="D41" s="4" t="str">
        <f>D5</f>
        <v>: SD NEGERI LEBAKLEUNGSIR</v>
      </c>
      <c r="E41" s="4"/>
      <c r="F41" s="4"/>
      <c r="G41" s="4"/>
      <c r="H41" s="4"/>
      <c r="I41" s="4"/>
      <c r="K41" s="6"/>
      <c r="M41" s="4" t="s">
        <v>27</v>
      </c>
      <c r="N41" s="4" t="str">
        <f>N5</f>
        <v>: Pembayaran Honor (Penjaga)</v>
      </c>
      <c r="O41" s="3"/>
    </row>
    <row r="42" spans="1:16" ht="15" customHeight="1">
      <c r="C42" s="4" t="s">
        <v>3</v>
      </c>
      <c r="D42" s="4" t="str">
        <f>D6</f>
        <v>: Cikalongwetan</v>
      </c>
      <c r="E42" s="4"/>
      <c r="F42" s="4"/>
      <c r="G42" s="4"/>
      <c r="H42" s="4"/>
      <c r="I42" s="4"/>
      <c r="K42" s="6"/>
      <c r="M42" s="8" t="s">
        <v>28</v>
      </c>
      <c r="N42" s="4" t="str">
        <f>N6</f>
        <v>: 5.1.02.02.01.0013</v>
      </c>
      <c r="O42" s="3"/>
    </row>
    <row r="43" spans="1:16" ht="15" customHeight="1">
      <c r="C43" s="4" t="s">
        <v>5</v>
      </c>
      <c r="D43" s="4" t="str">
        <f>D7</f>
        <v>: Bandung Barat</v>
      </c>
      <c r="E43" s="4"/>
      <c r="F43" s="4"/>
      <c r="G43" s="4"/>
      <c r="H43" s="4"/>
      <c r="I43" s="4"/>
      <c r="K43" s="6"/>
      <c r="M43" s="4" t="s">
        <v>7</v>
      </c>
      <c r="N43" s="4" t="str">
        <f>N7</f>
        <v>: 12</v>
      </c>
      <c r="O43" s="3"/>
      <c r="P43" s="8"/>
    </row>
    <row r="44" spans="1:16" ht="15" customHeight="1">
      <c r="M44" s="8"/>
      <c r="N44" s="8"/>
      <c r="O44" s="8"/>
    </row>
    <row r="45" spans="1:16" ht="18.5" customHeight="1">
      <c r="A45" s="62" t="s">
        <v>8</v>
      </c>
      <c r="B45" s="65" t="s">
        <v>9</v>
      </c>
      <c r="C45" s="66"/>
      <c r="D45" s="62" t="s">
        <v>10</v>
      </c>
      <c r="E45" s="69" t="s">
        <v>72</v>
      </c>
      <c r="F45" s="70"/>
      <c r="G45" s="70"/>
      <c r="H45" s="71"/>
      <c r="I45" s="72" t="s">
        <v>14</v>
      </c>
      <c r="J45" s="72" t="s">
        <v>11</v>
      </c>
      <c r="K45" s="65" t="s">
        <v>12</v>
      </c>
      <c r="L45" s="66"/>
      <c r="M45" s="74" t="s">
        <v>31</v>
      </c>
      <c r="N45" s="72" t="s">
        <v>16</v>
      </c>
      <c r="O45" s="65" t="s">
        <v>17</v>
      </c>
      <c r="P45" s="66"/>
    </row>
    <row r="46" spans="1:16" ht="34" customHeight="1">
      <c r="A46" s="63"/>
      <c r="B46" s="67"/>
      <c r="C46" s="68"/>
      <c r="D46" s="63"/>
      <c r="E46" s="35" t="str">
        <f t="shared" ref="E46:H52" si="3">IF(E10="","",E10)</f>
        <v>Penjaga</v>
      </c>
      <c r="F46" s="35" t="str">
        <f t="shared" si="3"/>
        <v>Guru</v>
      </c>
      <c r="G46" s="35" t="str">
        <f t="shared" si="3"/>
        <v>Pembina Ekskul</v>
      </c>
      <c r="H46" s="39" t="str">
        <f t="shared" si="3"/>
        <v>Tenaga Perpustakaan</v>
      </c>
      <c r="I46" s="73"/>
      <c r="J46" s="73"/>
      <c r="K46" s="67"/>
      <c r="L46" s="68"/>
      <c r="M46" s="75"/>
      <c r="N46" s="73"/>
      <c r="O46" s="67"/>
      <c r="P46" s="68"/>
    </row>
    <row r="47" spans="1:16" ht="31" customHeight="1">
      <c r="A47" s="11">
        <v>1</v>
      </c>
      <c r="B47" s="12" t="str">
        <f t="shared" ref="B47:B52" si="4">IF(B11="","",B11)</f>
        <v>USEP PUDIN</v>
      </c>
      <c r="C47" s="13"/>
      <c r="D47" s="32" t="str">
        <f t="shared" ref="D47:D52" si="5">IF(D11="","",D11)</f>
        <v>Penjaga Sekolah</v>
      </c>
      <c r="E47" s="37">
        <f t="shared" si="3"/>
        <v>750000</v>
      </c>
      <c r="F47" s="37" t="str">
        <f t="shared" si="3"/>
        <v/>
      </c>
      <c r="G47" s="37" t="str">
        <f t="shared" si="3"/>
        <v/>
      </c>
      <c r="H47" s="37" t="str">
        <f t="shared" si="3"/>
        <v/>
      </c>
      <c r="I47" s="16">
        <f>IF(B47="","",SUM(E47:H47))</f>
        <v>750000</v>
      </c>
      <c r="J47" s="38" t="str">
        <f t="shared" ref="J47:L52" si="6">IF(J11="","",J11)</f>
        <v>PTT</v>
      </c>
      <c r="K47" s="38">
        <f t="shared" si="6"/>
        <v>1</v>
      </c>
      <c r="L47" s="38" t="str">
        <f t="shared" si="6"/>
        <v>Bulan</v>
      </c>
      <c r="M47" s="17">
        <f>IFERROR(I47*0/100,"")</f>
        <v>0</v>
      </c>
      <c r="N47" s="16">
        <f>IFERROR(SUM(I47*K47)-M47,"")</f>
        <v>750000</v>
      </c>
      <c r="O47" s="54">
        <v>1</v>
      </c>
      <c r="P47" s="56">
        <v>2</v>
      </c>
    </row>
    <row r="48" spans="1:16" ht="31" customHeight="1">
      <c r="A48" s="11">
        <v>2</v>
      </c>
      <c r="B48" s="12" t="str">
        <f t="shared" si="4"/>
        <v/>
      </c>
      <c r="C48" s="13"/>
      <c r="D48" s="32" t="str">
        <f t="shared" si="5"/>
        <v/>
      </c>
      <c r="E48" s="37" t="str">
        <f t="shared" si="3"/>
        <v/>
      </c>
      <c r="F48" s="37" t="str">
        <f t="shared" si="3"/>
        <v/>
      </c>
      <c r="G48" s="37" t="str">
        <f t="shared" si="3"/>
        <v/>
      </c>
      <c r="H48" s="37" t="str">
        <f t="shared" si="3"/>
        <v/>
      </c>
      <c r="I48" s="16" t="str">
        <f t="shared" ref="I48:I52" si="7">IF(B48="","",SUM(E48:H48))</f>
        <v/>
      </c>
      <c r="J48" s="38" t="str">
        <f t="shared" si="6"/>
        <v/>
      </c>
      <c r="K48" s="38" t="str">
        <f t="shared" si="6"/>
        <v/>
      </c>
      <c r="L48" s="38" t="str">
        <f t="shared" si="6"/>
        <v/>
      </c>
      <c r="M48" s="17" t="str">
        <f t="shared" ref="M48:M52" si="8">IFERROR(I48*0/100,"")</f>
        <v/>
      </c>
      <c r="N48" s="16" t="str">
        <f t="shared" ref="N48:N52" si="9">IFERROR(SUM(I48*K48)-M48,"")</f>
        <v/>
      </c>
      <c r="O48" s="55"/>
      <c r="P48" s="57"/>
    </row>
    <row r="49" spans="1:19" ht="24" hidden="1" customHeight="1">
      <c r="A49" s="11">
        <v>3</v>
      </c>
      <c r="B49" s="12" t="str">
        <f t="shared" si="4"/>
        <v/>
      </c>
      <c r="C49" s="13"/>
      <c r="D49" s="32" t="str">
        <f t="shared" si="5"/>
        <v/>
      </c>
      <c r="E49" s="37" t="str">
        <f t="shared" si="3"/>
        <v/>
      </c>
      <c r="F49" s="37" t="str">
        <f t="shared" si="3"/>
        <v/>
      </c>
      <c r="G49" s="37" t="str">
        <f t="shared" si="3"/>
        <v/>
      </c>
      <c r="H49" s="37" t="str">
        <f t="shared" si="3"/>
        <v/>
      </c>
      <c r="I49" s="16" t="str">
        <f t="shared" si="7"/>
        <v/>
      </c>
      <c r="J49" s="38" t="str">
        <f t="shared" si="6"/>
        <v/>
      </c>
      <c r="K49" s="38" t="str">
        <f t="shared" si="6"/>
        <v/>
      </c>
      <c r="L49" s="38" t="str">
        <f t="shared" si="6"/>
        <v/>
      </c>
      <c r="M49" s="17" t="str">
        <f t="shared" si="8"/>
        <v/>
      </c>
      <c r="N49" s="16" t="str">
        <f t="shared" si="9"/>
        <v/>
      </c>
      <c r="O49" s="54">
        <v>3</v>
      </c>
      <c r="P49" s="56">
        <v>4</v>
      </c>
    </row>
    <row r="50" spans="1:19" ht="24" hidden="1" customHeight="1">
      <c r="A50" s="11">
        <v>4</v>
      </c>
      <c r="B50" s="12" t="str">
        <f t="shared" si="4"/>
        <v/>
      </c>
      <c r="C50" s="13"/>
      <c r="D50" s="32" t="str">
        <f t="shared" si="5"/>
        <v/>
      </c>
      <c r="E50" s="37" t="str">
        <f t="shared" si="3"/>
        <v/>
      </c>
      <c r="F50" s="37" t="str">
        <f t="shared" si="3"/>
        <v/>
      </c>
      <c r="G50" s="37" t="str">
        <f t="shared" si="3"/>
        <v/>
      </c>
      <c r="H50" s="37" t="str">
        <f t="shared" si="3"/>
        <v/>
      </c>
      <c r="I50" s="16" t="str">
        <f t="shared" si="7"/>
        <v/>
      </c>
      <c r="J50" s="38" t="str">
        <f t="shared" si="6"/>
        <v/>
      </c>
      <c r="K50" s="38" t="str">
        <f t="shared" si="6"/>
        <v/>
      </c>
      <c r="L50" s="38" t="str">
        <f t="shared" si="6"/>
        <v/>
      </c>
      <c r="M50" s="17" t="str">
        <f t="shared" si="8"/>
        <v/>
      </c>
      <c r="N50" s="16" t="str">
        <f t="shared" si="9"/>
        <v/>
      </c>
      <c r="O50" s="55"/>
      <c r="P50" s="57"/>
    </row>
    <row r="51" spans="1:19" ht="24" hidden="1" customHeight="1">
      <c r="A51" s="11">
        <v>5</v>
      </c>
      <c r="B51" s="12" t="str">
        <f t="shared" si="4"/>
        <v/>
      </c>
      <c r="C51" s="13"/>
      <c r="D51" s="32" t="str">
        <f t="shared" si="5"/>
        <v/>
      </c>
      <c r="E51" s="37" t="str">
        <f t="shared" si="3"/>
        <v/>
      </c>
      <c r="F51" s="37" t="str">
        <f t="shared" si="3"/>
        <v/>
      </c>
      <c r="G51" s="37" t="str">
        <f t="shared" si="3"/>
        <v/>
      </c>
      <c r="H51" s="37" t="str">
        <f t="shared" si="3"/>
        <v/>
      </c>
      <c r="I51" s="16" t="str">
        <f t="shared" si="7"/>
        <v/>
      </c>
      <c r="J51" s="38" t="str">
        <f t="shared" si="6"/>
        <v/>
      </c>
      <c r="K51" s="38" t="str">
        <f t="shared" si="6"/>
        <v/>
      </c>
      <c r="L51" s="38" t="str">
        <f t="shared" si="6"/>
        <v/>
      </c>
      <c r="M51" s="17" t="str">
        <f t="shared" si="8"/>
        <v/>
      </c>
      <c r="N51" s="16" t="str">
        <f t="shared" si="9"/>
        <v/>
      </c>
      <c r="O51" s="58">
        <v>5</v>
      </c>
      <c r="P51" s="59">
        <v>6</v>
      </c>
    </row>
    <row r="52" spans="1:19" ht="24" hidden="1" customHeight="1">
      <c r="A52" s="11">
        <v>6</v>
      </c>
      <c r="B52" s="12" t="str">
        <f t="shared" si="4"/>
        <v/>
      </c>
      <c r="C52" s="13"/>
      <c r="D52" s="32" t="str">
        <f t="shared" si="5"/>
        <v/>
      </c>
      <c r="E52" s="37" t="str">
        <f t="shared" si="3"/>
        <v/>
      </c>
      <c r="F52" s="37" t="str">
        <f t="shared" si="3"/>
        <v/>
      </c>
      <c r="G52" s="37" t="str">
        <f t="shared" si="3"/>
        <v/>
      </c>
      <c r="H52" s="37" t="str">
        <f t="shared" si="3"/>
        <v/>
      </c>
      <c r="I52" s="16" t="str">
        <f t="shared" si="7"/>
        <v/>
      </c>
      <c r="J52" s="38" t="str">
        <f t="shared" si="6"/>
        <v/>
      </c>
      <c r="K52" s="38" t="str">
        <f t="shared" si="6"/>
        <v/>
      </c>
      <c r="L52" s="38" t="str">
        <f t="shared" si="6"/>
        <v/>
      </c>
      <c r="M52" s="17" t="str">
        <f t="shared" si="8"/>
        <v/>
      </c>
      <c r="N52" s="16" t="str">
        <f t="shared" si="9"/>
        <v/>
      </c>
      <c r="O52" s="58"/>
      <c r="P52" s="59"/>
    </row>
    <row r="53" spans="1:19" s="21" customFormat="1" ht="22.5" customHeight="1">
      <c r="A53" s="60" t="s">
        <v>20</v>
      </c>
      <c r="B53" s="61"/>
      <c r="C53" s="61"/>
      <c r="D53" s="61"/>
      <c r="E53" s="61"/>
      <c r="F53" s="61"/>
      <c r="G53" s="61"/>
      <c r="H53" s="36"/>
      <c r="I53" s="18">
        <f>SUM(I47:I52)</f>
        <v>750000</v>
      </c>
      <c r="J53" s="36"/>
      <c r="K53" s="36"/>
      <c r="L53" s="36"/>
      <c r="M53" s="19">
        <f>SUM(M47:M52)</f>
        <v>0</v>
      </c>
      <c r="N53" s="18">
        <f>SUM(N47:N52)</f>
        <v>750000</v>
      </c>
      <c r="O53" s="20"/>
      <c r="P53" s="20"/>
      <c r="S53" s="22"/>
    </row>
    <row r="54" spans="1:19" ht="23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N54" s="23"/>
    </row>
    <row r="55" spans="1:19" ht="17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O55" s="24" t="str">
        <f>Honor_guru!P54</f>
        <v>Cikalongwetan, 1 Februari 2026</v>
      </c>
    </row>
    <row r="56" spans="1:19" ht="18" customHeight="1">
      <c r="A56" s="8"/>
      <c r="C56" s="24" t="s">
        <v>21</v>
      </c>
      <c r="D56" s="24"/>
      <c r="E56" s="24"/>
      <c r="F56" s="24"/>
      <c r="G56" s="24"/>
      <c r="H56" s="24"/>
      <c r="I56" s="24"/>
      <c r="J56" s="24"/>
      <c r="K56" s="24"/>
      <c r="L56" s="8"/>
      <c r="O56" s="24" t="str">
        <f>Honor_guru!P55</f>
        <v>Dibayar Lunas Tgl. 4 Februari 2026</v>
      </c>
    </row>
    <row r="57" spans="1:19">
      <c r="A57" s="8"/>
      <c r="C57" s="24" t="s">
        <v>22</v>
      </c>
      <c r="D57" s="24"/>
      <c r="E57" s="24"/>
      <c r="F57" s="24"/>
      <c r="G57" s="24"/>
      <c r="H57" s="24"/>
      <c r="I57" s="24"/>
      <c r="J57" s="24"/>
      <c r="K57" s="24"/>
      <c r="L57" s="8"/>
      <c r="O57" s="24" t="s">
        <v>23</v>
      </c>
    </row>
    <row r="58" spans="1:19">
      <c r="A58" s="8"/>
      <c r="C58" s="24"/>
      <c r="D58" s="24"/>
      <c r="E58" s="24"/>
      <c r="F58" s="24"/>
      <c r="G58" s="24"/>
      <c r="H58" s="24"/>
      <c r="I58" s="24"/>
      <c r="J58" s="24"/>
      <c r="K58" s="24"/>
      <c r="L58" s="8"/>
      <c r="O58" s="25"/>
      <c r="S58" s="26"/>
    </row>
    <row r="59" spans="1:19">
      <c r="A59" s="8"/>
      <c r="C59" s="24"/>
      <c r="D59" s="24"/>
      <c r="E59" s="24"/>
      <c r="F59" s="24"/>
      <c r="G59" s="24"/>
      <c r="H59" s="24"/>
      <c r="I59" s="24"/>
      <c r="J59" s="24"/>
      <c r="K59" s="24"/>
      <c r="L59" s="8"/>
      <c r="O59" s="25"/>
    </row>
    <row r="60" spans="1:19">
      <c r="A60" s="8"/>
      <c r="C60" s="24"/>
      <c r="D60" s="24"/>
      <c r="E60" s="24"/>
      <c r="F60" s="24"/>
      <c r="G60" s="24"/>
      <c r="H60" s="24"/>
      <c r="I60" s="24"/>
      <c r="J60" s="24"/>
      <c r="K60" s="24"/>
      <c r="L60" s="8"/>
      <c r="O60" s="25"/>
    </row>
    <row r="61" spans="1:19">
      <c r="A61" s="8"/>
      <c r="C61" s="24"/>
      <c r="D61" s="24"/>
      <c r="E61" s="24"/>
      <c r="F61" s="24"/>
      <c r="G61" s="24"/>
      <c r="H61" s="24"/>
      <c r="I61" s="24"/>
      <c r="J61" s="24"/>
      <c r="K61" s="24"/>
      <c r="L61" s="8"/>
      <c r="O61" s="25"/>
    </row>
    <row r="62" spans="1:19">
      <c r="A62" s="8"/>
      <c r="C62" s="24"/>
      <c r="D62" s="24"/>
      <c r="E62" s="24"/>
      <c r="F62" s="24"/>
      <c r="G62" s="24"/>
      <c r="H62" s="24"/>
      <c r="I62" s="24"/>
      <c r="J62" s="24"/>
      <c r="K62" s="24"/>
      <c r="L62" s="8"/>
      <c r="O62" s="25"/>
    </row>
    <row r="63" spans="1:19" ht="15" customHeight="1">
      <c r="A63" s="8"/>
      <c r="C63" s="27" t="str">
        <f>IF(C27="","",C27)</f>
        <v>BADRUDDIN, S.Ag.</v>
      </c>
      <c r="D63" s="28"/>
      <c r="E63" s="28"/>
      <c r="F63" s="28"/>
      <c r="G63" s="28"/>
      <c r="H63" s="28"/>
      <c r="I63" s="28"/>
      <c r="J63" s="28"/>
      <c r="K63" s="8"/>
      <c r="L63" s="8"/>
      <c r="O63" s="27" t="str">
        <f>IF(O27="","",O27)</f>
        <v>DEDE GUNAWAN, S.Pd.</v>
      </c>
    </row>
    <row r="64" spans="1:19" ht="15" customHeight="1">
      <c r="A64" s="8"/>
      <c r="C64" s="27" t="str">
        <f>IF(C28="","",C28)</f>
        <v>NIP. 197405082014121002</v>
      </c>
      <c r="D64" s="28"/>
      <c r="E64" s="28"/>
      <c r="F64" s="28"/>
      <c r="G64" s="28"/>
      <c r="H64" s="28"/>
      <c r="I64" s="28"/>
      <c r="J64" s="28"/>
      <c r="K64" s="8"/>
      <c r="L64" s="8"/>
      <c r="O64" s="27" t="str">
        <f>IF(O28="","",O28)</f>
        <v>NIP. 198507172020121003</v>
      </c>
    </row>
    <row r="73" spans="1:16" ht="17.25" customHeight="1">
      <c r="A73" s="64" t="str">
        <f>$A$1</f>
        <v>DAFTAR PENERIMA HONORARIUM/GAJI PENJAGA SEKOLAH TIDAK TETAP (PEMBAYARAN NON TUNAI)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</row>
    <row r="74" spans="1:16" ht="17.25" customHeight="1">
      <c r="A74" s="64" t="str">
        <f>Honor_guru!A73</f>
        <v>BULAN MARET 2026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</row>
    <row r="75" spans="1:16" ht="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5" customHeight="1">
      <c r="C76" s="4" t="s">
        <v>0</v>
      </c>
      <c r="D76" s="5" t="s">
        <v>1</v>
      </c>
      <c r="E76" s="5"/>
      <c r="F76" s="5"/>
      <c r="G76" s="5"/>
      <c r="H76" s="5"/>
      <c r="I76" s="5"/>
      <c r="K76" s="6"/>
      <c r="L76" s="7"/>
      <c r="M76" s="4" t="s">
        <v>26</v>
      </c>
      <c r="N76" s="4" t="str">
        <f>N40</f>
        <v>: 07 Pengembangan Standar Pembiayaan</v>
      </c>
      <c r="O76" s="3"/>
    </row>
    <row r="77" spans="1:16" ht="15" customHeight="1">
      <c r="C77" s="4" t="s">
        <v>2</v>
      </c>
      <c r="D77" s="4" t="str">
        <f>D41</f>
        <v>: SD NEGERI LEBAKLEUNGSIR</v>
      </c>
      <c r="E77" s="4"/>
      <c r="F77" s="4"/>
      <c r="G77" s="4"/>
      <c r="H77" s="4"/>
      <c r="I77" s="4"/>
      <c r="K77" s="6"/>
      <c r="M77" s="4" t="s">
        <v>27</v>
      </c>
      <c r="N77" s="4" t="str">
        <f>N41</f>
        <v>: Pembayaran Honor (Penjaga)</v>
      </c>
      <c r="O77" s="3"/>
    </row>
    <row r="78" spans="1:16" ht="15" customHeight="1">
      <c r="C78" s="4" t="s">
        <v>3</v>
      </c>
      <c r="D78" s="4" t="str">
        <f>D42</f>
        <v>: Cikalongwetan</v>
      </c>
      <c r="E78" s="4"/>
      <c r="F78" s="4"/>
      <c r="G78" s="4"/>
      <c r="H78" s="4"/>
      <c r="I78" s="4"/>
      <c r="K78" s="6"/>
      <c r="M78" s="8" t="s">
        <v>28</v>
      </c>
      <c r="N78" s="4" t="str">
        <f>N42</f>
        <v>: 5.1.02.02.01.0013</v>
      </c>
      <c r="O78" s="3"/>
    </row>
    <row r="79" spans="1:16" ht="15" customHeight="1">
      <c r="C79" s="4" t="s">
        <v>5</v>
      </c>
      <c r="D79" s="4" t="str">
        <f>D43</f>
        <v>: Bandung Barat</v>
      </c>
      <c r="E79" s="4"/>
      <c r="F79" s="4"/>
      <c r="G79" s="4"/>
      <c r="H79" s="4"/>
      <c r="I79" s="4"/>
      <c r="K79" s="6"/>
      <c r="M79" s="4" t="s">
        <v>7</v>
      </c>
      <c r="N79" s="4" t="str">
        <f>N43</f>
        <v>: 12</v>
      </c>
      <c r="O79" s="3"/>
      <c r="P79" s="8"/>
    </row>
    <row r="80" spans="1:16" ht="15" customHeight="1">
      <c r="M80" s="8"/>
      <c r="N80" s="8"/>
      <c r="O80" s="8"/>
    </row>
    <row r="81" spans="1:19" ht="18.5" customHeight="1">
      <c r="A81" s="62" t="s">
        <v>8</v>
      </c>
      <c r="B81" s="65" t="s">
        <v>9</v>
      </c>
      <c r="C81" s="66"/>
      <c r="D81" s="62" t="s">
        <v>10</v>
      </c>
      <c r="E81" s="69" t="s">
        <v>72</v>
      </c>
      <c r="F81" s="70"/>
      <c r="G81" s="70"/>
      <c r="H81" s="71"/>
      <c r="I81" s="72" t="s">
        <v>14</v>
      </c>
      <c r="J81" s="72" t="s">
        <v>11</v>
      </c>
      <c r="K81" s="65" t="s">
        <v>12</v>
      </c>
      <c r="L81" s="66"/>
      <c r="M81" s="74" t="s">
        <v>31</v>
      </c>
      <c r="N81" s="72" t="s">
        <v>16</v>
      </c>
      <c r="O81" s="65" t="s">
        <v>17</v>
      </c>
      <c r="P81" s="66"/>
    </row>
    <row r="82" spans="1:19" ht="34" customHeight="1">
      <c r="A82" s="63"/>
      <c r="B82" s="67"/>
      <c r="C82" s="68"/>
      <c r="D82" s="63"/>
      <c r="E82" s="35" t="str">
        <f t="shared" ref="E82:H88" si="10">IF(E46="","",E46)</f>
        <v>Penjaga</v>
      </c>
      <c r="F82" s="35" t="str">
        <f t="shared" si="10"/>
        <v>Guru</v>
      </c>
      <c r="G82" s="35" t="str">
        <f t="shared" si="10"/>
        <v>Pembina Ekskul</v>
      </c>
      <c r="H82" s="39" t="str">
        <f t="shared" si="10"/>
        <v>Tenaga Perpustakaan</v>
      </c>
      <c r="I82" s="73"/>
      <c r="J82" s="73"/>
      <c r="K82" s="67"/>
      <c r="L82" s="68"/>
      <c r="M82" s="75"/>
      <c r="N82" s="73"/>
      <c r="O82" s="67"/>
      <c r="P82" s="68"/>
    </row>
    <row r="83" spans="1:19" ht="31" customHeight="1">
      <c r="A83" s="11">
        <v>1</v>
      </c>
      <c r="B83" s="12" t="str">
        <f t="shared" ref="B83:B88" si="11">IF(B47="","",B47)</f>
        <v>USEP PUDIN</v>
      </c>
      <c r="C83" s="13"/>
      <c r="D83" s="32" t="str">
        <f t="shared" ref="D83:D88" si="12">IF(D47="","",D47)</f>
        <v>Penjaga Sekolah</v>
      </c>
      <c r="E83" s="37">
        <f t="shared" si="10"/>
        <v>750000</v>
      </c>
      <c r="F83" s="37" t="str">
        <f t="shared" si="10"/>
        <v/>
      </c>
      <c r="G83" s="37" t="str">
        <f t="shared" si="10"/>
        <v/>
      </c>
      <c r="H83" s="37" t="str">
        <f t="shared" si="10"/>
        <v/>
      </c>
      <c r="I83" s="16">
        <f>IF(B83="","",SUM(E83:H83))</f>
        <v>750000</v>
      </c>
      <c r="J83" s="38" t="str">
        <f t="shared" ref="J83:L88" si="13">IF(J47="","",J47)</f>
        <v>PTT</v>
      </c>
      <c r="K83" s="38">
        <f t="shared" si="13"/>
        <v>1</v>
      </c>
      <c r="L83" s="38" t="str">
        <f t="shared" si="13"/>
        <v>Bulan</v>
      </c>
      <c r="M83" s="17">
        <f>IFERROR(I83*0/100,"")</f>
        <v>0</v>
      </c>
      <c r="N83" s="16">
        <f>IFERROR(SUM(I83*K83)-M83,"")</f>
        <v>750000</v>
      </c>
      <c r="O83" s="54">
        <v>1</v>
      </c>
      <c r="P83" s="56">
        <v>2</v>
      </c>
    </row>
    <row r="84" spans="1:19" ht="31" customHeight="1">
      <c r="A84" s="11">
        <v>2</v>
      </c>
      <c r="B84" s="12" t="str">
        <f t="shared" si="11"/>
        <v/>
      </c>
      <c r="C84" s="13"/>
      <c r="D84" s="32" t="str">
        <f t="shared" si="12"/>
        <v/>
      </c>
      <c r="E84" s="37" t="str">
        <f t="shared" si="10"/>
        <v/>
      </c>
      <c r="F84" s="37" t="str">
        <f t="shared" si="10"/>
        <v/>
      </c>
      <c r="G84" s="37" t="str">
        <f t="shared" si="10"/>
        <v/>
      </c>
      <c r="H84" s="37" t="str">
        <f t="shared" si="10"/>
        <v/>
      </c>
      <c r="I84" s="16" t="str">
        <f t="shared" ref="I84:I88" si="14">IF(B84="","",SUM(E84:H84))</f>
        <v/>
      </c>
      <c r="J84" s="38" t="str">
        <f t="shared" si="13"/>
        <v/>
      </c>
      <c r="K84" s="38" t="str">
        <f t="shared" si="13"/>
        <v/>
      </c>
      <c r="L84" s="38" t="str">
        <f t="shared" si="13"/>
        <v/>
      </c>
      <c r="M84" s="17" t="str">
        <f t="shared" ref="M84:M88" si="15">IFERROR(I84*0/100,"")</f>
        <v/>
      </c>
      <c r="N84" s="16" t="str">
        <f t="shared" ref="N84:N88" si="16">IFERROR(SUM(I84*K84)-M84,"")</f>
        <v/>
      </c>
      <c r="O84" s="55"/>
      <c r="P84" s="57"/>
    </row>
    <row r="85" spans="1:19" ht="24" hidden="1" customHeight="1">
      <c r="A85" s="11">
        <v>3</v>
      </c>
      <c r="B85" s="12" t="str">
        <f t="shared" si="11"/>
        <v/>
      </c>
      <c r="C85" s="13"/>
      <c r="D85" s="32" t="str">
        <f t="shared" si="12"/>
        <v/>
      </c>
      <c r="E85" s="37" t="str">
        <f t="shared" si="10"/>
        <v/>
      </c>
      <c r="F85" s="37" t="str">
        <f t="shared" si="10"/>
        <v/>
      </c>
      <c r="G85" s="37" t="str">
        <f t="shared" si="10"/>
        <v/>
      </c>
      <c r="H85" s="37" t="str">
        <f t="shared" si="10"/>
        <v/>
      </c>
      <c r="I85" s="16" t="str">
        <f t="shared" si="14"/>
        <v/>
      </c>
      <c r="J85" s="38" t="str">
        <f t="shared" si="13"/>
        <v/>
      </c>
      <c r="K85" s="38" t="str">
        <f t="shared" si="13"/>
        <v/>
      </c>
      <c r="L85" s="38" t="str">
        <f t="shared" si="13"/>
        <v/>
      </c>
      <c r="M85" s="17" t="str">
        <f t="shared" si="15"/>
        <v/>
      </c>
      <c r="N85" s="16" t="str">
        <f t="shared" si="16"/>
        <v/>
      </c>
      <c r="O85" s="54">
        <v>3</v>
      </c>
      <c r="P85" s="56">
        <v>4</v>
      </c>
    </row>
    <row r="86" spans="1:19" ht="24" hidden="1" customHeight="1">
      <c r="A86" s="11">
        <v>4</v>
      </c>
      <c r="B86" s="12" t="str">
        <f t="shared" si="11"/>
        <v/>
      </c>
      <c r="C86" s="13"/>
      <c r="D86" s="32" t="str">
        <f t="shared" si="12"/>
        <v/>
      </c>
      <c r="E86" s="37" t="str">
        <f t="shared" si="10"/>
        <v/>
      </c>
      <c r="F86" s="37" t="str">
        <f t="shared" si="10"/>
        <v/>
      </c>
      <c r="G86" s="37" t="str">
        <f t="shared" si="10"/>
        <v/>
      </c>
      <c r="H86" s="37" t="str">
        <f t="shared" si="10"/>
        <v/>
      </c>
      <c r="I86" s="16" t="str">
        <f t="shared" si="14"/>
        <v/>
      </c>
      <c r="J86" s="38" t="str">
        <f t="shared" si="13"/>
        <v/>
      </c>
      <c r="K86" s="38" t="str">
        <f t="shared" si="13"/>
        <v/>
      </c>
      <c r="L86" s="38" t="str">
        <f t="shared" si="13"/>
        <v/>
      </c>
      <c r="M86" s="17" t="str">
        <f t="shared" si="15"/>
        <v/>
      </c>
      <c r="N86" s="16" t="str">
        <f t="shared" si="16"/>
        <v/>
      </c>
      <c r="O86" s="55"/>
      <c r="P86" s="57"/>
    </row>
    <row r="87" spans="1:19" ht="24" hidden="1" customHeight="1">
      <c r="A87" s="11">
        <v>5</v>
      </c>
      <c r="B87" s="12" t="str">
        <f t="shared" si="11"/>
        <v/>
      </c>
      <c r="C87" s="13"/>
      <c r="D87" s="32" t="str">
        <f t="shared" si="12"/>
        <v/>
      </c>
      <c r="E87" s="37" t="str">
        <f t="shared" si="10"/>
        <v/>
      </c>
      <c r="F87" s="37" t="str">
        <f t="shared" si="10"/>
        <v/>
      </c>
      <c r="G87" s="37" t="str">
        <f t="shared" si="10"/>
        <v/>
      </c>
      <c r="H87" s="37" t="str">
        <f t="shared" si="10"/>
        <v/>
      </c>
      <c r="I87" s="16" t="str">
        <f t="shared" si="14"/>
        <v/>
      </c>
      <c r="J87" s="38" t="str">
        <f t="shared" si="13"/>
        <v/>
      </c>
      <c r="K87" s="38" t="str">
        <f t="shared" si="13"/>
        <v/>
      </c>
      <c r="L87" s="38" t="str">
        <f t="shared" si="13"/>
        <v/>
      </c>
      <c r="M87" s="17" t="str">
        <f t="shared" si="15"/>
        <v/>
      </c>
      <c r="N87" s="16" t="str">
        <f t="shared" si="16"/>
        <v/>
      </c>
      <c r="O87" s="58">
        <v>5</v>
      </c>
      <c r="P87" s="59">
        <v>6</v>
      </c>
    </row>
    <row r="88" spans="1:19" ht="24" hidden="1" customHeight="1">
      <c r="A88" s="11">
        <v>6</v>
      </c>
      <c r="B88" s="12" t="str">
        <f t="shared" si="11"/>
        <v/>
      </c>
      <c r="C88" s="13"/>
      <c r="D88" s="32" t="str">
        <f t="shared" si="12"/>
        <v/>
      </c>
      <c r="E88" s="37" t="str">
        <f t="shared" si="10"/>
        <v/>
      </c>
      <c r="F88" s="37" t="str">
        <f t="shared" si="10"/>
        <v/>
      </c>
      <c r="G88" s="37" t="str">
        <f t="shared" si="10"/>
        <v/>
      </c>
      <c r="H88" s="37" t="str">
        <f t="shared" si="10"/>
        <v/>
      </c>
      <c r="I88" s="16" t="str">
        <f t="shared" si="14"/>
        <v/>
      </c>
      <c r="J88" s="38" t="str">
        <f t="shared" si="13"/>
        <v/>
      </c>
      <c r="K88" s="38" t="str">
        <f t="shared" si="13"/>
        <v/>
      </c>
      <c r="L88" s="38" t="str">
        <f t="shared" si="13"/>
        <v/>
      </c>
      <c r="M88" s="17" t="str">
        <f t="shared" si="15"/>
        <v/>
      </c>
      <c r="N88" s="16" t="str">
        <f t="shared" si="16"/>
        <v/>
      </c>
      <c r="O88" s="58"/>
      <c r="P88" s="59"/>
    </row>
    <row r="89" spans="1:19" s="21" customFormat="1" ht="22.5" customHeight="1">
      <c r="A89" s="60" t="s">
        <v>20</v>
      </c>
      <c r="B89" s="61"/>
      <c r="C89" s="61"/>
      <c r="D89" s="61"/>
      <c r="E89" s="61"/>
      <c r="F89" s="61"/>
      <c r="G89" s="61"/>
      <c r="H89" s="36"/>
      <c r="I89" s="18">
        <f>SUM(I83:I88)</f>
        <v>750000</v>
      </c>
      <c r="J89" s="36"/>
      <c r="K89" s="36"/>
      <c r="L89" s="36"/>
      <c r="M89" s="19">
        <f>SUM(M83:M88)</f>
        <v>0</v>
      </c>
      <c r="N89" s="18">
        <f>SUM(N83:N88)</f>
        <v>750000</v>
      </c>
      <c r="O89" s="20"/>
      <c r="P89" s="20"/>
      <c r="S89" s="22"/>
    </row>
    <row r="90" spans="1:19" ht="23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N90" s="23"/>
    </row>
    <row r="91" spans="1:19" ht="17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O91" s="24" t="str">
        <f>Honor_guru!P90</f>
        <v>Cikalongwetan, 1 Maret 2026</v>
      </c>
    </row>
    <row r="92" spans="1:19" ht="18" customHeight="1">
      <c r="A92" s="8"/>
      <c r="C92" s="24" t="s">
        <v>21</v>
      </c>
      <c r="D92" s="24"/>
      <c r="E92" s="24"/>
      <c r="F92" s="24"/>
      <c r="G92" s="24"/>
      <c r="H92" s="24"/>
      <c r="I92" s="24"/>
      <c r="J92" s="24"/>
      <c r="K92" s="24"/>
      <c r="L92" s="8"/>
      <c r="O92" s="24" t="str">
        <f>Honor_guru!P91</f>
        <v>Dibayar Lunas Tgl. 5 Maret 2026</v>
      </c>
    </row>
    <row r="93" spans="1:19">
      <c r="A93" s="8"/>
      <c r="C93" s="24" t="s">
        <v>22</v>
      </c>
      <c r="D93" s="24"/>
      <c r="E93" s="24"/>
      <c r="F93" s="24"/>
      <c r="G93" s="24"/>
      <c r="H93" s="24"/>
      <c r="I93" s="24"/>
      <c r="J93" s="24"/>
      <c r="K93" s="24"/>
      <c r="L93" s="8"/>
      <c r="O93" s="24" t="s">
        <v>23</v>
      </c>
    </row>
    <row r="94" spans="1:19">
      <c r="A94" s="8"/>
      <c r="C94" s="24"/>
      <c r="D94" s="24"/>
      <c r="E94" s="24"/>
      <c r="F94" s="24"/>
      <c r="G94" s="24"/>
      <c r="H94" s="24"/>
      <c r="I94" s="24"/>
      <c r="J94" s="24"/>
      <c r="K94" s="24"/>
      <c r="L94" s="8"/>
      <c r="O94" s="25"/>
      <c r="S94" s="26"/>
    </row>
    <row r="95" spans="1:19">
      <c r="A95" s="8"/>
      <c r="C95" s="24"/>
      <c r="D95" s="24"/>
      <c r="E95" s="24"/>
      <c r="F95" s="24"/>
      <c r="G95" s="24"/>
      <c r="H95" s="24"/>
      <c r="I95" s="24"/>
      <c r="J95" s="24"/>
      <c r="K95" s="24"/>
      <c r="L95" s="8"/>
      <c r="O95" s="25"/>
    </row>
    <row r="96" spans="1:19">
      <c r="A96" s="8"/>
      <c r="C96" s="24"/>
      <c r="D96" s="24"/>
      <c r="E96" s="24"/>
      <c r="F96" s="24"/>
      <c r="G96" s="24"/>
      <c r="H96" s="24"/>
      <c r="I96" s="24"/>
      <c r="J96" s="24"/>
      <c r="K96" s="24"/>
      <c r="L96" s="8"/>
      <c r="O96" s="25"/>
    </row>
    <row r="97" spans="1:16">
      <c r="A97" s="8"/>
      <c r="C97" s="24"/>
      <c r="D97" s="24"/>
      <c r="E97" s="24"/>
      <c r="F97" s="24"/>
      <c r="G97" s="24"/>
      <c r="H97" s="24"/>
      <c r="I97" s="24"/>
      <c r="J97" s="24"/>
      <c r="K97" s="24"/>
      <c r="L97" s="8"/>
      <c r="O97" s="25"/>
    </row>
    <row r="98" spans="1:16">
      <c r="A98" s="8"/>
      <c r="C98" s="24"/>
      <c r="D98" s="24"/>
      <c r="E98" s="24"/>
      <c r="F98" s="24"/>
      <c r="G98" s="24"/>
      <c r="H98" s="24"/>
      <c r="I98" s="24"/>
      <c r="J98" s="24"/>
      <c r="K98" s="24"/>
      <c r="L98" s="8"/>
      <c r="O98" s="25"/>
    </row>
    <row r="99" spans="1:16" ht="15" customHeight="1">
      <c r="A99" s="8"/>
      <c r="C99" s="27" t="str">
        <f>IF(C63="","",C63)</f>
        <v>BADRUDDIN, S.Ag.</v>
      </c>
      <c r="D99" s="28"/>
      <c r="E99" s="28"/>
      <c r="F99" s="28"/>
      <c r="G99" s="28"/>
      <c r="H99" s="28"/>
      <c r="I99" s="28"/>
      <c r="J99" s="28"/>
      <c r="K99" s="8"/>
      <c r="L99" s="8"/>
      <c r="O99" s="27" t="str">
        <f>IF(O63="","",O63)</f>
        <v>DEDE GUNAWAN, S.Pd.</v>
      </c>
    </row>
    <row r="100" spans="1:16" ht="15" customHeight="1">
      <c r="A100" s="8"/>
      <c r="C100" s="27" t="str">
        <f>IF(C64="","",C64)</f>
        <v>NIP. 197405082014121002</v>
      </c>
      <c r="D100" s="28"/>
      <c r="E100" s="28"/>
      <c r="F100" s="28"/>
      <c r="G100" s="28"/>
      <c r="H100" s="28"/>
      <c r="I100" s="28"/>
      <c r="J100" s="28"/>
      <c r="K100" s="8"/>
      <c r="L100" s="8"/>
      <c r="O100" s="27" t="str">
        <f>IF(O64="","",O64)</f>
        <v>NIP. 198507172020121003</v>
      </c>
    </row>
    <row r="109" spans="1:16" ht="17.25" customHeight="1">
      <c r="A109" s="64" t="str">
        <f>$A$1</f>
        <v>DAFTAR PENERIMA HONORARIUM/GAJI PENJAGA SEKOLAH TIDAK TETAP (PEMBAYARAN NON TUNAI)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</row>
    <row r="110" spans="1:16" ht="17.25" customHeight="1">
      <c r="A110" s="64" t="str">
        <f>Honor_guru!A109</f>
        <v>BULAN APRIL 2026</v>
      </c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</row>
    <row r="111" spans="1:16" ht="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5" customHeight="1">
      <c r="C112" s="4" t="s">
        <v>0</v>
      </c>
      <c r="D112" s="5" t="s">
        <v>1</v>
      </c>
      <c r="E112" s="5"/>
      <c r="F112" s="5"/>
      <c r="G112" s="5"/>
      <c r="H112" s="5"/>
      <c r="I112" s="5"/>
      <c r="K112" s="6"/>
      <c r="L112" s="7"/>
      <c r="M112" s="4" t="s">
        <v>26</v>
      </c>
      <c r="N112" s="4" t="str">
        <f>N76</f>
        <v>: 07 Pengembangan Standar Pembiayaan</v>
      </c>
      <c r="O112" s="3"/>
    </row>
    <row r="113" spans="1:19" ht="15" customHeight="1">
      <c r="C113" s="4" t="s">
        <v>2</v>
      </c>
      <c r="D113" s="4" t="str">
        <f>D77</f>
        <v>: SD NEGERI LEBAKLEUNGSIR</v>
      </c>
      <c r="E113" s="4"/>
      <c r="F113" s="4"/>
      <c r="G113" s="4"/>
      <c r="H113" s="4"/>
      <c r="I113" s="4"/>
      <c r="K113" s="6"/>
      <c r="M113" s="4" t="s">
        <v>27</v>
      </c>
      <c r="N113" s="4" t="str">
        <f>N77</f>
        <v>: Pembayaran Honor (Penjaga)</v>
      </c>
      <c r="O113" s="3"/>
    </row>
    <row r="114" spans="1:19" ht="15" customHeight="1">
      <c r="C114" s="4" t="s">
        <v>3</v>
      </c>
      <c r="D114" s="4" t="str">
        <f>D78</f>
        <v>: Cikalongwetan</v>
      </c>
      <c r="E114" s="4"/>
      <c r="F114" s="4"/>
      <c r="G114" s="4"/>
      <c r="H114" s="4"/>
      <c r="I114" s="4"/>
      <c r="K114" s="6"/>
      <c r="M114" s="8" t="s">
        <v>28</v>
      </c>
      <c r="N114" s="4" t="str">
        <f>N78</f>
        <v>: 5.1.02.02.01.0013</v>
      </c>
      <c r="O114" s="3"/>
    </row>
    <row r="115" spans="1:19" ht="15" customHeight="1">
      <c r="C115" s="4" t="s">
        <v>5</v>
      </c>
      <c r="D115" s="4" t="str">
        <f>D79</f>
        <v>: Bandung Barat</v>
      </c>
      <c r="E115" s="4"/>
      <c r="F115" s="4"/>
      <c r="G115" s="4"/>
      <c r="H115" s="4"/>
      <c r="I115" s="4"/>
      <c r="K115" s="6"/>
      <c r="M115" s="4" t="s">
        <v>7</v>
      </c>
      <c r="N115" s="4" t="str">
        <f>N79</f>
        <v>: 12</v>
      </c>
      <c r="O115" s="3"/>
      <c r="P115" s="8"/>
    </row>
    <row r="116" spans="1:19" ht="15" customHeight="1">
      <c r="M116" s="8"/>
      <c r="N116" s="8"/>
      <c r="O116" s="8"/>
    </row>
    <row r="117" spans="1:19" ht="18.5" customHeight="1">
      <c r="A117" s="62" t="s">
        <v>8</v>
      </c>
      <c r="B117" s="65" t="s">
        <v>9</v>
      </c>
      <c r="C117" s="66"/>
      <c r="D117" s="62" t="s">
        <v>10</v>
      </c>
      <c r="E117" s="69" t="s">
        <v>72</v>
      </c>
      <c r="F117" s="70"/>
      <c r="G117" s="70"/>
      <c r="H117" s="71"/>
      <c r="I117" s="72" t="s">
        <v>14</v>
      </c>
      <c r="J117" s="72" t="s">
        <v>11</v>
      </c>
      <c r="K117" s="65" t="s">
        <v>12</v>
      </c>
      <c r="L117" s="66"/>
      <c r="M117" s="74" t="s">
        <v>31</v>
      </c>
      <c r="N117" s="72" t="s">
        <v>16</v>
      </c>
      <c r="O117" s="65" t="s">
        <v>17</v>
      </c>
      <c r="P117" s="66"/>
    </row>
    <row r="118" spans="1:19" ht="34" customHeight="1">
      <c r="A118" s="63"/>
      <c r="B118" s="67"/>
      <c r="C118" s="68"/>
      <c r="D118" s="63"/>
      <c r="E118" s="35" t="str">
        <f t="shared" ref="E118:H124" si="17">IF(E82="","",E82)</f>
        <v>Penjaga</v>
      </c>
      <c r="F118" s="35" t="str">
        <f t="shared" si="17"/>
        <v>Guru</v>
      </c>
      <c r="G118" s="35" t="str">
        <f t="shared" si="17"/>
        <v>Pembina Ekskul</v>
      </c>
      <c r="H118" s="39" t="str">
        <f t="shared" si="17"/>
        <v>Tenaga Perpustakaan</v>
      </c>
      <c r="I118" s="73"/>
      <c r="J118" s="73"/>
      <c r="K118" s="67"/>
      <c r="L118" s="68"/>
      <c r="M118" s="75"/>
      <c r="N118" s="73"/>
      <c r="O118" s="67"/>
      <c r="P118" s="68"/>
    </row>
    <row r="119" spans="1:19" ht="31" customHeight="1">
      <c r="A119" s="11">
        <v>1</v>
      </c>
      <c r="B119" s="12" t="str">
        <f t="shared" ref="B119:B124" si="18">IF(B83="","",B83)</f>
        <v>USEP PUDIN</v>
      </c>
      <c r="C119" s="13"/>
      <c r="D119" s="32" t="str">
        <f t="shared" ref="D119:D124" si="19">IF(D83="","",D83)</f>
        <v>Penjaga Sekolah</v>
      </c>
      <c r="E119" s="37">
        <f t="shared" si="17"/>
        <v>750000</v>
      </c>
      <c r="F119" s="37" t="str">
        <f t="shared" si="17"/>
        <v/>
      </c>
      <c r="G119" s="37" t="str">
        <f t="shared" si="17"/>
        <v/>
      </c>
      <c r="H119" s="37" t="str">
        <f t="shared" si="17"/>
        <v/>
      </c>
      <c r="I119" s="16">
        <f>IF(B119="","",SUM(E119:H119))</f>
        <v>750000</v>
      </c>
      <c r="J119" s="38" t="str">
        <f t="shared" ref="J119:L124" si="20">IF(J83="","",J83)</f>
        <v>PTT</v>
      </c>
      <c r="K119" s="38">
        <f t="shared" si="20"/>
        <v>1</v>
      </c>
      <c r="L119" s="38" t="str">
        <f t="shared" si="20"/>
        <v>Bulan</v>
      </c>
      <c r="M119" s="17">
        <f>IFERROR(I119*0/100,"")</f>
        <v>0</v>
      </c>
      <c r="N119" s="16">
        <f>IFERROR(SUM(I119*K119)-M119,"")</f>
        <v>750000</v>
      </c>
      <c r="O119" s="54">
        <v>1</v>
      </c>
      <c r="P119" s="56">
        <v>2</v>
      </c>
    </row>
    <row r="120" spans="1:19" ht="31" customHeight="1">
      <c r="A120" s="11">
        <v>2</v>
      </c>
      <c r="B120" s="12" t="str">
        <f t="shared" si="18"/>
        <v/>
      </c>
      <c r="C120" s="13"/>
      <c r="D120" s="32" t="str">
        <f t="shared" si="19"/>
        <v/>
      </c>
      <c r="E120" s="37" t="str">
        <f t="shared" si="17"/>
        <v/>
      </c>
      <c r="F120" s="37" t="str">
        <f t="shared" si="17"/>
        <v/>
      </c>
      <c r="G120" s="37" t="str">
        <f t="shared" si="17"/>
        <v/>
      </c>
      <c r="H120" s="37" t="str">
        <f t="shared" si="17"/>
        <v/>
      </c>
      <c r="I120" s="16" t="str">
        <f t="shared" ref="I120:I124" si="21">IF(B120="","",SUM(E120:H120))</f>
        <v/>
      </c>
      <c r="J120" s="38" t="str">
        <f t="shared" si="20"/>
        <v/>
      </c>
      <c r="K120" s="38" t="str">
        <f t="shared" si="20"/>
        <v/>
      </c>
      <c r="L120" s="38" t="str">
        <f t="shared" si="20"/>
        <v/>
      </c>
      <c r="M120" s="17" t="str">
        <f t="shared" ref="M120:M124" si="22">IFERROR(I120*0/100,"")</f>
        <v/>
      </c>
      <c r="N120" s="16" t="str">
        <f t="shared" ref="N120:N124" si="23">IFERROR(SUM(I120*K120)-M120,"")</f>
        <v/>
      </c>
      <c r="O120" s="55"/>
      <c r="P120" s="57"/>
    </row>
    <row r="121" spans="1:19" ht="24" hidden="1" customHeight="1">
      <c r="A121" s="11">
        <v>3</v>
      </c>
      <c r="B121" s="12" t="str">
        <f t="shared" si="18"/>
        <v/>
      </c>
      <c r="C121" s="13"/>
      <c r="D121" s="32" t="str">
        <f t="shared" si="19"/>
        <v/>
      </c>
      <c r="E121" s="37" t="str">
        <f t="shared" si="17"/>
        <v/>
      </c>
      <c r="F121" s="37" t="str">
        <f t="shared" si="17"/>
        <v/>
      </c>
      <c r="G121" s="37" t="str">
        <f t="shared" si="17"/>
        <v/>
      </c>
      <c r="H121" s="37" t="str">
        <f t="shared" si="17"/>
        <v/>
      </c>
      <c r="I121" s="16" t="str">
        <f t="shared" si="21"/>
        <v/>
      </c>
      <c r="J121" s="38" t="str">
        <f t="shared" si="20"/>
        <v/>
      </c>
      <c r="K121" s="38" t="str">
        <f t="shared" si="20"/>
        <v/>
      </c>
      <c r="L121" s="38" t="str">
        <f t="shared" si="20"/>
        <v/>
      </c>
      <c r="M121" s="17" t="str">
        <f t="shared" si="22"/>
        <v/>
      </c>
      <c r="N121" s="16" t="str">
        <f t="shared" si="23"/>
        <v/>
      </c>
      <c r="O121" s="54">
        <v>3</v>
      </c>
      <c r="P121" s="56">
        <v>4</v>
      </c>
    </row>
    <row r="122" spans="1:19" ht="24" hidden="1" customHeight="1">
      <c r="A122" s="11">
        <v>4</v>
      </c>
      <c r="B122" s="12" t="str">
        <f t="shared" si="18"/>
        <v/>
      </c>
      <c r="C122" s="13"/>
      <c r="D122" s="32" t="str">
        <f t="shared" si="19"/>
        <v/>
      </c>
      <c r="E122" s="37" t="str">
        <f t="shared" si="17"/>
        <v/>
      </c>
      <c r="F122" s="37" t="str">
        <f t="shared" si="17"/>
        <v/>
      </c>
      <c r="G122" s="37" t="str">
        <f t="shared" si="17"/>
        <v/>
      </c>
      <c r="H122" s="37" t="str">
        <f t="shared" si="17"/>
        <v/>
      </c>
      <c r="I122" s="16" t="str">
        <f t="shared" si="21"/>
        <v/>
      </c>
      <c r="J122" s="38" t="str">
        <f t="shared" si="20"/>
        <v/>
      </c>
      <c r="K122" s="38" t="str">
        <f t="shared" si="20"/>
        <v/>
      </c>
      <c r="L122" s="38" t="str">
        <f t="shared" si="20"/>
        <v/>
      </c>
      <c r="M122" s="17" t="str">
        <f t="shared" si="22"/>
        <v/>
      </c>
      <c r="N122" s="16" t="str">
        <f t="shared" si="23"/>
        <v/>
      </c>
      <c r="O122" s="55"/>
      <c r="P122" s="57"/>
    </row>
    <row r="123" spans="1:19" ht="24" hidden="1" customHeight="1">
      <c r="A123" s="11">
        <v>5</v>
      </c>
      <c r="B123" s="12" t="str">
        <f t="shared" si="18"/>
        <v/>
      </c>
      <c r="C123" s="13"/>
      <c r="D123" s="32" t="str">
        <f t="shared" si="19"/>
        <v/>
      </c>
      <c r="E123" s="37" t="str">
        <f t="shared" si="17"/>
        <v/>
      </c>
      <c r="F123" s="37" t="str">
        <f t="shared" si="17"/>
        <v/>
      </c>
      <c r="G123" s="37" t="str">
        <f t="shared" si="17"/>
        <v/>
      </c>
      <c r="H123" s="37" t="str">
        <f t="shared" si="17"/>
        <v/>
      </c>
      <c r="I123" s="16" t="str">
        <f t="shared" si="21"/>
        <v/>
      </c>
      <c r="J123" s="38" t="str">
        <f t="shared" si="20"/>
        <v/>
      </c>
      <c r="K123" s="38" t="str">
        <f t="shared" si="20"/>
        <v/>
      </c>
      <c r="L123" s="38" t="str">
        <f t="shared" si="20"/>
        <v/>
      </c>
      <c r="M123" s="17" t="str">
        <f t="shared" si="22"/>
        <v/>
      </c>
      <c r="N123" s="16" t="str">
        <f t="shared" si="23"/>
        <v/>
      </c>
      <c r="O123" s="58">
        <v>5</v>
      </c>
      <c r="P123" s="59">
        <v>6</v>
      </c>
    </row>
    <row r="124" spans="1:19" ht="24" hidden="1" customHeight="1">
      <c r="A124" s="11">
        <v>6</v>
      </c>
      <c r="B124" s="12" t="str">
        <f t="shared" si="18"/>
        <v/>
      </c>
      <c r="C124" s="13"/>
      <c r="D124" s="32" t="str">
        <f t="shared" si="19"/>
        <v/>
      </c>
      <c r="E124" s="37" t="str">
        <f t="shared" si="17"/>
        <v/>
      </c>
      <c r="F124" s="37" t="str">
        <f t="shared" si="17"/>
        <v/>
      </c>
      <c r="G124" s="37" t="str">
        <f t="shared" si="17"/>
        <v/>
      </c>
      <c r="H124" s="37" t="str">
        <f t="shared" si="17"/>
        <v/>
      </c>
      <c r="I124" s="16" t="str">
        <f t="shared" si="21"/>
        <v/>
      </c>
      <c r="J124" s="38" t="str">
        <f t="shared" si="20"/>
        <v/>
      </c>
      <c r="K124" s="38" t="str">
        <f t="shared" si="20"/>
        <v/>
      </c>
      <c r="L124" s="38" t="str">
        <f t="shared" si="20"/>
        <v/>
      </c>
      <c r="M124" s="17" t="str">
        <f t="shared" si="22"/>
        <v/>
      </c>
      <c r="N124" s="16" t="str">
        <f t="shared" si="23"/>
        <v/>
      </c>
      <c r="O124" s="58"/>
      <c r="P124" s="59"/>
    </row>
    <row r="125" spans="1:19" s="21" customFormat="1" ht="22.5" customHeight="1">
      <c r="A125" s="60" t="s">
        <v>20</v>
      </c>
      <c r="B125" s="61"/>
      <c r="C125" s="61"/>
      <c r="D125" s="61"/>
      <c r="E125" s="61"/>
      <c r="F125" s="61"/>
      <c r="G125" s="61"/>
      <c r="H125" s="36"/>
      <c r="I125" s="18">
        <f>SUM(I119:I124)</f>
        <v>750000</v>
      </c>
      <c r="J125" s="36"/>
      <c r="K125" s="36"/>
      <c r="L125" s="36"/>
      <c r="M125" s="19">
        <f>SUM(M119:M124)</f>
        <v>0</v>
      </c>
      <c r="N125" s="18">
        <f>SUM(N119:N124)</f>
        <v>750000</v>
      </c>
      <c r="O125" s="20"/>
      <c r="P125" s="20"/>
      <c r="S125" s="22"/>
    </row>
    <row r="126" spans="1:19" ht="23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N126" s="23"/>
    </row>
    <row r="127" spans="1:19" ht="17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O127" s="24" t="str">
        <f>Honor_guru!P126</f>
        <v>Cikalongwetan, 1 April 2026</v>
      </c>
    </row>
    <row r="128" spans="1:19" ht="18" customHeight="1">
      <c r="A128" s="8"/>
      <c r="C128" s="24" t="s">
        <v>21</v>
      </c>
      <c r="D128" s="24"/>
      <c r="E128" s="24"/>
      <c r="F128" s="24"/>
      <c r="G128" s="24"/>
      <c r="H128" s="24"/>
      <c r="I128" s="24"/>
      <c r="J128" s="24"/>
      <c r="K128" s="24"/>
      <c r="L128" s="8"/>
      <c r="O128" s="24" t="str">
        <f>Honor_guru!P127</f>
        <v>Dibayar Lunas Tgl. 7 April 2026</v>
      </c>
    </row>
    <row r="129" spans="1:19">
      <c r="A129" s="8"/>
      <c r="C129" s="24" t="s">
        <v>22</v>
      </c>
      <c r="D129" s="24"/>
      <c r="E129" s="24"/>
      <c r="F129" s="24"/>
      <c r="G129" s="24"/>
      <c r="H129" s="24"/>
      <c r="I129" s="24"/>
      <c r="J129" s="24"/>
      <c r="K129" s="24"/>
      <c r="L129" s="8"/>
      <c r="O129" s="24" t="s">
        <v>23</v>
      </c>
    </row>
    <row r="130" spans="1:19">
      <c r="A130" s="8"/>
      <c r="C130" s="24"/>
      <c r="D130" s="24"/>
      <c r="E130" s="24"/>
      <c r="F130" s="24"/>
      <c r="G130" s="24"/>
      <c r="H130" s="24"/>
      <c r="I130" s="24"/>
      <c r="J130" s="24"/>
      <c r="K130" s="24"/>
      <c r="L130" s="8"/>
      <c r="O130" s="25"/>
      <c r="S130" s="26"/>
    </row>
    <row r="131" spans="1:19">
      <c r="A131" s="8"/>
      <c r="C131" s="24"/>
      <c r="D131" s="24"/>
      <c r="E131" s="24"/>
      <c r="F131" s="24"/>
      <c r="G131" s="24"/>
      <c r="H131" s="24"/>
      <c r="I131" s="24"/>
      <c r="J131" s="24"/>
      <c r="K131" s="24"/>
      <c r="L131" s="8"/>
      <c r="O131" s="25"/>
    </row>
    <row r="132" spans="1:19">
      <c r="A132" s="8"/>
      <c r="C132" s="24"/>
      <c r="D132" s="24"/>
      <c r="E132" s="24"/>
      <c r="F132" s="24"/>
      <c r="G132" s="24"/>
      <c r="H132" s="24"/>
      <c r="I132" s="24"/>
      <c r="J132" s="24"/>
      <c r="K132" s="24"/>
      <c r="L132" s="8"/>
      <c r="O132" s="25"/>
    </row>
    <row r="133" spans="1:19">
      <c r="A133" s="8"/>
      <c r="C133" s="24"/>
      <c r="D133" s="24"/>
      <c r="E133" s="24"/>
      <c r="F133" s="24"/>
      <c r="G133" s="24"/>
      <c r="H133" s="24"/>
      <c r="I133" s="24"/>
      <c r="J133" s="24"/>
      <c r="K133" s="24"/>
      <c r="L133" s="8"/>
      <c r="O133" s="25"/>
    </row>
    <row r="134" spans="1:19">
      <c r="A134" s="8"/>
      <c r="C134" s="24"/>
      <c r="D134" s="24"/>
      <c r="E134" s="24"/>
      <c r="F134" s="24"/>
      <c r="G134" s="24"/>
      <c r="H134" s="24"/>
      <c r="I134" s="24"/>
      <c r="J134" s="24"/>
      <c r="K134" s="24"/>
      <c r="L134" s="8"/>
      <c r="O134" s="25"/>
    </row>
    <row r="135" spans="1:19" ht="15" customHeight="1">
      <c r="A135" s="8"/>
      <c r="C135" s="27" t="str">
        <f>Honor_guru!C134</f>
        <v>BADRUDDIN, S.Ag.</v>
      </c>
      <c r="D135" s="28"/>
      <c r="E135" s="28"/>
      <c r="F135" s="28"/>
      <c r="G135" s="28"/>
      <c r="H135" s="28"/>
      <c r="I135" s="28"/>
      <c r="J135" s="28"/>
      <c r="K135" s="8"/>
      <c r="L135" s="8"/>
      <c r="O135" s="27" t="str">
        <f>IF(O99="","",O99)</f>
        <v>DEDE GUNAWAN, S.Pd.</v>
      </c>
    </row>
    <row r="136" spans="1:19" ht="15" customHeight="1">
      <c r="A136" s="8"/>
      <c r="C136" s="27" t="str">
        <f>Honor_guru!C135</f>
        <v>NIP. 197405082014121002</v>
      </c>
      <c r="D136" s="28"/>
      <c r="E136" s="28"/>
      <c r="F136" s="28"/>
      <c r="G136" s="28"/>
      <c r="H136" s="28"/>
      <c r="I136" s="28"/>
      <c r="J136" s="28"/>
      <c r="K136" s="8"/>
      <c r="L136" s="8"/>
      <c r="O136" s="27" t="str">
        <f>IF(O100="","",O100)</f>
        <v>NIP. 198507172020121003</v>
      </c>
    </row>
    <row r="145" spans="1:16" ht="17.25" customHeight="1">
      <c r="A145" s="64" t="str">
        <f>$A$1</f>
        <v>DAFTAR PENERIMA HONORARIUM/GAJI PENJAGA SEKOLAH TIDAK TETAP (PEMBAYARAN NON TUNAI)</v>
      </c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</row>
    <row r="146" spans="1:16" ht="17.25" customHeight="1">
      <c r="A146" s="64" t="str">
        <f>Honor_guru!A145</f>
        <v>BULAN MEI 2026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</row>
    <row r="147" spans="1:16" ht="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5" customHeight="1">
      <c r="C148" s="4" t="s">
        <v>0</v>
      </c>
      <c r="D148" s="5" t="s">
        <v>1</v>
      </c>
      <c r="E148" s="5"/>
      <c r="F148" s="5"/>
      <c r="G148" s="5"/>
      <c r="H148" s="5"/>
      <c r="I148" s="5"/>
      <c r="K148" s="6"/>
      <c r="L148" s="7"/>
      <c r="M148" s="4" t="s">
        <v>26</v>
      </c>
      <c r="N148" s="4" t="str">
        <f>N112</f>
        <v>: 07 Pengembangan Standar Pembiayaan</v>
      </c>
      <c r="O148" s="3"/>
    </row>
    <row r="149" spans="1:16" ht="15" customHeight="1">
      <c r="C149" s="4" t="s">
        <v>2</v>
      </c>
      <c r="D149" s="4" t="str">
        <f>D113</f>
        <v>: SD NEGERI LEBAKLEUNGSIR</v>
      </c>
      <c r="E149" s="4"/>
      <c r="F149" s="4"/>
      <c r="G149" s="4"/>
      <c r="H149" s="4"/>
      <c r="I149" s="4"/>
      <c r="K149" s="6"/>
      <c r="M149" s="4" t="s">
        <v>27</v>
      </c>
      <c r="N149" s="4" t="str">
        <f>N113</f>
        <v>: Pembayaran Honor (Penjaga)</v>
      </c>
      <c r="O149" s="3"/>
    </row>
    <row r="150" spans="1:16" ht="15" customHeight="1">
      <c r="C150" s="4" t="s">
        <v>3</v>
      </c>
      <c r="D150" s="4" t="str">
        <f>D114</f>
        <v>: Cikalongwetan</v>
      </c>
      <c r="E150" s="4"/>
      <c r="F150" s="4"/>
      <c r="G150" s="4"/>
      <c r="H150" s="4"/>
      <c r="I150" s="4"/>
      <c r="K150" s="6"/>
      <c r="M150" s="8" t="s">
        <v>28</v>
      </c>
      <c r="N150" s="4" t="str">
        <f>N114</f>
        <v>: 5.1.02.02.01.0013</v>
      </c>
      <c r="O150" s="3"/>
    </row>
    <row r="151" spans="1:16" ht="15" customHeight="1">
      <c r="C151" s="4" t="s">
        <v>5</v>
      </c>
      <c r="D151" s="4" t="str">
        <f>D115</f>
        <v>: Bandung Barat</v>
      </c>
      <c r="E151" s="4"/>
      <c r="F151" s="4"/>
      <c r="G151" s="4"/>
      <c r="H151" s="4"/>
      <c r="I151" s="4"/>
      <c r="K151" s="6"/>
      <c r="M151" s="4" t="s">
        <v>7</v>
      </c>
      <c r="N151" s="4" t="str">
        <f>N115</f>
        <v>: 12</v>
      </c>
      <c r="O151" s="3"/>
      <c r="P151" s="8"/>
    </row>
    <row r="152" spans="1:16" ht="15" customHeight="1">
      <c r="M152" s="8"/>
      <c r="N152" s="8"/>
      <c r="O152" s="8"/>
    </row>
    <row r="153" spans="1:16" ht="18.5" customHeight="1">
      <c r="A153" s="62" t="s">
        <v>8</v>
      </c>
      <c r="B153" s="65" t="s">
        <v>9</v>
      </c>
      <c r="C153" s="66"/>
      <c r="D153" s="62" t="s">
        <v>10</v>
      </c>
      <c r="E153" s="69" t="s">
        <v>72</v>
      </c>
      <c r="F153" s="70"/>
      <c r="G153" s="70"/>
      <c r="H153" s="71"/>
      <c r="I153" s="72" t="s">
        <v>14</v>
      </c>
      <c r="J153" s="72" t="s">
        <v>11</v>
      </c>
      <c r="K153" s="65" t="s">
        <v>12</v>
      </c>
      <c r="L153" s="66"/>
      <c r="M153" s="74" t="s">
        <v>31</v>
      </c>
      <c r="N153" s="72" t="s">
        <v>16</v>
      </c>
      <c r="O153" s="65" t="s">
        <v>17</v>
      </c>
      <c r="P153" s="66"/>
    </row>
    <row r="154" spans="1:16" ht="34" customHeight="1">
      <c r="A154" s="63"/>
      <c r="B154" s="67"/>
      <c r="C154" s="68"/>
      <c r="D154" s="63"/>
      <c r="E154" s="35" t="str">
        <f t="shared" ref="E154:H160" si="24">IF(E118="","",E118)</f>
        <v>Penjaga</v>
      </c>
      <c r="F154" s="35" t="str">
        <f t="shared" si="24"/>
        <v>Guru</v>
      </c>
      <c r="G154" s="35" t="str">
        <f t="shared" si="24"/>
        <v>Pembina Ekskul</v>
      </c>
      <c r="H154" s="39" t="str">
        <f t="shared" si="24"/>
        <v>Tenaga Perpustakaan</v>
      </c>
      <c r="I154" s="73"/>
      <c r="J154" s="73"/>
      <c r="K154" s="67"/>
      <c r="L154" s="68"/>
      <c r="M154" s="75"/>
      <c r="N154" s="73"/>
      <c r="O154" s="67"/>
      <c r="P154" s="68"/>
    </row>
    <row r="155" spans="1:16" ht="30.5" customHeight="1">
      <c r="A155" s="11">
        <v>1</v>
      </c>
      <c r="B155" s="12" t="str">
        <f t="shared" ref="B155:B160" si="25">IF(B119="","",B119)</f>
        <v>USEP PUDIN</v>
      </c>
      <c r="C155" s="13"/>
      <c r="D155" s="32" t="str">
        <f t="shared" ref="D155:D160" si="26">IF(D119="","",D119)</f>
        <v>Penjaga Sekolah</v>
      </c>
      <c r="E155" s="37">
        <f t="shared" si="24"/>
        <v>750000</v>
      </c>
      <c r="F155" s="37" t="str">
        <f t="shared" si="24"/>
        <v/>
      </c>
      <c r="G155" s="37" t="str">
        <f t="shared" si="24"/>
        <v/>
      </c>
      <c r="H155" s="37" t="str">
        <f t="shared" si="24"/>
        <v/>
      </c>
      <c r="I155" s="16">
        <f>IF(B155="","",SUM(E155:H155))</f>
        <v>750000</v>
      </c>
      <c r="J155" s="38" t="str">
        <f t="shared" ref="J155:L160" si="27">IF(J119="","",J119)</f>
        <v>PTT</v>
      </c>
      <c r="K155" s="38">
        <f t="shared" si="27"/>
        <v>1</v>
      </c>
      <c r="L155" s="38" t="str">
        <f t="shared" si="27"/>
        <v>Bulan</v>
      </c>
      <c r="M155" s="17">
        <f>IFERROR(I155*0/100,"")</f>
        <v>0</v>
      </c>
      <c r="N155" s="16">
        <f>IFERROR(SUM(I155*K155)-M155,"")</f>
        <v>750000</v>
      </c>
      <c r="O155" s="54">
        <v>1</v>
      </c>
      <c r="P155" s="56">
        <v>2</v>
      </c>
    </row>
    <row r="156" spans="1:16" ht="30.5" customHeight="1">
      <c r="A156" s="11">
        <v>2</v>
      </c>
      <c r="B156" s="12" t="str">
        <f t="shared" si="25"/>
        <v/>
      </c>
      <c r="C156" s="13"/>
      <c r="D156" s="32" t="str">
        <f t="shared" si="26"/>
        <v/>
      </c>
      <c r="E156" s="37" t="str">
        <f t="shared" si="24"/>
        <v/>
      </c>
      <c r="F156" s="37" t="str">
        <f t="shared" si="24"/>
        <v/>
      </c>
      <c r="G156" s="37" t="str">
        <f t="shared" si="24"/>
        <v/>
      </c>
      <c r="H156" s="37" t="str">
        <f t="shared" si="24"/>
        <v/>
      </c>
      <c r="I156" s="16" t="str">
        <f t="shared" ref="I156:I160" si="28">IF(B156="","",SUM(E156:H156))</f>
        <v/>
      </c>
      <c r="J156" s="38" t="str">
        <f t="shared" si="27"/>
        <v/>
      </c>
      <c r="K156" s="38" t="str">
        <f t="shared" si="27"/>
        <v/>
      </c>
      <c r="L156" s="38" t="str">
        <f t="shared" si="27"/>
        <v/>
      </c>
      <c r="M156" s="17" t="str">
        <f t="shared" ref="M156:M160" si="29">IFERROR(I156*0/100,"")</f>
        <v/>
      </c>
      <c r="N156" s="16" t="str">
        <f t="shared" ref="N156:N160" si="30">IFERROR(SUM(I156*K156)-M156,"")</f>
        <v/>
      </c>
      <c r="O156" s="55"/>
      <c r="P156" s="57"/>
    </row>
    <row r="157" spans="1:16" ht="24" hidden="1" customHeight="1">
      <c r="A157" s="11">
        <v>3</v>
      </c>
      <c r="B157" s="12" t="str">
        <f t="shared" si="25"/>
        <v/>
      </c>
      <c r="C157" s="13"/>
      <c r="D157" s="32" t="str">
        <f t="shared" si="26"/>
        <v/>
      </c>
      <c r="E157" s="37" t="str">
        <f t="shared" si="24"/>
        <v/>
      </c>
      <c r="F157" s="37" t="str">
        <f t="shared" si="24"/>
        <v/>
      </c>
      <c r="G157" s="37" t="str">
        <f t="shared" si="24"/>
        <v/>
      </c>
      <c r="H157" s="37" t="str">
        <f t="shared" si="24"/>
        <v/>
      </c>
      <c r="I157" s="16" t="str">
        <f t="shared" si="28"/>
        <v/>
      </c>
      <c r="J157" s="38" t="str">
        <f t="shared" si="27"/>
        <v/>
      </c>
      <c r="K157" s="38" t="str">
        <f t="shared" si="27"/>
        <v/>
      </c>
      <c r="L157" s="38" t="str">
        <f t="shared" si="27"/>
        <v/>
      </c>
      <c r="M157" s="17" t="str">
        <f t="shared" si="29"/>
        <v/>
      </c>
      <c r="N157" s="16" t="str">
        <f t="shared" si="30"/>
        <v/>
      </c>
      <c r="O157" s="54">
        <v>3</v>
      </c>
      <c r="P157" s="56">
        <v>4</v>
      </c>
    </row>
    <row r="158" spans="1:16" ht="24" hidden="1" customHeight="1">
      <c r="A158" s="11">
        <v>4</v>
      </c>
      <c r="B158" s="12" t="str">
        <f t="shared" si="25"/>
        <v/>
      </c>
      <c r="C158" s="13"/>
      <c r="D158" s="32" t="str">
        <f t="shared" si="26"/>
        <v/>
      </c>
      <c r="E158" s="37" t="str">
        <f t="shared" si="24"/>
        <v/>
      </c>
      <c r="F158" s="37" t="str">
        <f t="shared" si="24"/>
        <v/>
      </c>
      <c r="G158" s="37" t="str">
        <f t="shared" si="24"/>
        <v/>
      </c>
      <c r="H158" s="37" t="str">
        <f t="shared" si="24"/>
        <v/>
      </c>
      <c r="I158" s="16" t="str">
        <f t="shared" si="28"/>
        <v/>
      </c>
      <c r="J158" s="38" t="str">
        <f t="shared" si="27"/>
        <v/>
      </c>
      <c r="K158" s="38" t="str">
        <f t="shared" si="27"/>
        <v/>
      </c>
      <c r="L158" s="38" t="str">
        <f t="shared" si="27"/>
        <v/>
      </c>
      <c r="M158" s="17" t="str">
        <f t="shared" si="29"/>
        <v/>
      </c>
      <c r="N158" s="16" t="str">
        <f t="shared" si="30"/>
        <v/>
      </c>
      <c r="O158" s="55"/>
      <c r="P158" s="57"/>
    </row>
    <row r="159" spans="1:16" ht="24" hidden="1" customHeight="1">
      <c r="A159" s="11">
        <v>5</v>
      </c>
      <c r="B159" s="12" t="str">
        <f t="shared" si="25"/>
        <v/>
      </c>
      <c r="C159" s="13"/>
      <c r="D159" s="32" t="str">
        <f t="shared" si="26"/>
        <v/>
      </c>
      <c r="E159" s="37" t="str">
        <f t="shared" si="24"/>
        <v/>
      </c>
      <c r="F159" s="37" t="str">
        <f t="shared" si="24"/>
        <v/>
      </c>
      <c r="G159" s="37" t="str">
        <f t="shared" si="24"/>
        <v/>
      </c>
      <c r="H159" s="37" t="str">
        <f t="shared" si="24"/>
        <v/>
      </c>
      <c r="I159" s="16" t="str">
        <f t="shared" si="28"/>
        <v/>
      </c>
      <c r="J159" s="38" t="str">
        <f t="shared" si="27"/>
        <v/>
      </c>
      <c r="K159" s="38" t="str">
        <f t="shared" si="27"/>
        <v/>
      </c>
      <c r="L159" s="38" t="str">
        <f t="shared" si="27"/>
        <v/>
      </c>
      <c r="M159" s="17" t="str">
        <f t="shared" si="29"/>
        <v/>
      </c>
      <c r="N159" s="16" t="str">
        <f t="shared" si="30"/>
        <v/>
      </c>
      <c r="O159" s="58">
        <v>5</v>
      </c>
      <c r="P159" s="59">
        <v>6</v>
      </c>
    </row>
    <row r="160" spans="1:16" ht="24" hidden="1" customHeight="1">
      <c r="A160" s="11">
        <v>6</v>
      </c>
      <c r="B160" s="12" t="str">
        <f t="shared" si="25"/>
        <v/>
      </c>
      <c r="C160" s="13"/>
      <c r="D160" s="32" t="str">
        <f t="shared" si="26"/>
        <v/>
      </c>
      <c r="E160" s="37" t="str">
        <f t="shared" si="24"/>
        <v/>
      </c>
      <c r="F160" s="37" t="str">
        <f t="shared" si="24"/>
        <v/>
      </c>
      <c r="G160" s="37" t="str">
        <f t="shared" si="24"/>
        <v/>
      </c>
      <c r="H160" s="37" t="str">
        <f t="shared" si="24"/>
        <v/>
      </c>
      <c r="I160" s="16" t="str">
        <f t="shared" si="28"/>
        <v/>
      </c>
      <c r="J160" s="38" t="str">
        <f t="shared" si="27"/>
        <v/>
      </c>
      <c r="K160" s="38" t="str">
        <f t="shared" si="27"/>
        <v/>
      </c>
      <c r="L160" s="38" t="str">
        <f t="shared" si="27"/>
        <v/>
      </c>
      <c r="M160" s="17" t="str">
        <f t="shared" si="29"/>
        <v/>
      </c>
      <c r="N160" s="16" t="str">
        <f t="shared" si="30"/>
        <v/>
      </c>
      <c r="O160" s="58"/>
      <c r="P160" s="59"/>
    </row>
    <row r="161" spans="1:19" s="21" customFormat="1" ht="22.5" customHeight="1">
      <c r="A161" s="60" t="s">
        <v>20</v>
      </c>
      <c r="B161" s="61"/>
      <c r="C161" s="61"/>
      <c r="D161" s="61"/>
      <c r="E161" s="61"/>
      <c r="F161" s="61"/>
      <c r="G161" s="61"/>
      <c r="H161" s="36"/>
      <c r="I161" s="18">
        <f>SUM(I155:I160)</f>
        <v>750000</v>
      </c>
      <c r="J161" s="36"/>
      <c r="K161" s="36"/>
      <c r="L161" s="36"/>
      <c r="M161" s="19">
        <f>SUM(M155:M160)</f>
        <v>0</v>
      </c>
      <c r="N161" s="18">
        <f>SUM(N155:N160)</f>
        <v>750000</v>
      </c>
      <c r="O161" s="20"/>
      <c r="P161" s="20"/>
      <c r="S161" s="22"/>
    </row>
    <row r="162" spans="1:19" ht="23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N162" s="23"/>
    </row>
    <row r="163" spans="1:19" ht="17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O163" s="24" t="str">
        <f>Honor_guru!P162</f>
        <v>Cikalongwetan, 2 Mei 2026</v>
      </c>
    </row>
    <row r="164" spans="1:19" ht="18" customHeight="1">
      <c r="A164" s="8"/>
      <c r="C164" s="24" t="s">
        <v>21</v>
      </c>
      <c r="D164" s="24"/>
      <c r="E164" s="24"/>
      <c r="F164" s="24"/>
      <c r="G164" s="24"/>
      <c r="H164" s="24"/>
      <c r="I164" s="24"/>
      <c r="J164" s="24"/>
      <c r="K164" s="24"/>
      <c r="L164" s="8"/>
      <c r="O164" s="24" t="str">
        <f>Honor_guru!P163</f>
        <v>Dibayar Lunas Tgl. 5 Mei 2026</v>
      </c>
    </row>
    <row r="165" spans="1:19">
      <c r="A165" s="8"/>
      <c r="C165" s="24" t="s">
        <v>22</v>
      </c>
      <c r="D165" s="24"/>
      <c r="E165" s="24"/>
      <c r="F165" s="24"/>
      <c r="G165" s="24"/>
      <c r="H165" s="24"/>
      <c r="I165" s="24"/>
      <c r="J165" s="24"/>
      <c r="K165" s="24"/>
      <c r="L165" s="8"/>
      <c r="O165" s="24" t="s">
        <v>23</v>
      </c>
    </row>
    <row r="166" spans="1:19">
      <c r="A166" s="8"/>
      <c r="C166" s="24"/>
      <c r="D166" s="24"/>
      <c r="E166" s="24"/>
      <c r="F166" s="24"/>
      <c r="G166" s="24"/>
      <c r="H166" s="24"/>
      <c r="I166" s="24"/>
      <c r="J166" s="24"/>
      <c r="K166" s="24"/>
      <c r="L166" s="8"/>
      <c r="O166" s="25"/>
      <c r="S166" s="26"/>
    </row>
    <row r="167" spans="1:19">
      <c r="A167" s="8"/>
      <c r="C167" s="24"/>
      <c r="D167" s="24"/>
      <c r="E167" s="24"/>
      <c r="F167" s="24"/>
      <c r="G167" s="24"/>
      <c r="H167" s="24"/>
      <c r="I167" s="24"/>
      <c r="J167" s="24"/>
      <c r="K167" s="24"/>
      <c r="L167" s="8"/>
      <c r="O167" s="25"/>
    </row>
    <row r="168" spans="1:19">
      <c r="A168" s="8"/>
      <c r="C168" s="24"/>
      <c r="D168" s="24"/>
      <c r="E168" s="24"/>
      <c r="F168" s="24"/>
      <c r="G168" s="24"/>
      <c r="H168" s="24"/>
      <c r="I168" s="24"/>
      <c r="J168" s="24"/>
      <c r="K168" s="24"/>
      <c r="L168" s="8"/>
      <c r="O168" s="25"/>
    </row>
    <row r="169" spans="1:19">
      <c r="A169" s="8"/>
      <c r="C169" s="24"/>
      <c r="D169" s="24"/>
      <c r="E169" s="24"/>
      <c r="F169" s="24"/>
      <c r="G169" s="24"/>
      <c r="H169" s="24"/>
      <c r="I169" s="24"/>
      <c r="J169" s="24"/>
      <c r="K169" s="24"/>
      <c r="L169" s="8"/>
      <c r="O169" s="25"/>
    </row>
    <row r="170" spans="1:19">
      <c r="A170" s="8"/>
      <c r="C170" s="24"/>
      <c r="D170" s="24"/>
      <c r="E170" s="24"/>
      <c r="F170" s="24"/>
      <c r="G170" s="24"/>
      <c r="H170" s="24"/>
      <c r="I170" s="24"/>
      <c r="J170" s="24"/>
      <c r="K170" s="24"/>
      <c r="L170" s="8"/>
      <c r="O170" s="25"/>
    </row>
    <row r="171" spans="1:19" ht="15" customHeight="1">
      <c r="A171" s="8"/>
      <c r="C171" s="27" t="str">
        <f>IF(C135="","",C135)</f>
        <v>BADRUDDIN, S.Ag.</v>
      </c>
      <c r="D171" s="28"/>
      <c r="E171" s="28"/>
      <c r="F171" s="28"/>
      <c r="G171" s="28"/>
      <c r="H171" s="28"/>
      <c r="I171" s="28"/>
      <c r="J171" s="28"/>
      <c r="K171" s="8"/>
      <c r="L171" s="8"/>
      <c r="O171" s="27" t="str">
        <f>IF(O135="","",O135)</f>
        <v>DEDE GUNAWAN, S.Pd.</v>
      </c>
    </row>
    <row r="172" spans="1:19" ht="15" customHeight="1">
      <c r="A172" s="8"/>
      <c r="C172" s="27" t="str">
        <f>IF(C136="","",C136)</f>
        <v>NIP. 197405082014121002</v>
      </c>
      <c r="D172" s="28"/>
      <c r="E172" s="28"/>
      <c r="F172" s="28"/>
      <c r="G172" s="28"/>
      <c r="H172" s="28"/>
      <c r="I172" s="28"/>
      <c r="J172" s="28"/>
      <c r="K172" s="8"/>
      <c r="L172" s="8"/>
      <c r="O172" s="27" t="str">
        <f>IF(O136="","",O136)</f>
        <v>NIP. 198507172020121003</v>
      </c>
    </row>
    <row r="181" spans="1:16" ht="17.25" customHeight="1">
      <c r="A181" s="64" t="str">
        <f>$A$1</f>
        <v>DAFTAR PENERIMA HONORARIUM/GAJI PENJAGA SEKOLAH TIDAK TETAP (PEMBAYARAN NON TUNAI)</v>
      </c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</row>
    <row r="182" spans="1:16" ht="17.25" customHeight="1">
      <c r="A182" s="64" t="str">
        <f>Honor_guru!A181</f>
        <v>BULAN JUNI 2026</v>
      </c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</row>
    <row r="183" spans="1:16" ht="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5" customHeight="1">
      <c r="C184" s="4" t="s">
        <v>0</v>
      </c>
      <c r="D184" s="5" t="s">
        <v>1</v>
      </c>
      <c r="E184" s="5"/>
      <c r="F184" s="5"/>
      <c r="G184" s="5"/>
      <c r="H184" s="5"/>
      <c r="I184" s="5"/>
      <c r="K184" s="6"/>
      <c r="L184" s="7"/>
      <c r="M184" s="4" t="s">
        <v>26</v>
      </c>
      <c r="N184" s="4" t="str">
        <f>N148</f>
        <v>: 07 Pengembangan Standar Pembiayaan</v>
      </c>
      <c r="O184" s="3"/>
    </row>
    <row r="185" spans="1:16" ht="15" customHeight="1">
      <c r="C185" s="4" t="s">
        <v>2</v>
      </c>
      <c r="D185" s="4" t="str">
        <f>D149</f>
        <v>: SD NEGERI LEBAKLEUNGSIR</v>
      </c>
      <c r="E185" s="4"/>
      <c r="F185" s="4"/>
      <c r="G185" s="4"/>
      <c r="H185" s="4"/>
      <c r="I185" s="4"/>
      <c r="K185" s="6"/>
      <c r="M185" s="4" t="s">
        <v>27</v>
      </c>
      <c r="N185" s="4" t="str">
        <f>N149</f>
        <v>: Pembayaran Honor (Penjaga)</v>
      </c>
      <c r="O185" s="3"/>
    </row>
    <row r="186" spans="1:16" ht="15" customHeight="1">
      <c r="C186" s="4" t="s">
        <v>3</v>
      </c>
      <c r="D186" s="4" t="str">
        <f>D150</f>
        <v>: Cikalongwetan</v>
      </c>
      <c r="E186" s="4"/>
      <c r="F186" s="4"/>
      <c r="G186" s="4"/>
      <c r="H186" s="4"/>
      <c r="I186" s="4"/>
      <c r="K186" s="6"/>
      <c r="M186" s="8" t="s">
        <v>28</v>
      </c>
      <c r="N186" s="4" t="str">
        <f>N150</f>
        <v>: 5.1.02.02.01.0013</v>
      </c>
      <c r="O186" s="3"/>
    </row>
    <row r="187" spans="1:16" ht="15" customHeight="1">
      <c r="C187" s="4" t="s">
        <v>5</v>
      </c>
      <c r="D187" s="4" t="str">
        <f>D151</f>
        <v>: Bandung Barat</v>
      </c>
      <c r="E187" s="4"/>
      <c r="F187" s="4"/>
      <c r="G187" s="4"/>
      <c r="H187" s="4"/>
      <c r="I187" s="4"/>
      <c r="K187" s="6"/>
      <c r="M187" s="4" t="s">
        <v>7</v>
      </c>
      <c r="N187" s="4" t="str">
        <f>N151</f>
        <v>: 12</v>
      </c>
      <c r="O187" s="3"/>
      <c r="P187" s="8"/>
    </row>
    <row r="188" spans="1:16" ht="15" customHeight="1">
      <c r="M188" s="8"/>
      <c r="N188" s="8"/>
      <c r="O188" s="8"/>
    </row>
    <row r="189" spans="1:16" ht="18.5" customHeight="1">
      <c r="A189" s="62" t="s">
        <v>8</v>
      </c>
      <c r="B189" s="65" t="s">
        <v>9</v>
      </c>
      <c r="C189" s="66"/>
      <c r="D189" s="62" t="s">
        <v>10</v>
      </c>
      <c r="E189" s="69" t="s">
        <v>72</v>
      </c>
      <c r="F189" s="70"/>
      <c r="G189" s="70"/>
      <c r="H189" s="71"/>
      <c r="I189" s="72" t="s">
        <v>14</v>
      </c>
      <c r="J189" s="72" t="s">
        <v>11</v>
      </c>
      <c r="K189" s="65" t="s">
        <v>12</v>
      </c>
      <c r="L189" s="66"/>
      <c r="M189" s="74" t="s">
        <v>31</v>
      </c>
      <c r="N189" s="72" t="s">
        <v>16</v>
      </c>
      <c r="O189" s="65" t="s">
        <v>17</v>
      </c>
      <c r="P189" s="66"/>
    </row>
    <row r="190" spans="1:16" ht="34" customHeight="1">
      <c r="A190" s="63"/>
      <c r="B190" s="67"/>
      <c r="C190" s="68"/>
      <c r="D190" s="63"/>
      <c r="E190" s="35" t="str">
        <f t="shared" ref="E190:H196" si="31">IF(E154="","",E154)</f>
        <v>Penjaga</v>
      </c>
      <c r="F190" s="35" t="str">
        <f t="shared" si="31"/>
        <v>Guru</v>
      </c>
      <c r="G190" s="35" t="str">
        <f t="shared" si="31"/>
        <v>Pembina Ekskul</v>
      </c>
      <c r="H190" s="39" t="str">
        <f t="shared" si="31"/>
        <v>Tenaga Perpustakaan</v>
      </c>
      <c r="I190" s="73"/>
      <c r="J190" s="73"/>
      <c r="K190" s="67"/>
      <c r="L190" s="68"/>
      <c r="M190" s="75"/>
      <c r="N190" s="73"/>
      <c r="O190" s="67"/>
      <c r="P190" s="68"/>
    </row>
    <row r="191" spans="1:16" ht="30.5" customHeight="1">
      <c r="A191" s="11">
        <v>1</v>
      </c>
      <c r="B191" s="12" t="str">
        <f t="shared" ref="B191:B196" si="32">IF(B155="","",B155)</f>
        <v>USEP PUDIN</v>
      </c>
      <c r="C191" s="13"/>
      <c r="D191" s="32" t="str">
        <f t="shared" ref="D191:D196" si="33">IF(D155="","",D155)</f>
        <v>Penjaga Sekolah</v>
      </c>
      <c r="E191" s="37">
        <f t="shared" si="31"/>
        <v>750000</v>
      </c>
      <c r="F191" s="37" t="str">
        <f t="shared" si="31"/>
        <v/>
      </c>
      <c r="G191" s="37" t="str">
        <f t="shared" si="31"/>
        <v/>
      </c>
      <c r="H191" s="37" t="str">
        <f t="shared" si="31"/>
        <v/>
      </c>
      <c r="I191" s="16">
        <f>IF(B191="","",SUM(E191:H191))</f>
        <v>750000</v>
      </c>
      <c r="J191" s="38" t="str">
        <f t="shared" ref="J191:L196" si="34">IF(J155="","",J155)</f>
        <v>PTT</v>
      </c>
      <c r="K191" s="38">
        <f t="shared" si="34"/>
        <v>1</v>
      </c>
      <c r="L191" s="38" t="str">
        <f t="shared" si="34"/>
        <v>Bulan</v>
      </c>
      <c r="M191" s="17">
        <f>IFERROR(I191*0/100,"")</f>
        <v>0</v>
      </c>
      <c r="N191" s="16">
        <f>IFERROR(SUM(I191*K191)-M191,"")</f>
        <v>750000</v>
      </c>
      <c r="O191" s="54">
        <v>1</v>
      </c>
      <c r="P191" s="56">
        <v>2</v>
      </c>
    </row>
    <row r="192" spans="1:16" ht="30.5" customHeight="1">
      <c r="A192" s="11">
        <v>2</v>
      </c>
      <c r="B192" s="12" t="str">
        <f t="shared" si="32"/>
        <v/>
      </c>
      <c r="C192" s="13"/>
      <c r="D192" s="32" t="str">
        <f t="shared" si="33"/>
        <v/>
      </c>
      <c r="E192" s="37" t="str">
        <f t="shared" si="31"/>
        <v/>
      </c>
      <c r="F192" s="37" t="str">
        <f t="shared" si="31"/>
        <v/>
      </c>
      <c r="G192" s="37" t="str">
        <f t="shared" si="31"/>
        <v/>
      </c>
      <c r="H192" s="37" t="str">
        <f t="shared" si="31"/>
        <v/>
      </c>
      <c r="I192" s="16" t="str">
        <f t="shared" ref="I192:I196" si="35">IF(B192="","",SUM(E192:H192))</f>
        <v/>
      </c>
      <c r="J192" s="38" t="str">
        <f t="shared" si="34"/>
        <v/>
      </c>
      <c r="K192" s="38" t="str">
        <f t="shared" si="34"/>
        <v/>
      </c>
      <c r="L192" s="38" t="str">
        <f t="shared" si="34"/>
        <v/>
      </c>
      <c r="M192" s="17" t="str">
        <f t="shared" ref="M192:M196" si="36">IFERROR(I192*0/100,"")</f>
        <v/>
      </c>
      <c r="N192" s="16" t="str">
        <f t="shared" ref="N192:N196" si="37">IFERROR(SUM(I192*K192)-M192,"")</f>
        <v/>
      </c>
      <c r="O192" s="55"/>
      <c r="P192" s="57"/>
    </row>
    <row r="193" spans="1:19" ht="24" hidden="1" customHeight="1">
      <c r="A193" s="11">
        <v>3</v>
      </c>
      <c r="B193" s="12" t="str">
        <f t="shared" si="32"/>
        <v/>
      </c>
      <c r="C193" s="13"/>
      <c r="D193" s="32" t="str">
        <f t="shared" si="33"/>
        <v/>
      </c>
      <c r="E193" s="37" t="str">
        <f t="shared" si="31"/>
        <v/>
      </c>
      <c r="F193" s="37" t="str">
        <f t="shared" si="31"/>
        <v/>
      </c>
      <c r="G193" s="37" t="str">
        <f t="shared" si="31"/>
        <v/>
      </c>
      <c r="H193" s="37" t="str">
        <f t="shared" si="31"/>
        <v/>
      </c>
      <c r="I193" s="16" t="str">
        <f t="shared" si="35"/>
        <v/>
      </c>
      <c r="J193" s="38" t="str">
        <f t="shared" si="34"/>
        <v/>
      </c>
      <c r="K193" s="38" t="str">
        <f t="shared" si="34"/>
        <v/>
      </c>
      <c r="L193" s="38" t="str">
        <f t="shared" si="34"/>
        <v/>
      </c>
      <c r="M193" s="17" t="str">
        <f t="shared" si="36"/>
        <v/>
      </c>
      <c r="N193" s="16" t="str">
        <f t="shared" si="37"/>
        <v/>
      </c>
      <c r="O193" s="54">
        <v>3</v>
      </c>
      <c r="P193" s="56">
        <v>4</v>
      </c>
    </row>
    <row r="194" spans="1:19" ht="24" hidden="1" customHeight="1">
      <c r="A194" s="11">
        <v>4</v>
      </c>
      <c r="B194" s="12" t="str">
        <f t="shared" si="32"/>
        <v/>
      </c>
      <c r="C194" s="13"/>
      <c r="D194" s="32" t="str">
        <f t="shared" si="33"/>
        <v/>
      </c>
      <c r="E194" s="37" t="str">
        <f t="shared" si="31"/>
        <v/>
      </c>
      <c r="F194" s="37" t="str">
        <f t="shared" si="31"/>
        <v/>
      </c>
      <c r="G194" s="37" t="str">
        <f t="shared" si="31"/>
        <v/>
      </c>
      <c r="H194" s="37" t="str">
        <f t="shared" si="31"/>
        <v/>
      </c>
      <c r="I194" s="16" t="str">
        <f t="shared" si="35"/>
        <v/>
      </c>
      <c r="J194" s="38" t="str">
        <f t="shared" si="34"/>
        <v/>
      </c>
      <c r="K194" s="38" t="str">
        <f t="shared" si="34"/>
        <v/>
      </c>
      <c r="L194" s="38" t="str">
        <f t="shared" si="34"/>
        <v/>
      </c>
      <c r="M194" s="17" t="str">
        <f t="shared" si="36"/>
        <v/>
      </c>
      <c r="N194" s="16" t="str">
        <f t="shared" si="37"/>
        <v/>
      </c>
      <c r="O194" s="55"/>
      <c r="P194" s="57"/>
    </row>
    <row r="195" spans="1:19" ht="24" hidden="1" customHeight="1">
      <c r="A195" s="11">
        <v>5</v>
      </c>
      <c r="B195" s="12" t="str">
        <f t="shared" si="32"/>
        <v/>
      </c>
      <c r="C195" s="13"/>
      <c r="D195" s="32" t="str">
        <f t="shared" si="33"/>
        <v/>
      </c>
      <c r="E195" s="37" t="str">
        <f t="shared" si="31"/>
        <v/>
      </c>
      <c r="F195" s="37" t="str">
        <f t="shared" si="31"/>
        <v/>
      </c>
      <c r="G195" s="37" t="str">
        <f t="shared" si="31"/>
        <v/>
      </c>
      <c r="H195" s="37" t="str">
        <f t="shared" si="31"/>
        <v/>
      </c>
      <c r="I195" s="16" t="str">
        <f t="shared" si="35"/>
        <v/>
      </c>
      <c r="J195" s="38" t="str">
        <f t="shared" si="34"/>
        <v/>
      </c>
      <c r="K195" s="38" t="str">
        <f t="shared" si="34"/>
        <v/>
      </c>
      <c r="L195" s="38" t="str">
        <f t="shared" si="34"/>
        <v/>
      </c>
      <c r="M195" s="17" t="str">
        <f t="shared" si="36"/>
        <v/>
      </c>
      <c r="N195" s="16" t="str">
        <f t="shared" si="37"/>
        <v/>
      </c>
      <c r="O195" s="58">
        <v>5</v>
      </c>
      <c r="P195" s="59">
        <v>6</v>
      </c>
    </row>
    <row r="196" spans="1:19" ht="24" hidden="1" customHeight="1">
      <c r="A196" s="11">
        <v>6</v>
      </c>
      <c r="B196" s="12" t="str">
        <f t="shared" si="32"/>
        <v/>
      </c>
      <c r="C196" s="13"/>
      <c r="D196" s="32" t="str">
        <f t="shared" si="33"/>
        <v/>
      </c>
      <c r="E196" s="37" t="str">
        <f t="shared" si="31"/>
        <v/>
      </c>
      <c r="F196" s="37" t="str">
        <f t="shared" si="31"/>
        <v/>
      </c>
      <c r="G196" s="37" t="str">
        <f t="shared" si="31"/>
        <v/>
      </c>
      <c r="H196" s="37" t="str">
        <f t="shared" si="31"/>
        <v/>
      </c>
      <c r="I196" s="16" t="str">
        <f t="shared" si="35"/>
        <v/>
      </c>
      <c r="J196" s="38" t="str">
        <f t="shared" si="34"/>
        <v/>
      </c>
      <c r="K196" s="38" t="str">
        <f t="shared" si="34"/>
        <v/>
      </c>
      <c r="L196" s="38" t="str">
        <f t="shared" si="34"/>
        <v/>
      </c>
      <c r="M196" s="17" t="str">
        <f t="shared" si="36"/>
        <v/>
      </c>
      <c r="N196" s="16" t="str">
        <f t="shared" si="37"/>
        <v/>
      </c>
      <c r="O196" s="58"/>
      <c r="P196" s="59"/>
    </row>
    <row r="197" spans="1:19" s="21" customFormat="1" ht="22.5" customHeight="1">
      <c r="A197" s="60" t="s">
        <v>20</v>
      </c>
      <c r="B197" s="61"/>
      <c r="C197" s="61"/>
      <c r="D197" s="61"/>
      <c r="E197" s="61"/>
      <c r="F197" s="61"/>
      <c r="G197" s="61"/>
      <c r="H197" s="36"/>
      <c r="I197" s="18">
        <f>SUM(I191:I196)</f>
        <v>750000</v>
      </c>
      <c r="J197" s="36"/>
      <c r="K197" s="36"/>
      <c r="L197" s="36"/>
      <c r="M197" s="19">
        <f>SUM(M191:M196)</f>
        <v>0</v>
      </c>
      <c r="N197" s="18">
        <f>SUM(N191:N196)</f>
        <v>750000</v>
      </c>
      <c r="O197" s="20"/>
      <c r="P197" s="20"/>
      <c r="S197" s="22"/>
    </row>
    <row r="198" spans="1:19" ht="23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N198" s="23"/>
    </row>
    <row r="199" spans="1:19" ht="17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O199" s="24" t="str">
        <f>Honor_guru!P198</f>
        <v>Cikalongwetan, 1 Juni 2026</v>
      </c>
    </row>
    <row r="200" spans="1:19" ht="18" customHeight="1">
      <c r="A200" s="8"/>
      <c r="C200" s="24" t="s">
        <v>21</v>
      </c>
      <c r="D200" s="24"/>
      <c r="E200" s="24"/>
      <c r="F200" s="24"/>
      <c r="G200" s="24"/>
      <c r="H200" s="24"/>
      <c r="I200" s="24"/>
      <c r="J200" s="24"/>
      <c r="K200" s="24"/>
      <c r="L200" s="8"/>
      <c r="O200" s="24" t="str">
        <f>Honor_guru!P199</f>
        <v>Dibayar Lunas Tgl. 3 Juni 2026</v>
      </c>
    </row>
    <row r="201" spans="1:19">
      <c r="A201" s="8"/>
      <c r="C201" s="24" t="s">
        <v>22</v>
      </c>
      <c r="D201" s="24"/>
      <c r="E201" s="24"/>
      <c r="F201" s="24"/>
      <c r="G201" s="24"/>
      <c r="H201" s="24"/>
      <c r="I201" s="24"/>
      <c r="J201" s="24"/>
      <c r="K201" s="24"/>
      <c r="L201" s="8"/>
      <c r="O201" s="24" t="s">
        <v>23</v>
      </c>
    </row>
    <row r="202" spans="1:19">
      <c r="A202" s="8"/>
      <c r="C202" s="24"/>
      <c r="D202" s="24"/>
      <c r="E202" s="24"/>
      <c r="F202" s="24"/>
      <c r="G202" s="24"/>
      <c r="H202" s="24"/>
      <c r="I202" s="24"/>
      <c r="J202" s="24"/>
      <c r="K202" s="24"/>
      <c r="L202" s="8"/>
      <c r="O202" s="25"/>
      <c r="S202" s="26"/>
    </row>
    <row r="203" spans="1:19">
      <c r="A203" s="8"/>
      <c r="C203" s="24"/>
      <c r="D203" s="24"/>
      <c r="E203" s="24"/>
      <c r="F203" s="24"/>
      <c r="G203" s="24"/>
      <c r="H203" s="24"/>
      <c r="I203" s="24"/>
      <c r="J203" s="24"/>
      <c r="K203" s="24"/>
      <c r="L203" s="8"/>
      <c r="O203" s="25"/>
    </row>
    <row r="204" spans="1:19">
      <c r="A204" s="8"/>
      <c r="C204" s="24"/>
      <c r="D204" s="24"/>
      <c r="E204" s="24"/>
      <c r="F204" s="24"/>
      <c r="G204" s="24"/>
      <c r="H204" s="24"/>
      <c r="I204" s="24"/>
      <c r="J204" s="24"/>
      <c r="K204" s="24"/>
      <c r="L204" s="8"/>
      <c r="O204" s="25"/>
    </row>
    <row r="205" spans="1:19">
      <c r="A205" s="8"/>
      <c r="C205" s="24"/>
      <c r="D205" s="24"/>
      <c r="E205" s="24"/>
      <c r="F205" s="24"/>
      <c r="G205" s="24"/>
      <c r="H205" s="24"/>
      <c r="I205" s="24"/>
      <c r="J205" s="24"/>
      <c r="K205" s="24"/>
      <c r="L205" s="8"/>
      <c r="O205" s="25"/>
    </row>
    <row r="206" spans="1:19">
      <c r="A206" s="8"/>
      <c r="C206" s="24"/>
      <c r="D206" s="24"/>
      <c r="E206" s="24"/>
      <c r="F206" s="24"/>
      <c r="G206" s="24"/>
      <c r="H206" s="24"/>
      <c r="I206" s="24"/>
      <c r="J206" s="24"/>
      <c r="K206" s="24"/>
      <c r="L206" s="8"/>
      <c r="O206" s="25"/>
    </row>
    <row r="207" spans="1:19" ht="15" customHeight="1">
      <c r="A207" s="8"/>
      <c r="C207" s="27" t="str">
        <f>IF(C171="","",C171)</f>
        <v>BADRUDDIN, S.Ag.</v>
      </c>
      <c r="D207" s="28"/>
      <c r="E207" s="28"/>
      <c r="F207" s="28"/>
      <c r="G207" s="28"/>
      <c r="H207" s="28"/>
      <c r="I207" s="28"/>
      <c r="J207" s="28"/>
      <c r="K207" s="8"/>
      <c r="L207" s="8"/>
      <c r="O207" s="27" t="str">
        <f>IF(O171="","",O171)</f>
        <v>DEDE GUNAWAN, S.Pd.</v>
      </c>
    </row>
    <row r="208" spans="1:19" ht="15" customHeight="1">
      <c r="A208" s="8"/>
      <c r="C208" s="27" t="str">
        <f>IF(C172="","",C172)</f>
        <v>NIP. 197405082014121002</v>
      </c>
      <c r="D208" s="28"/>
      <c r="E208" s="28"/>
      <c r="F208" s="28"/>
      <c r="G208" s="28"/>
      <c r="H208" s="28"/>
      <c r="I208" s="28"/>
      <c r="J208" s="28"/>
      <c r="K208" s="8"/>
      <c r="L208" s="8"/>
      <c r="O208" s="27" t="str">
        <f>IF(O172="","",O172)</f>
        <v>NIP. 198507172020121003</v>
      </c>
    </row>
    <row r="217" spans="1:16" ht="17.25" customHeight="1">
      <c r="A217" s="64" t="str">
        <f>$A$1</f>
        <v>DAFTAR PENERIMA HONORARIUM/GAJI PENJAGA SEKOLAH TIDAK TETAP (PEMBAYARAN NON TUNAI)</v>
      </c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</row>
    <row r="218" spans="1:16" ht="17.25" customHeight="1">
      <c r="A218" s="64" t="str">
        <f>Honor_guru!A217</f>
        <v>BULAN JULI 2025</v>
      </c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</row>
    <row r="219" spans="1:16" ht="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5" customHeight="1">
      <c r="C220" s="4" t="s">
        <v>0</v>
      </c>
      <c r="D220" s="5" t="s">
        <v>1</v>
      </c>
      <c r="E220" s="5"/>
      <c r="F220" s="5"/>
      <c r="G220" s="5"/>
      <c r="H220" s="5"/>
      <c r="I220" s="5"/>
      <c r="K220" s="6"/>
      <c r="L220" s="7"/>
      <c r="M220" s="4" t="s">
        <v>26</v>
      </c>
      <c r="N220" s="4" t="str">
        <f>N184</f>
        <v>: 07 Pengembangan Standar Pembiayaan</v>
      </c>
      <c r="O220" s="3"/>
    </row>
    <row r="221" spans="1:16" ht="15" customHeight="1">
      <c r="C221" s="4" t="s">
        <v>2</v>
      </c>
      <c r="D221" s="4" t="str">
        <f>D185</f>
        <v>: SD NEGERI LEBAKLEUNGSIR</v>
      </c>
      <c r="E221" s="4"/>
      <c r="F221" s="4"/>
      <c r="G221" s="4"/>
      <c r="H221" s="4"/>
      <c r="I221" s="4"/>
      <c r="K221" s="6"/>
      <c r="M221" s="4" t="s">
        <v>27</v>
      </c>
      <c r="N221" s="4" t="str">
        <f>N185</f>
        <v>: Pembayaran Honor (Penjaga)</v>
      </c>
      <c r="O221" s="3"/>
    </row>
    <row r="222" spans="1:16" ht="15" customHeight="1">
      <c r="C222" s="4" t="s">
        <v>3</v>
      </c>
      <c r="D222" s="4" t="str">
        <f>D186</f>
        <v>: Cikalongwetan</v>
      </c>
      <c r="E222" s="4"/>
      <c r="F222" s="4"/>
      <c r="G222" s="4"/>
      <c r="H222" s="4"/>
      <c r="I222" s="4"/>
      <c r="K222" s="6"/>
      <c r="M222" s="8" t="s">
        <v>28</v>
      </c>
      <c r="N222" s="4" t="str">
        <f>N186</f>
        <v>: 5.1.02.02.01.0013</v>
      </c>
      <c r="O222" s="3"/>
    </row>
    <row r="223" spans="1:16" ht="15" customHeight="1">
      <c r="C223" s="4" t="s">
        <v>5</v>
      </c>
      <c r="D223" s="4" t="str">
        <f>D187</f>
        <v>: Bandung Barat</v>
      </c>
      <c r="E223" s="4"/>
      <c r="F223" s="4"/>
      <c r="G223" s="4"/>
      <c r="H223" s="4"/>
      <c r="I223" s="4"/>
      <c r="K223" s="6"/>
      <c r="M223" s="4" t="s">
        <v>7</v>
      </c>
      <c r="N223" s="4" t="str">
        <f>N187</f>
        <v>: 12</v>
      </c>
      <c r="O223" s="3"/>
      <c r="P223" s="8"/>
    </row>
    <row r="224" spans="1:16" ht="15" customHeight="1">
      <c r="M224" s="8"/>
      <c r="N224" s="8"/>
      <c r="O224" s="8"/>
    </row>
    <row r="225" spans="1:19" ht="18.5" customHeight="1">
      <c r="A225" s="62" t="s">
        <v>8</v>
      </c>
      <c r="B225" s="65" t="s">
        <v>9</v>
      </c>
      <c r="C225" s="66"/>
      <c r="D225" s="62" t="s">
        <v>10</v>
      </c>
      <c r="E225" s="69" t="s">
        <v>72</v>
      </c>
      <c r="F225" s="70"/>
      <c r="G225" s="70"/>
      <c r="H225" s="71"/>
      <c r="I225" s="72" t="s">
        <v>14</v>
      </c>
      <c r="J225" s="72" t="s">
        <v>11</v>
      </c>
      <c r="K225" s="65" t="s">
        <v>12</v>
      </c>
      <c r="L225" s="66"/>
      <c r="M225" s="74" t="s">
        <v>31</v>
      </c>
      <c r="N225" s="72" t="s">
        <v>16</v>
      </c>
      <c r="O225" s="65" t="s">
        <v>17</v>
      </c>
      <c r="P225" s="66"/>
    </row>
    <row r="226" spans="1:19" ht="34" customHeight="1">
      <c r="A226" s="63"/>
      <c r="B226" s="67"/>
      <c r="C226" s="68"/>
      <c r="D226" s="63"/>
      <c r="E226" s="35" t="str">
        <f>IF(E190="","",E190)</f>
        <v>Penjaga</v>
      </c>
      <c r="F226" s="35" t="str">
        <f>IF(F190="","",F190)</f>
        <v>Guru</v>
      </c>
      <c r="G226" s="35" t="str">
        <f>IF(G190="","",G190)</f>
        <v>Pembina Ekskul</v>
      </c>
      <c r="H226" s="39" t="str">
        <f>IF(H190="","",H190)</f>
        <v>Tenaga Perpustakaan</v>
      </c>
      <c r="I226" s="73"/>
      <c r="J226" s="73"/>
      <c r="K226" s="67"/>
      <c r="L226" s="68"/>
      <c r="M226" s="75"/>
      <c r="N226" s="73"/>
      <c r="O226" s="67"/>
      <c r="P226" s="68"/>
    </row>
    <row r="227" spans="1:19" ht="29.5" customHeight="1">
      <c r="A227" s="11">
        <v>1</v>
      </c>
      <c r="B227" s="12" t="str">
        <f>IF(B191="","",B191)</f>
        <v>USEP PUDIN</v>
      </c>
      <c r="C227" s="13"/>
      <c r="D227" s="32" t="str">
        <f>IF(D191="","",D191)</f>
        <v>Penjaga Sekolah</v>
      </c>
      <c r="E227" s="37">
        <v>450000</v>
      </c>
      <c r="F227" s="37"/>
      <c r="G227" s="37" t="str">
        <f t="shared" ref="G227:H229" si="38">IF(G191="","",G191)</f>
        <v/>
      </c>
      <c r="H227" s="37" t="str">
        <f t="shared" si="38"/>
        <v/>
      </c>
      <c r="I227" s="16">
        <f>IF(B227="","",SUM(E227:H227))</f>
        <v>450000</v>
      </c>
      <c r="J227" s="38" t="str">
        <f t="shared" ref="J227:L229" si="39">IF(J191="","",J191)</f>
        <v>PTT</v>
      </c>
      <c r="K227" s="38">
        <f t="shared" si="39"/>
        <v>1</v>
      </c>
      <c r="L227" s="38" t="str">
        <f t="shared" si="39"/>
        <v>Bulan</v>
      </c>
      <c r="M227" s="17">
        <f>IFERROR(I227*0/100,"")</f>
        <v>0</v>
      </c>
      <c r="N227" s="16">
        <f>IFERROR(SUM(I227*K227)-M227,"")</f>
        <v>450000</v>
      </c>
      <c r="O227" s="54">
        <v>1</v>
      </c>
      <c r="P227" s="56">
        <v>2</v>
      </c>
    </row>
    <row r="228" spans="1:19" ht="29.5" customHeight="1">
      <c r="A228" s="11">
        <v>2</v>
      </c>
      <c r="B228" s="12" t="str">
        <f>IF(B192="","",B192)</f>
        <v/>
      </c>
      <c r="C228" s="13"/>
      <c r="D228" s="32" t="str">
        <f>IF(D192="","",D192)</f>
        <v/>
      </c>
      <c r="E228" s="37"/>
      <c r="F228" s="37"/>
      <c r="G228" s="37" t="str">
        <f t="shared" si="38"/>
        <v/>
      </c>
      <c r="H228" s="37" t="str">
        <f t="shared" si="38"/>
        <v/>
      </c>
      <c r="I228" s="16" t="str">
        <f t="shared" ref="I228:I232" si="40">IF(B228="","",SUM(E228:H228))</f>
        <v/>
      </c>
      <c r="J228" s="38" t="str">
        <f t="shared" si="39"/>
        <v/>
      </c>
      <c r="K228" s="38" t="str">
        <f t="shared" si="39"/>
        <v/>
      </c>
      <c r="L228" s="38" t="str">
        <f t="shared" si="39"/>
        <v/>
      </c>
      <c r="M228" s="17" t="str">
        <f t="shared" ref="M228:M232" si="41">IFERROR(I228*0/100,"")</f>
        <v/>
      </c>
      <c r="N228" s="16" t="str">
        <f t="shared" ref="N228:N232" si="42">IFERROR(SUM(I228*K228)-M228,"")</f>
        <v/>
      </c>
      <c r="O228" s="55"/>
      <c r="P228" s="57"/>
    </row>
    <row r="229" spans="1:19" ht="24" hidden="1" customHeight="1">
      <c r="A229" s="11">
        <v>3</v>
      </c>
      <c r="B229" s="12" t="str">
        <f>IF(B193="","",B193)</f>
        <v/>
      </c>
      <c r="C229" s="13"/>
      <c r="D229" s="32" t="str">
        <f>IF(D193="","",D193)</f>
        <v/>
      </c>
      <c r="E229" s="37"/>
      <c r="F229" s="37" t="str">
        <f>IF(F193="","",F193)</f>
        <v/>
      </c>
      <c r="G229" s="37" t="str">
        <f t="shared" si="38"/>
        <v/>
      </c>
      <c r="H229" s="37" t="str">
        <f t="shared" si="38"/>
        <v/>
      </c>
      <c r="I229" s="16" t="str">
        <f t="shared" si="40"/>
        <v/>
      </c>
      <c r="J229" s="38" t="str">
        <f t="shared" si="39"/>
        <v/>
      </c>
      <c r="K229" s="38" t="str">
        <f t="shared" si="39"/>
        <v/>
      </c>
      <c r="L229" s="38" t="str">
        <f t="shared" si="39"/>
        <v/>
      </c>
      <c r="M229" s="17" t="str">
        <f t="shared" si="41"/>
        <v/>
      </c>
      <c r="N229" s="16" t="str">
        <f t="shared" si="42"/>
        <v/>
      </c>
      <c r="O229" s="54">
        <v>3</v>
      </c>
      <c r="P229" s="56">
        <v>4</v>
      </c>
    </row>
    <row r="230" spans="1:19" ht="24" hidden="1" customHeight="1">
      <c r="A230" s="11">
        <v>4</v>
      </c>
      <c r="B230" s="12"/>
      <c r="C230" s="13"/>
      <c r="D230" s="32"/>
      <c r="E230" s="37"/>
      <c r="F230" s="37"/>
      <c r="G230" s="37"/>
      <c r="H230" s="37"/>
      <c r="I230" s="16" t="str">
        <f t="shared" si="40"/>
        <v/>
      </c>
      <c r="J230" s="38"/>
      <c r="K230" s="38"/>
      <c r="L230" s="38"/>
      <c r="M230" s="17" t="str">
        <f t="shared" si="41"/>
        <v/>
      </c>
      <c r="N230" s="16" t="str">
        <f t="shared" si="42"/>
        <v/>
      </c>
      <c r="O230" s="55"/>
      <c r="P230" s="57"/>
    </row>
    <row r="231" spans="1:19" ht="24" hidden="1" customHeight="1">
      <c r="A231" s="11">
        <v>5</v>
      </c>
      <c r="B231" s="12" t="str">
        <f>IF(B195="","",B195)</f>
        <v/>
      </c>
      <c r="C231" s="13"/>
      <c r="D231" s="32" t="str">
        <f t="shared" ref="D231:H232" si="43">IF(D195="","",D195)</f>
        <v/>
      </c>
      <c r="E231" s="37" t="str">
        <f t="shared" si="43"/>
        <v/>
      </c>
      <c r="F231" s="37" t="str">
        <f t="shared" si="43"/>
        <v/>
      </c>
      <c r="G231" s="37" t="str">
        <f t="shared" si="43"/>
        <v/>
      </c>
      <c r="H231" s="37" t="str">
        <f t="shared" si="43"/>
        <v/>
      </c>
      <c r="I231" s="16" t="str">
        <f t="shared" si="40"/>
        <v/>
      </c>
      <c r="J231" s="38" t="str">
        <f t="shared" ref="J231:L232" si="44">IF(J195="","",J195)</f>
        <v/>
      </c>
      <c r="K231" s="38" t="str">
        <f t="shared" si="44"/>
        <v/>
      </c>
      <c r="L231" s="38" t="str">
        <f t="shared" si="44"/>
        <v/>
      </c>
      <c r="M231" s="17" t="str">
        <f t="shared" si="41"/>
        <v/>
      </c>
      <c r="N231" s="16" t="str">
        <f t="shared" si="42"/>
        <v/>
      </c>
      <c r="O231" s="58">
        <v>5</v>
      </c>
      <c r="P231" s="59">
        <v>6</v>
      </c>
    </row>
    <row r="232" spans="1:19" ht="24" hidden="1" customHeight="1">
      <c r="A232" s="11">
        <v>6</v>
      </c>
      <c r="B232" s="12" t="str">
        <f>IF(B196="","",B196)</f>
        <v/>
      </c>
      <c r="C232" s="13"/>
      <c r="D232" s="32" t="str">
        <f t="shared" si="43"/>
        <v/>
      </c>
      <c r="E232" s="37" t="str">
        <f t="shared" si="43"/>
        <v/>
      </c>
      <c r="F232" s="37" t="str">
        <f t="shared" si="43"/>
        <v/>
      </c>
      <c r="G232" s="37" t="str">
        <f t="shared" si="43"/>
        <v/>
      </c>
      <c r="H232" s="37" t="str">
        <f t="shared" si="43"/>
        <v/>
      </c>
      <c r="I232" s="16" t="str">
        <f t="shared" si="40"/>
        <v/>
      </c>
      <c r="J232" s="38" t="str">
        <f t="shared" si="44"/>
        <v/>
      </c>
      <c r="K232" s="38" t="str">
        <f t="shared" si="44"/>
        <v/>
      </c>
      <c r="L232" s="38" t="str">
        <f t="shared" si="44"/>
        <v/>
      </c>
      <c r="M232" s="17" t="str">
        <f t="shared" si="41"/>
        <v/>
      </c>
      <c r="N232" s="16" t="str">
        <f t="shared" si="42"/>
        <v/>
      </c>
      <c r="O232" s="58"/>
      <c r="P232" s="59"/>
    </row>
    <row r="233" spans="1:19" s="21" customFormat="1" ht="22.5" customHeight="1">
      <c r="A233" s="60" t="s">
        <v>20</v>
      </c>
      <c r="B233" s="61"/>
      <c r="C233" s="61"/>
      <c r="D233" s="61"/>
      <c r="E233" s="61"/>
      <c r="F233" s="61"/>
      <c r="G233" s="61"/>
      <c r="H233" s="36"/>
      <c r="I233" s="18">
        <f>SUM(I227:I232)</f>
        <v>450000</v>
      </c>
      <c r="J233" s="36"/>
      <c r="K233" s="36"/>
      <c r="L233" s="36"/>
      <c r="M233" s="19">
        <f>SUM(M227:M232)</f>
        <v>0</v>
      </c>
      <c r="N233" s="18">
        <f>SUM(N227:N232)</f>
        <v>450000</v>
      </c>
      <c r="O233" s="20"/>
      <c r="P233" s="20"/>
      <c r="S233" s="22"/>
    </row>
    <row r="234" spans="1:19" ht="23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N234" s="23"/>
    </row>
    <row r="235" spans="1:19" ht="17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O235" s="24" t="str">
        <f>Honor_guru!P234</f>
        <v>Cikalongwetan, 01 Juli 2025</v>
      </c>
    </row>
    <row r="236" spans="1:19" ht="18" customHeight="1">
      <c r="A236" s="8"/>
      <c r="C236" s="24" t="s">
        <v>21</v>
      </c>
      <c r="D236" s="24"/>
      <c r="E236" s="24"/>
      <c r="F236" s="24"/>
      <c r="G236" s="24"/>
      <c r="H236" s="24"/>
      <c r="I236" s="24"/>
      <c r="J236" s="24"/>
      <c r="K236" s="24"/>
      <c r="L236" s="8"/>
      <c r="O236" s="24" t="str">
        <f>Honor_guru!P235</f>
        <v>Dibayar Lunas Tgl. 11 Agustus 2025</v>
      </c>
    </row>
    <row r="237" spans="1:19">
      <c r="A237" s="8"/>
      <c r="C237" s="24" t="s">
        <v>22</v>
      </c>
      <c r="D237" s="24"/>
      <c r="E237" s="24"/>
      <c r="F237" s="24"/>
      <c r="G237" s="24"/>
      <c r="H237" s="24"/>
      <c r="I237" s="24"/>
      <c r="J237" s="24"/>
      <c r="K237" s="24"/>
      <c r="L237" s="8"/>
      <c r="O237" s="24" t="s">
        <v>23</v>
      </c>
    </row>
    <row r="238" spans="1:19">
      <c r="A238" s="8"/>
      <c r="C238" s="24"/>
      <c r="D238" s="24"/>
      <c r="E238" s="24"/>
      <c r="F238" s="24"/>
      <c r="G238" s="24"/>
      <c r="H238" s="24"/>
      <c r="I238" s="24"/>
      <c r="J238" s="24"/>
      <c r="K238" s="24"/>
      <c r="L238" s="8"/>
      <c r="O238" s="25"/>
      <c r="S238" s="26"/>
    </row>
    <row r="239" spans="1:19">
      <c r="A239" s="8"/>
      <c r="C239" s="24"/>
      <c r="D239" s="24"/>
      <c r="E239" s="24"/>
      <c r="F239" s="24"/>
      <c r="G239" s="24"/>
      <c r="H239" s="24"/>
      <c r="I239" s="24"/>
      <c r="J239" s="24"/>
      <c r="K239" s="24"/>
      <c r="L239" s="8"/>
      <c r="O239" s="25"/>
    </row>
    <row r="240" spans="1:19">
      <c r="A240" s="8"/>
      <c r="C240" s="24"/>
      <c r="D240" s="24"/>
      <c r="E240" s="24"/>
      <c r="F240" s="24"/>
      <c r="G240" s="24"/>
      <c r="H240" s="24"/>
      <c r="I240" s="24"/>
      <c r="J240" s="24"/>
      <c r="K240" s="24"/>
      <c r="L240" s="8"/>
      <c r="O240" s="25"/>
    </row>
    <row r="241" spans="1:16">
      <c r="A241" s="8"/>
      <c r="C241" s="24"/>
      <c r="D241" s="24"/>
      <c r="E241" s="24"/>
      <c r="F241" s="24"/>
      <c r="G241" s="24"/>
      <c r="H241" s="24"/>
      <c r="I241" s="24"/>
      <c r="J241" s="24"/>
      <c r="K241" s="24"/>
      <c r="L241" s="8"/>
      <c r="O241" s="25"/>
    </row>
    <row r="242" spans="1:16">
      <c r="A242" s="8"/>
      <c r="C242" s="24"/>
      <c r="D242" s="24"/>
      <c r="E242" s="24"/>
      <c r="F242" s="24"/>
      <c r="G242" s="24"/>
      <c r="H242" s="24"/>
      <c r="I242" s="24"/>
      <c r="J242" s="24"/>
      <c r="K242" s="24"/>
      <c r="L242" s="8"/>
      <c r="O242" s="25"/>
    </row>
    <row r="243" spans="1:16" ht="15" customHeight="1">
      <c r="A243" s="8"/>
      <c r="C243" s="27" t="str">
        <f>IF(C207="","",C207)</f>
        <v>BADRUDDIN, S.Ag.</v>
      </c>
      <c r="D243" s="28"/>
      <c r="E243" s="28"/>
      <c r="F243" s="28"/>
      <c r="G243" s="28"/>
      <c r="H243" s="28"/>
      <c r="I243" s="28"/>
      <c r="J243" s="28"/>
      <c r="K243" s="8"/>
      <c r="L243" s="8"/>
      <c r="O243" s="27" t="s">
        <v>76</v>
      </c>
    </row>
    <row r="244" spans="1:16" ht="15" customHeight="1">
      <c r="A244" s="8"/>
      <c r="C244" s="27" t="str">
        <f>IF(C208="","",C208)</f>
        <v>NIP. 197405082014121002</v>
      </c>
      <c r="D244" s="28"/>
      <c r="E244" s="28"/>
      <c r="F244" s="28"/>
      <c r="G244" s="28"/>
      <c r="H244" s="28"/>
      <c r="I244" s="28"/>
      <c r="J244" s="28"/>
      <c r="K244" s="8"/>
      <c r="L244" s="8"/>
      <c r="O244" s="27" t="s">
        <v>77</v>
      </c>
    </row>
    <row r="253" spans="1:16" ht="17.25" customHeight="1">
      <c r="A253" s="64" t="str">
        <f>$A$1</f>
        <v>DAFTAR PENERIMA HONORARIUM/GAJI PENJAGA SEKOLAH TIDAK TETAP (PEMBAYARAN NON TUNAI)</v>
      </c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</row>
    <row r="254" spans="1:16" ht="17.25" customHeight="1">
      <c r="A254" s="64" t="str">
        <f>Honor_guru!A257</f>
        <v>BULAN AGUSTUS 2025</v>
      </c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</row>
    <row r="255" spans="1:16" ht="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15" customHeight="1">
      <c r="C256" s="4" t="s">
        <v>0</v>
      </c>
      <c r="D256" s="5" t="s">
        <v>1</v>
      </c>
      <c r="E256" s="5"/>
      <c r="F256" s="5"/>
      <c r="G256" s="5"/>
      <c r="H256" s="5"/>
      <c r="I256" s="5"/>
      <c r="K256" s="6"/>
      <c r="L256" s="7"/>
      <c r="M256" s="4" t="s">
        <v>26</v>
      </c>
      <c r="N256" s="4" t="str">
        <f>N220</f>
        <v>: 07 Pengembangan Standar Pembiayaan</v>
      </c>
      <c r="O256" s="3"/>
    </row>
    <row r="257" spans="1:19" ht="15" customHeight="1">
      <c r="C257" s="4" t="s">
        <v>2</v>
      </c>
      <c r="D257" s="4" t="str">
        <f>D221</f>
        <v>: SD NEGERI LEBAKLEUNGSIR</v>
      </c>
      <c r="E257" s="4"/>
      <c r="F257" s="4"/>
      <c r="G257" s="4"/>
      <c r="H257" s="4"/>
      <c r="I257" s="4"/>
      <c r="K257" s="6"/>
      <c r="M257" s="4" t="s">
        <v>27</v>
      </c>
      <c r="N257" s="4" t="str">
        <f>N221</f>
        <v>: Pembayaran Honor (Penjaga)</v>
      </c>
      <c r="O257" s="3"/>
    </row>
    <row r="258" spans="1:19" ht="15" customHeight="1">
      <c r="C258" s="4" t="s">
        <v>3</v>
      </c>
      <c r="D258" s="4" t="str">
        <f>D222</f>
        <v>: Cikalongwetan</v>
      </c>
      <c r="E258" s="4"/>
      <c r="F258" s="4"/>
      <c r="G258" s="4"/>
      <c r="H258" s="4"/>
      <c r="I258" s="4"/>
      <c r="K258" s="6"/>
      <c r="M258" s="8" t="s">
        <v>28</v>
      </c>
      <c r="N258" s="4" t="str">
        <f>N222</f>
        <v>: 5.1.02.02.01.0013</v>
      </c>
      <c r="O258" s="3"/>
    </row>
    <row r="259" spans="1:19" ht="15" customHeight="1">
      <c r="C259" s="4" t="s">
        <v>5</v>
      </c>
      <c r="D259" s="4" t="str">
        <f>D223</f>
        <v>: Bandung Barat</v>
      </c>
      <c r="E259" s="4"/>
      <c r="F259" s="4"/>
      <c r="G259" s="4"/>
      <c r="H259" s="4"/>
      <c r="I259" s="4"/>
      <c r="K259" s="6"/>
      <c r="M259" s="4" t="s">
        <v>7</v>
      </c>
      <c r="N259" s="4" t="str">
        <f>N223</f>
        <v>: 12</v>
      </c>
      <c r="O259" s="3"/>
      <c r="P259" s="8"/>
    </row>
    <row r="260" spans="1:19" ht="15" customHeight="1">
      <c r="M260" s="8"/>
      <c r="N260" s="8"/>
      <c r="O260" s="8"/>
    </row>
    <row r="261" spans="1:19" ht="18.5" customHeight="1">
      <c r="A261" s="62" t="s">
        <v>8</v>
      </c>
      <c r="B261" s="65" t="s">
        <v>9</v>
      </c>
      <c r="C261" s="66"/>
      <c r="D261" s="62" t="s">
        <v>10</v>
      </c>
      <c r="E261" s="69" t="s">
        <v>72</v>
      </c>
      <c r="F261" s="70"/>
      <c r="G261" s="70"/>
      <c r="H261" s="71"/>
      <c r="I261" s="72" t="s">
        <v>14</v>
      </c>
      <c r="J261" s="72" t="s">
        <v>11</v>
      </c>
      <c r="K261" s="65" t="s">
        <v>12</v>
      </c>
      <c r="L261" s="66"/>
      <c r="M261" s="74" t="s">
        <v>31</v>
      </c>
      <c r="N261" s="72" t="s">
        <v>16</v>
      </c>
      <c r="O261" s="65" t="s">
        <v>17</v>
      </c>
      <c r="P261" s="66"/>
    </row>
    <row r="262" spans="1:19" ht="34" customHeight="1">
      <c r="A262" s="63"/>
      <c r="B262" s="67"/>
      <c r="C262" s="68"/>
      <c r="D262" s="63"/>
      <c r="E262" s="35" t="str">
        <f t="shared" ref="E262:H264" si="45">IF(E226="","",E226)</f>
        <v>Penjaga</v>
      </c>
      <c r="F262" s="35" t="str">
        <f t="shared" si="45"/>
        <v>Guru</v>
      </c>
      <c r="G262" s="35" t="str">
        <f t="shared" si="45"/>
        <v>Pembina Ekskul</v>
      </c>
      <c r="H262" s="39" t="str">
        <f t="shared" si="45"/>
        <v>Tenaga Perpustakaan</v>
      </c>
      <c r="I262" s="73"/>
      <c r="J262" s="73"/>
      <c r="K262" s="67"/>
      <c r="L262" s="68"/>
      <c r="M262" s="75"/>
      <c r="N262" s="73"/>
      <c r="O262" s="67"/>
      <c r="P262" s="68"/>
    </row>
    <row r="263" spans="1:19" ht="24" customHeight="1">
      <c r="A263" s="11">
        <v>1</v>
      </c>
      <c r="B263" s="12" t="str">
        <f t="shared" ref="B263:B268" si="46">IF(B227="","",B227)</f>
        <v>USEP PUDIN</v>
      </c>
      <c r="C263" s="13"/>
      <c r="D263" s="32" t="str">
        <f t="shared" ref="D263:D268" si="47">IF(D227="","",D227)</f>
        <v>Penjaga Sekolah</v>
      </c>
      <c r="E263" s="37">
        <f t="shared" si="45"/>
        <v>450000</v>
      </c>
      <c r="F263" s="37" t="str">
        <f t="shared" si="45"/>
        <v/>
      </c>
      <c r="G263" s="37" t="str">
        <f t="shared" si="45"/>
        <v/>
      </c>
      <c r="H263" s="37" t="str">
        <f t="shared" si="45"/>
        <v/>
      </c>
      <c r="I263" s="16">
        <f>IF(B263="","",SUM(E263:H263))</f>
        <v>450000</v>
      </c>
      <c r="J263" s="38" t="str">
        <f t="shared" ref="J263:L268" si="48">IF(J227="","",J227)</f>
        <v>PTT</v>
      </c>
      <c r="K263" s="38">
        <f t="shared" si="48"/>
        <v>1</v>
      </c>
      <c r="L263" s="38" t="str">
        <f t="shared" si="48"/>
        <v>Bulan</v>
      </c>
      <c r="M263" s="17">
        <f>IFERROR(I263*0/100,"")</f>
        <v>0</v>
      </c>
      <c r="N263" s="16">
        <f>IFERROR(SUM(I263*K263)-M263,"")</f>
        <v>450000</v>
      </c>
      <c r="O263" s="54">
        <v>1</v>
      </c>
      <c r="P263" s="56">
        <v>2</v>
      </c>
    </row>
    <row r="264" spans="1:19" ht="24" customHeight="1">
      <c r="A264" s="11">
        <v>2</v>
      </c>
      <c r="B264" s="12" t="str">
        <f t="shared" si="46"/>
        <v/>
      </c>
      <c r="C264" s="13"/>
      <c r="D264" s="32" t="str">
        <f t="shared" si="47"/>
        <v/>
      </c>
      <c r="E264" s="37" t="str">
        <f t="shared" si="45"/>
        <v/>
      </c>
      <c r="F264" s="37" t="str">
        <f t="shared" si="45"/>
        <v/>
      </c>
      <c r="G264" s="37" t="str">
        <f t="shared" si="45"/>
        <v/>
      </c>
      <c r="H264" s="37" t="str">
        <f t="shared" si="45"/>
        <v/>
      </c>
      <c r="I264" s="16" t="str">
        <f t="shared" ref="I264:I268" si="49">IF(B264="","",SUM(E264:H264))</f>
        <v/>
      </c>
      <c r="J264" s="38" t="str">
        <f t="shared" si="48"/>
        <v/>
      </c>
      <c r="K264" s="38" t="str">
        <f t="shared" si="48"/>
        <v/>
      </c>
      <c r="L264" s="38" t="str">
        <f t="shared" si="48"/>
        <v/>
      </c>
      <c r="M264" s="17" t="str">
        <f t="shared" ref="M264:M268" si="50">IFERROR(I264*0/100,"")</f>
        <v/>
      </c>
      <c r="N264" s="16" t="str">
        <f t="shared" ref="N264:N268" si="51">IFERROR(SUM(I264*K264)-M264,"")</f>
        <v/>
      </c>
      <c r="O264" s="55"/>
      <c r="P264" s="57"/>
    </row>
    <row r="265" spans="1:19" ht="24" hidden="1" customHeight="1">
      <c r="A265" s="11">
        <v>3</v>
      </c>
      <c r="B265" s="12" t="str">
        <f t="shared" si="46"/>
        <v/>
      </c>
      <c r="C265" s="13"/>
      <c r="D265" s="32" t="str">
        <f t="shared" si="47"/>
        <v/>
      </c>
      <c r="E265" s="37" t="str">
        <f>IF(E229="","",E229)</f>
        <v/>
      </c>
      <c r="F265" s="37" t="s">
        <v>34</v>
      </c>
      <c r="G265" s="37" t="s">
        <v>34</v>
      </c>
      <c r="H265" s="37" t="str">
        <f>IF(H229="","",H229)</f>
        <v/>
      </c>
      <c r="I265" s="16" t="str">
        <f t="shared" si="49"/>
        <v/>
      </c>
      <c r="J265" s="38" t="str">
        <f t="shared" si="48"/>
        <v/>
      </c>
      <c r="K265" s="38" t="str">
        <f t="shared" si="48"/>
        <v/>
      </c>
      <c r="L265" s="38" t="str">
        <f t="shared" si="48"/>
        <v/>
      </c>
      <c r="M265" s="17" t="str">
        <f t="shared" si="50"/>
        <v/>
      </c>
      <c r="N265" s="16" t="str">
        <f t="shared" si="51"/>
        <v/>
      </c>
      <c r="O265" s="54">
        <v>3</v>
      </c>
      <c r="P265" s="56">
        <v>4</v>
      </c>
    </row>
    <row r="266" spans="1:19" ht="24" hidden="1" customHeight="1">
      <c r="A266" s="11">
        <v>4</v>
      </c>
      <c r="B266" s="12" t="str">
        <f t="shared" si="46"/>
        <v/>
      </c>
      <c r="C266" s="13"/>
      <c r="D266" s="32" t="str">
        <f t="shared" si="47"/>
        <v/>
      </c>
      <c r="E266" s="37" t="str">
        <f>IF(E230="","",E230)</f>
        <v/>
      </c>
      <c r="F266" s="37" t="str">
        <f t="shared" ref="F266:G268" si="52">IF(F230="","",F230)</f>
        <v/>
      </c>
      <c r="G266" s="37" t="str">
        <f t="shared" si="52"/>
        <v/>
      </c>
      <c r="H266" s="37" t="str">
        <f>IF(H230="","",H230)</f>
        <v/>
      </c>
      <c r="I266" s="16" t="str">
        <f t="shared" si="49"/>
        <v/>
      </c>
      <c r="J266" s="38" t="str">
        <f t="shared" si="48"/>
        <v/>
      </c>
      <c r="K266" s="38" t="str">
        <f t="shared" si="48"/>
        <v/>
      </c>
      <c r="L266" s="38" t="str">
        <f t="shared" si="48"/>
        <v/>
      </c>
      <c r="M266" s="17" t="str">
        <f t="shared" si="50"/>
        <v/>
      </c>
      <c r="N266" s="16" t="str">
        <f t="shared" si="51"/>
        <v/>
      </c>
      <c r="O266" s="55"/>
      <c r="P266" s="57"/>
    </row>
    <row r="267" spans="1:19" ht="24" hidden="1" customHeight="1">
      <c r="A267" s="11">
        <v>5</v>
      </c>
      <c r="B267" s="12" t="str">
        <f t="shared" si="46"/>
        <v/>
      </c>
      <c r="C267" s="13"/>
      <c r="D267" s="32" t="str">
        <f t="shared" si="47"/>
        <v/>
      </c>
      <c r="E267" s="37" t="str">
        <f>IF(E231="","",E231)</f>
        <v/>
      </c>
      <c r="F267" s="37" t="str">
        <f t="shared" si="52"/>
        <v/>
      </c>
      <c r="G267" s="37" t="str">
        <f t="shared" si="52"/>
        <v/>
      </c>
      <c r="H267" s="37" t="str">
        <f>IF(H231="","",H231)</f>
        <v/>
      </c>
      <c r="I267" s="16" t="str">
        <f t="shared" si="49"/>
        <v/>
      </c>
      <c r="J267" s="38" t="str">
        <f t="shared" si="48"/>
        <v/>
      </c>
      <c r="K267" s="38" t="str">
        <f t="shared" si="48"/>
        <v/>
      </c>
      <c r="L267" s="38" t="str">
        <f t="shared" si="48"/>
        <v/>
      </c>
      <c r="M267" s="17" t="str">
        <f t="shared" si="50"/>
        <v/>
      </c>
      <c r="N267" s="16" t="str">
        <f t="shared" si="51"/>
        <v/>
      </c>
      <c r="O267" s="58">
        <v>5</v>
      </c>
      <c r="P267" s="59">
        <v>6</v>
      </c>
    </row>
    <row r="268" spans="1:19" ht="24" hidden="1" customHeight="1">
      <c r="A268" s="11">
        <v>6</v>
      </c>
      <c r="B268" s="12" t="str">
        <f t="shared" si="46"/>
        <v/>
      </c>
      <c r="C268" s="13"/>
      <c r="D268" s="32" t="str">
        <f t="shared" si="47"/>
        <v/>
      </c>
      <c r="E268" s="37" t="str">
        <f>IF(E232="","",E232)</f>
        <v/>
      </c>
      <c r="F268" s="37" t="str">
        <f t="shared" si="52"/>
        <v/>
      </c>
      <c r="G268" s="37" t="str">
        <f t="shared" si="52"/>
        <v/>
      </c>
      <c r="H268" s="37" t="str">
        <f>IF(H232="","",H232)</f>
        <v/>
      </c>
      <c r="I268" s="16" t="str">
        <f t="shared" si="49"/>
        <v/>
      </c>
      <c r="J268" s="38" t="str">
        <f t="shared" si="48"/>
        <v/>
      </c>
      <c r="K268" s="38" t="str">
        <f t="shared" si="48"/>
        <v/>
      </c>
      <c r="L268" s="38" t="str">
        <f t="shared" si="48"/>
        <v/>
      </c>
      <c r="M268" s="17" t="str">
        <f t="shared" si="50"/>
        <v/>
      </c>
      <c r="N268" s="16" t="str">
        <f t="shared" si="51"/>
        <v/>
      </c>
      <c r="O268" s="58"/>
      <c r="P268" s="59"/>
    </row>
    <row r="269" spans="1:19" s="21" customFormat="1" ht="22.5" customHeight="1">
      <c r="A269" s="60" t="s">
        <v>20</v>
      </c>
      <c r="B269" s="61"/>
      <c r="C269" s="61"/>
      <c r="D269" s="61"/>
      <c r="E269" s="61"/>
      <c r="F269" s="61"/>
      <c r="G269" s="61"/>
      <c r="H269" s="36"/>
      <c r="I269" s="18">
        <f>SUM(I263:I268)</f>
        <v>450000</v>
      </c>
      <c r="J269" s="36"/>
      <c r="K269" s="36"/>
      <c r="L269" s="36"/>
      <c r="M269" s="19">
        <f>SUM(M263:M268)</f>
        <v>0</v>
      </c>
      <c r="N269" s="18">
        <f>SUM(N263:N268)</f>
        <v>450000</v>
      </c>
      <c r="O269" s="20"/>
      <c r="P269" s="20"/>
      <c r="S269" s="22"/>
    </row>
    <row r="270" spans="1:19" ht="23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N270" s="23"/>
    </row>
    <row r="271" spans="1:19" ht="17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O271" s="24" t="str">
        <f>Honor_guru!P274</f>
        <v>Cikalongwetan, 01 Agustus 2025</v>
      </c>
    </row>
    <row r="272" spans="1:19" ht="18" customHeight="1">
      <c r="A272" s="8"/>
      <c r="C272" s="24" t="s">
        <v>21</v>
      </c>
      <c r="D272" s="24"/>
      <c r="E272" s="24"/>
      <c r="F272" s="24"/>
      <c r="G272" s="24"/>
      <c r="H272" s="24"/>
      <c r="I272" s="24"/>
      <c r="J272" s="24"/>
      <c r="K272" s="24"/>
      <c r="L272" s="8"/>
      <c r="O272" s="24" t="str">
        <f>Honor_guru!P275</f>
        <v>Dibayar Lunas Tgl. 11 Agustus 2025</v>
      </c>
    </row>
    <row r="273" spans="1:19">
      <c r="A273" s="8"/>
      <c r="C273" s="24" t="s">
        <v>22</v>
      </c>
      <c r="D273" s="24"/>
      <c r="E273" s="24"/>
      <c r="F273" s="24"/>
      <c r="G273" s="24"/>
      <c r="H273" s="24"/>
      <c r="I273" s="24"/>
      <c r="J273" s="24"/>
      <c r="K273" s="24"/>
      <c r="L273" s="8"/>
      <c r="O273" s="24" t="s">
        <v>23</v>
      </c>
    </row>
    <row r="274" spans="1:19">
      <c r="A274" s="8"/>
      <c r="C274" s="24"/>
      <c r="D274" s="24"/>
      <c r="E274" s="24"/>
      <c r="F274" s="24"/>
      <c r="G274" s="24"/>
      <c r="H274" s="24"/>
      <c r="I274" s="24"/>
      <c r="J274" s="24"/>
      <c r="K274" s="24"/>
      <c r="L274" s="8"/>
      <c r="O274" s="25"/>
      <c r="S274" s="26"/>
    </row>
    <row r="275" spans="1:19">
      <c r="A275" s="8"/>
      <c r="C275" s="24"/>
      <c r="D275" s="24"/>
      <c r="E275" s="24"/>
      <c r="F275" s="24"/>
      <c r="G275" s="24"/>
      <c r="H275" s="24"/>
      <c r="I275" s="24"/>
      <c r="J275" s="24"/>
      <c r="K275" s="24"/>
      <c r="L275" s="8"/>
      <c r="O275" s="25"/>
    </row>
    <row r="276" spans="1:19">
      <c r="A276" s="8"/>
      <c r="C276" s="24"/>
      <c r="D276" s="24"/>
      <c r="E276" s="24"/>
      <c r="F276" s="24"/>
      <c r="G276" s="24"/>
      <c r="H276" s="24"/>
      <c r="I276" s="24"/>
      <c r="J276" s="24"/>
      <c r="K276" s="24"/>
      <c r="L276" s="8"/>
      <c r="O276" s="25"/>
    </row>
    <row r="277" spans="1:19">
      <c r="A277" s="8"/>
      <c r="C277" s="24"/>
      <c r="D277" s="24"/>
      <c r="E277" s="24"/>
      <c r="F277" s="24"/>
      <c r="G277" s="24"/>
      <c r="H277" s="24"/>
      <c r="I277" s="24"/>
      <c r="J277" s="24"/>
      <c r="K277" s="24"/>
      <c r="L277" s="8"/>
      <c r="O277" s="25"/>
    </row>
    <row r="278" spans="1:19">
      <c r="A278" s="8"/>
      <c r="C278" s="24"/>
      <c r="D278" s="24"/>
      <c r="E278" s="24"/>
      <c r="F278" s="24"/>
      <c r="G278" s="24"/>
      <c r="H278" s="24"/>
      <c r="I278" s="24"/>
      <c r="J278" s="24"/>
      <c r="K278" s="24"/>
      <c r="L278" s="8"/>
      <c r="O278" s="25"/>
    </row>
    <row r="279" spans="1:19" ht="15" customHeight="1">
      <c r="A279" s="8"/>
      <c r="C279" s="27" t="str">
        <f>IF(C243="","",C243)</f>
        <v>BADRUDDIN, S.Ag.</v>
      </c>
      <c r="D279" s="28"/>
      <c r="E279" s="28"/>
      <c r="F279" s="28"/>
      <c r="G279" s="28"/>
      <c r="H279" s="28"/>
      <c r="I279" s="28"/>
      <c r="J279" s="28"/>
      <c r="K279" s="8"/>
      <c r="L279" s="8"/>
      <c r="O279" s="27" t="s">
        <v>76</v>
      </c>
    </row>
    <row r="280" spans="1:19" ht="15" customHeight="1">
      <c r="A280" s="8"/>
      <c r="C280" s="27" t="str">
        <f>IF(C244="","",C244)</f>
        <v>NIP. 197405082014121002</v>
      </c>
      <c r="D280" s="28"/>
      <c r="E280" s="28"/>
      <c r="F280" s="28"/>
      <c r="G280" s="28"/>
      <c r="H280" s="28"/>
      <c r="I280" s="28"/>
      <c r="J280" s="28"/>
      <c r="K280" s="8"/>
      <c r="L280" s="8"/>
      <c r="O280" s="27" t="s">
        <v>77</v>
      </c>
    </row>
    <row r="289" spans="1:16" ht="17.25" customHeight="1">
      <c r="A289" s="64" t="str">
        <f>$A$1</f>
        <v>DAFTAR PENERIMA HONORARIUM/GAJI PENJAGA SEKOLAH TIDAK TETAP (PEMBAYARAN NON TUNAI)</v>
      </c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</row>
    <row r="290" spans="1:16" ht="17.25" customHeight="1">
      <c r="A290" s="64" t="s">
        <v>78</v>
      </c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</row>
    <row r="291" spans="1:16" ht="1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5" customHeight="1">
      <c r="C292" s="4" t="s">
        <v>0</v>
      </c>
      <c r="D292" s="5" t="s">
        <v>1</v>
      </c>
      <c r="E292" s="5"/>
      <c r="F292" s="5"/>
      <c r="G292" s="5"/>
      <c r="H292" s="5"/>
      <c r="I292" s="5"/>
      <c r="K292" s="6"/>
      <c r="L292" s="7"/>
      <c r="M292" s="4" t="s">
        <v>26</v>
      </c>
      <c r="N292" s="4" t="str">
        <f>N256</f>
        <v>: 07 Pengembangan Standar Pembiayaan</v>
      </c>
      <c r="O292" s="3"/>
    </row>
    <row r="293" spans="1:16" ht="15" customHeight="1">
      <c r="C293" s="4" t="s">
        <v>2</v>
      </c>
      <c r="D293" s="4" t="str">
        <f>D257</f>
        <v>: SD NEGERI LEBAKLEUNGSIR</v>
      </c>
      <c r="E293" s="4"/>
      <c r="F293" s="4"/>
      <c r="G293" s="4"/>
      <c r="H293" s="4"/>
      <c r="I293" s="4"/>
      <c r="K293" s="6"/>
      <c r="M293" s="4" t="s">
        <v>27</v>
      </c>
      <c r="N293" s="4" t="str">
        <f>N257</f>
        <v>: Pembayaran Honor (Penjaga)</v>
      </c>
      <c r="O293" s="3"/>
    </row>
    <row r="294" spans="1:16" ht="15" customHeight="1">
      <c r="C294" s="4" t="s">
        <v>3</v>
      </c>
      <c r="D294" s="4" t="str">
        <f>D258</f>
        <v>: Cikalongwetan</v>
      </c>
      <c r="E294" s="4"/>
      <c r="F294" s="4"/>
      <c r="G294" s="4"/>
      <c r="H294" s="4"/>
      <c r="I294" s="4"/>
      <c r="K294" s="6"/>
      <c r="M294" s="8" t="s">
        <v>28</v>
      </c>
      <c r="N294" s="4" t="str">
        <f>N258</f>
        <v>: 5.1.02.02.01.0013</v>
      </c>
      <c r="O294" s="3"/>
    </row>
    <row r="295" spans="1:16" ht="15" customHeight="1">
      <c r="C295" s="4" t="s">
        <v>5</v>
      </c>
      <c r="D295" s="4" t="str">
        <f>D259</f>
        <v>: Bandung Barat</v>
      </c>
      <c r="E295" s="4"/>
      <c r="F295" s="4"/>
      <c r="G295" s="4"/>
      <c r="H295" s="4"/>
      <c r="I295" s="4"/>
      <c r="K295" s="6"/>
      <c r="M295" s="4" t="s">
        <v>7</v>
      </c>
      <c r="N295" s="4" t="str">
        <f>N259</f>
        <v>: 12</v>
      </c>
      <c r="O295" s="3"/>
      <c r="P295" s="8"/>
    </row>
    <row r="296" spans="1:16" ht="15" customHeight="1">
      <c r="M296" s="8"/>
      <c r="N296" s="8"/>
      <c r="O296" s="8"/>
    </row>
    <row r="297" spans="1:16" ht="18.5" customHeight="1">
      <c r="A297" s="62" t="s">
        <v>8</v>
      </c>
      <c r="B297" s="65" t="s">
        <v>9</v>
      </c>
      <c r="C297" s="66"/>
      <c r="D297" s="62" t="s">
        <v>10</v>
      </c>
      <c r="E297" s="69" t="s">
        <v>72</v>
      </c>
      <c r="F297" s="70"/>
      <c r="G297" s="70"/>
      <c r="H297" s="71"/>
      <c r="I297" s="72" t="s">
        <v>14</v>
      </c>
      <c r="J297" s="72" t="s">
        <v>11</v>
      </c>
      <c r="K297" s="65" t="s">
        <v>12</v>
      </c>
      <c r="L297" s="66"/>
      <c r="M297" s="74" t="s">
        <v>31</v>
      </c>
      <c r="N297" s="72" t="s">
        <v>16</v>
      </c>
      <c r="O297" s="65" t="s">
        <v>17</v>
      </c>
      <c r="P297" s="66"/>
    </row>
    <row r="298" spans="1:16" ht="34" customHeight="1">
      <c r="A298" s="63"/>
      <c r="B298" s="67"/>
      <c r="C298" s="68"/>
      <c r="D298" s="63"/>
      <c r="E298" s="35" t="str">
        <f t="shared" ref="E298:H304" si="53">IF(E262="","",E262)</f>
        <v>Penjaga</v>
      </c>
      <c r="F298" s="35" t="str">
        <f t="shared" si="53"/>
        <v>Guru</v>
      </c>
      <c r="G298" s="35" t="str">
        <f t="shared" si="53"/>
        <v>Pembina Ekskul</v>
      </c>
      <c r="H298" s="39" t="str">
        <f t="shared" si="53"/>
        <v>Tenaga Perpustakaan</v>
      </c>
      <c r="I298" s="73"/>
      <c r="J298" s="73"/>
      <c r="K298" s="67"/>
      <c r="L298" s="68"/>
      <c r="M298" s="75"/>
      <c r="N298" s="73"/>
      <c r="O298" s="67"/>
      <c r="P298" s="68"/>
    </row>
    <row r="299" spans="1:16" ht="24" customHeight="1">
      <c r="A299" s="11">
        <v>1</v>
      </c>
      <c r="B299" s="12" t="str">
        <f t="shared" ref="B299:B304" si="54">IF(B263="","",B263)</f>
        <v>USEP PUDIN</v>
      </c>
      <c r="C299" s="13"/>
      <c r="D299" s="32" t="str">
        <f t="shared" ref="D299:D304" si="55">IF(D263="","",D263)</f>
        <v>Penjaga Sekolah</v>
      </c>
      <c r="E299" s="37">
        <f t="shared" si="53"/>
        <v>450000</v>
      </c>
      <c r="F299" s="37" t="str">
        <f t="shared" si="53"/>
        <v/>
      </c>
      <c r="G299" s="37" t="str">
        <f t="shared" si="53"/>
        <v/>
      </c>
      <c r="H299" s="37" t="str">
        <f t="shared" si="53"/>
        <v/>
      </c>
      <c r="I299" s="16">
        <f>IF(B299="","",SUM(E299:H299))</f>
        <v>450000</v>
      </c>
      <c r="J299" s="38" t="str">
        <f t="shared" ref="J299:L304" si="56">IF(J263="","",J263)</f>
        <v>PTT</v>
      </c>
      <c r="K299" s="38">
        <f t="shared" si="56"/>
        <v>1</v>
      </c>
      <c r="L299" s="38" t="str">
        <f t="shared" si="56"/>
        <v>Bulan</v>
      </c>
      <c r="M299" s="17">
        <f>IFERROR(I299*0/100,"")</f>
        <v>0</v>
      </c>
      <c r="N299" s="16">
        <f>IFERROR(SUM(I299*K299)-M299,"")</f>
        <v>450000</v>
      </c>
      <c r="O299" s="54">
        <v>1</v>
      </c>
      <c r="P299" s="56">
        <v>2</v>
      </c>
    </row>
    <row r="300" spans="1:16" ht="24" customHeight="1">
      <c r="A300" s="11">
        <v>2</v>
      </c>
      <c r="B300" s="12" t="str">
        <f t="shared" si="54"/>
        <v/>
      </c>
      <c r="C300" s="13"/>
      <c r="D300" s="32" t="str">
        <f t="shared" si="55"/>
        <v/>
      </c>
      <c r="E300" s="37" t="str">
        <f t="shared" si="53"/>
        <v/>
      </c>
      <c r="F300" s="37" t="str">
        <f t="shared" si="53"/>
        <v/>
      </c>
      <c r="G300" s="37" t="str">
        <f t="shared" si="53"/>
        <v/>
      </c>
      <c r="H300" s="37" t="str">
        <f t="shared" si="53"/>
        <v/>
      </c>
      <c r="I300" s="16" t="str">
        <f t="shared" ref="I300:I304" si="57">IF(B300="","",SUM(E300:H300))</f>
        <v/>
      </c>
      <c r="J300" s="38" t="str">
        <f t="shared" si="56"/>
        <v/>
      </c>
      <c r="K300" s="38" t="str">
        <f t="shared" si="56"/>
        <v/>
      </c>
      <c r="L300" s="38" t="str">
        <f t="shared" si="56"/>
        <v/>
      </c>
      <c r="M300" s="17" t="str">
        <f t="shared" ref="M300:M304" si="58">IFERROR(I300*0/100,"")</f>
        <v/>
      </c>
      <c r="N300" s="16" t="str">
        <f t="shared" ref="N300:N304" si="59">IFERROR(SUM(I300*K300)-M300,"")</f>
        <v/>
      </c>
      <c r="O300" s="55"/>
      <c r="P300" s="57"/>
    </row>
    <row r="301" spans="1:16" ht="24" hidden="1" customHeight="1">
      <c r="A301" s="11">
        <v>3</v>
      </c>
      <c r="B301" s="12" t="str">
        <f t="shared" si="54"/>
        <v/>
      </c>
      <c r="C301" s="13"/>
      <c r="D301" s="32" t="str">
        <f t="shared" si="55"/>
        <v/>
      </c>
      <c r="E301" s="37" t="str">
        <f t="shared" si="53"/>
        <v/>
      </c>
      <c r="F301" s="37" t="str">
        <f t="shared" si="53"/>
        <v>-</v>
      </c>
      <c r="G301" s="37" t="str">
        <f t="shared" si="53"/>
        <v>-</v>
      </c>
      <c r="H301" s="37" t="str">
        <f t="shared" si="53"/>
        <v/>
      </c>
      <c r="I301" s="16" t="str">
        <f t="shared" si="57"/>
        <v/>
      </c>
      <c r="J301" s="38" t="str">
        <f t="shared" si="56"/>
        <v/>
      </c>
      <c r="K301" s="38" t="str">
        <f t="shared" si="56"/>
        <v/>
      </c>
      <c r="L301" s="38" t="str">
        <f t="shared" si="56"/>
        <v/>
      </c>
      <c r="M301" s="17" t="str">
        <f t="shared" si="58"/>
        <v/>
      </c>
      <c r="N301" s="16" t="str">
        <f t="shared" si="59"/>
        <v/>
      </c>
      <c r="O301" s="54">
        <v>3</v>
      </c>
      <c r="P301" s="56">
        <v>4</v>
      </c>
    </row>
    <row r="302" spans="1:16" ht="24" hidden="1" customHeight="1">
      <c r="A302" s="11">
        <v>4</v>
      </c>
      <c r="B302" s="12" t="str">
        <f t="shared" si="54"/>
        <v/>
      </c>
      <c r="C302" s="13"/>
      <c r="D302" s="32" t="str">
        <f t="shared" si="55"/>
        <v/>
      </c>
      <c r="E302" s="37" t="str">
        <f t="shared" si="53"/>
        <v/>
      </c>
      <c r="F302" s="37" t="str">
        <f t="shared" si="53"/>
        <v/>
      </c>
      <c r="G302" s="37" t="str">
        <f t="shared" si="53"/>
        <v/>
      </c>
      <c r="H302" s="37" t="str">
        <f t="shared" si="53"/>
        <v/>
      </c>
      <c r="I302" s="16" t="str">
        <f t="shared" si="57"/>
        <v/>
      </c>
      <c r="J302" s="38" t="str">
        <f t="shared" si="56"/>
        <v/>
      </c>
      <c r="K302" s="38" t="str">
        <f t="shared" si="56"/>
        <v/>
      </c>
      <c r="L302" s="38" t="str">
        <f t="shared" si="56"/>
        <v/>
      </c>
      <c r="M302" s="17" t="str">
        <f t="shared" si="58"/>
        <v/>
      </c>
      <c r="N302" s="16" t="str">
        <f t="shared" si="59"/>
        <v/>
      </c>
      <c r="O302" s="55"/>
      <c r="P302" s="57"/>
    </row>
    <row r="303" spans="1:16" ht="24" hidden="1" customHeight="1">
      <c r="A303" s="11">
        <v>5</v>
      </c>
      <c r="B303" s="12" t="str">
        <f t="shared" si="54"/>
        <v/>
      </c>
      <c r="C303" s="13"/>
      <c r="D303" s="32" t="str">
        <f t="shared" si="55"/>
        <v/>
      </c>
      <c r="E303" s="37" t="str">
        <f t="shared" si="53"/>
        <v/>
      </c>
      <c r="F303" s="37" t="str">
        <f t="shared" si="53"/>
        <v/>
      </c>
      <c r="G303" s="37" t="str">
        <f t="shared" si="53"/>
        <v/>
      </c>
      <c r="H303" s="37" t="str">
        <f t="shared" si="53"/>
        <v/>
      </c>
      <c r="I303" s="16" t="str">
        <f t="shared" si="57"/>
        <v/>
      </c>
      <c r="J303" s="38" t="str">
        <f t="shared" si="56"/>
        <v/>
      </c>
      <c r="K303" s="38" t="str">
        <f t="shared" si="56"/>
        <v/>
      </c>
      <c r="L303" s="38" t="str">
        <f t="shared" si="56"/>
        <v/>
      </c>
      <c r="M303" s="17" t="str">
        <f t="shared" si="58"/>
        <v/>
      </c>
      <c r="N303" s="16" t="str">
        <f t="shared" si="59"/>
        <v/>
      </c>
      <c r="O303" s="58">
        <v>5</v>
      </c>
      <c r="P303" s="59">
        <v>6</v>
      </c>
    </row>
    <row r="304" spans="1:16" ht="24" hidden="1" customHeight="1">
      <c r="A304" s="11">
        <v>6</v>
      </c>
      <c r="B304" s="12" t="str">
        <f t="shared" si="54"/>
        <v/>
      </c>
      <c r="C304" s="13"/>
      <c r="D304" s="32" t="str">
        <f t="shared" si="55"/>
        <v/>
      </c>
      <c r="E304" s="37" t="str">
        <f t="shared" si="53"/>
        <v/>
      </c>
      <c r="F304" s="37" t="str">
        <f t="shared" si="53"/>
        <v/>
      </c>
      <c r="G304" s="37" t="str">
        <f t="shared" si="53"/>
        <v/>
      </c>
      <c r="H304" s="37" t="str">
        <f t="shared" si="53"/>
        <v/>
      </c>
      <c r="I304" s="16" t="str">
        <f t="shared" si="57"/>
        <v/>
      </c>
      <c r="J304" s="38" t="str">
        <f t="shared" si="56"/>
        <v/>
      </c>
      <c r="K304" s="38" t="str">
        <f t="shared" si="56"/>
        <v/>
      </c>
      <c r="L304" s="38" t="str">
        <f t="shared" si="56"/>
        <v/>
      </c>
      <c r="M304" s="17" t="str">
        <f t="shared" si="58"/>
        <v/>
      </c>
      <c r="N304" s="16" t="str">
        <f t="shared" si="59"/>
        <v/>
      </c>
      <c r="O304" s="58"/>
      <c r="P304" s="59"/>
    </row>
    <row r="305" spans="1:19" s="21" customFormat="1" ht="22.5" customHeight="1">
      <c r="A305" s="60" t="s">
        <v>20</v>
      </c>
      <c r="B305" s="61"/>
      <c r="C305" s="61"/>
      <c r="D305" s="61"/>
      <c r="E305" s="61"/>
      <c r="F305" s="61"/>
      <c r="G305" s="61"/>
      <c r="H305" s="36"/>
      <c r="I305" s="18">
        <f>SUM(I299:I304)</f>
        <v>450000</v>
      </c>
      <c r="J305" s="36"/>
      <c r="K305" s="36"/>
      <c r="L305" s="36"/>
      <c r="M305" s="19">
        <f>SUM(M299:M304)</f>
        <v>0</v>
      </c>
      <c r="N305" s="18">
        <f>SUM(N299:N304)</f>
        <v>450000</v>
      </c>
      <c r="O305" s="20"/>
      <c r="P305" s="20"/>
      <c r="S305" s="22"/>
    </row>
    <row r="306" spans="1:19" ht="23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N306" s="23"/>
    </row>
    <row r="307" spans="1:19" ht="17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O307" s="24" t="s">
        <v>79</v>
      </c>
    </row>
    <row r="308" spans="1:19" ht="18" customHeight="1">
      <c r="A308" s="8"/>
      <c r="C308" s="24" t="s">
        <v>21</v>
      </c>
      <c r="D308" s="24"/>
      <c r="E308" s="24"/>
      <c r="F308" s="24"/>
      <c r="G308" s="24"/>
      <c r="H308" s="24"/>
      <c r="I308" s="24"/>
      <c r="J308" s="24"/>
      <c r="K308" s="24"/>
      <c r="L308" s="8"/>
      <c r="O308" s="24" t="s">
        <v>86</v>
      </c>
    </row>
    <row r="309" spans="1:19">
      <c r="A309" s="8"/>
      <c r="C309" s="24" t="s">
        <v>22</v>
      </c>
      <c r="D309" s="24"/>
      <c r="E309" s="24"/>
      <c r="F309" s="24"/>
      <c r="G309" s="24"/>
      <c r="H309" s="24"/>
      <c r="I309" s="24"/>
      <c r="J309" s="24"/>
      <c r="K309" s="24"/>
      <c r="L309" s="8"/>
      <c r="O309" s="24" t="s">
        <v>23</v>
      </c>
    </row>
    <row r="310" spans="1:19">
      <c r="A310" s="8"/>
      <c r="C310" s="24"/>
      <c r="D310" s="24"/>
      <c r="E310" s="24"/>
      <c r="F310" s="24"/>
      <c r="G310" s="24"/>
      <c r="H310" s="24"/>
      <c r="I310" s="24"/>
      <c r="J310" s="24"/>
      <c r="K310" s="24"/>
      <c r="L310" s="8"/>
      <c r="O310" s="25"/>
      <c r="S310" s="26"/>
    </row>
    <row r="311" spans="1:19">
      <c r="A311" s="8"/>
      <c r="C311" s="24"/>
      <c r="D311" s="24"/>
      <c r="E311" s="24"/>
      <c r="F311" s="24"/>
      <c r="G311" s="24"/>
      <c r="H311" s="24"/>
      <c r="I311" s="24"/>
      <c r="J311" s="24"/>
      <c r="K311" s="24"/>
      <c r="L311" s="8"/>
      <c r="O311" s="25"/>
    </row>
    <row r="312" spans="1:19">
      <c r="A312" s="8"/>
      <c r="C312" s="24"/>
      <c r="D312" s="24"/>
      <c r="E312" s="24"/>
      <c r="F312" s="24"/>
      <c r="G312" s="24"/>
      <c r="H312" s="24"/>
      <c r="I312" s="24"/>
      <c r="J312" s="24"/>
      <c r="K312" s="24"/>
      <c r="L312" s="8"/>
      <c r="O312" s="25"/>
    </row>
    <row r="313" spans="1:19">
      <c r="A313" s="8"/>
      <c r="C313" s="24"/>
      <c r="D313" s="24"/>
      <c r="E313" s="24"/>
      <c r="F313" s="24"/>
      <c r="G313" s="24"/>
      <c r="H313" s="24"/>
      <c r="I313" s="24"/>
      <c r="J313" s="24"/>
      <c r="K313" s="24"/>
      <c r="L313" s="8"/>
      <c r="O313" s="25"/>
    </row>
    <row r="314" spans="1:19">
      <c r="A314" s="8"/>
      <c r="C314" s="24"/>
      <c r="D314" s="24"/>
      <c r="E314" s="24"/>
      <c r="F314" s="24"/>
      <c r="G314" s="24"/>
      <c r="H314" s="24"/>
      <c r="I314" s="24"/>
      <c r="J314" s="24"/>
      <c r="K314" s="24"/>
      <c r="L314" s="8"/>
      <c r="O314" s="25"/>
    </row>
    <row r="315" spans="1:19" ht="15" customHeight="1">
      <c r="A315" s="8"/>
      <c r="C315" s="27" t="str">
        <f>IF(C279="","",C279)</f>
        <v>BADRUDDIN, S.Ag.</v>
      </c>
      <c r="D315" s="28"/>
      <c r="E315" s="28"/>
      <c r="F315" s="28"/>
      <c r="G315" s="28"/>
      <c r="H315" s="28"/>
      <c r="I315" s="28"/>
      <c r="J315" s="28"/>
      <c r="K315" s="8"/>
      <c r="L315" s="8"/>
      <c r="O315" s="27" t="s">
        <v>76</v>
      </c>
    </row>
    <row r="316" spans="1:19" ht="15" customHeight="1">
      <c r="A316" s="8"/>
      <c r="C316" s="27" t="str">
        <f>IF(C280="","",C280)</f>
        <v>NIP. 197405082014121002</v>
      </c>
      <c r="D316" s="28"/>
      <c r="E316" s="28"/>
      <c r="F316" s="28"/>
      <c r="G316" s="28"/>
      <c r="H316" s="28"/>
      <c r="I316" s="28"/>
      <c r="J316" s="28"/>
      <c r="K316" s="8"/>
      <c r="L316" s="8"/>
      <c r="O316" s="27" t="s">
        <v>77</v>
      </c>
    </row>
    <row r="325" spans="1:16" ht="17.25" customHeight="1">
      <c r="A325" s="64" t="str">
        <f>$A$1</f>
        <v>DAFTAR PENERIMA HONORARIUM/GAJI PENJAGA SEKOLAH TIDAK TETAP (PEMBAYARAN NON TUNAI)</v>
      </c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</row>
    <row r="326" spans="1:16" ht="17.25" customHeight="1">
      <c r="A326" s="64" t="s">
        <v>80</v>
      </c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</row>
    <row r="327" spans="1:16" ht="1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15" customHeight="1">
      <c r="C328" s="4" t="s">
        <v>0</v>
      </c>
      <c r="D328" s="5" t="s">
        <v>1</v>
      </c>
      <c r="E328" s="5"/>
      <c r="F328" s="5"/>
      <c r="G328" s="5"/>
      <c r="H328" s="5"/>
      <c r="I328" s="5"/>
      <c r="K328" s="6"/>
      <c r="L328" s="7"/>
      <c r="M328" s="4" t="s">
        <v>26</v>
      </c>
      <c r="N328" s="4" t="str">
        <f>N292</f>
        <v>: 07 Pengembangan Standar Pembiayaan</v>
      </c>
      <c r="O328" s="3"/>
    </row>
    <row r="329" spans="1:16" ht="15" customHeight="1">
      <c r="C329" s="4" t="s">
        <v>2</v>
      </c>
      <c r="D329" s="4" t="str">
        <f>D293</f>
        <v>: SD NEGERI LEBAKLEUNGSIR</v>
      </c>
      <c r="E329" s="4"/>
      <c r="F329" s="4"/>
      <c r="G329" s="4"/>
      <c r="H329" s="4"/>
      <c r="I329" s="4"/>
      <c r="K329" s="6"/>
      <c r="M329" s="4" t="s">
        <v>27</v>
      </c>
      <c r="N329" s="4" t="str">
        <f>N293</f>
        <v>: Pembayaran Honor (Penjaga)</v>
      </c>
      <c r="O329" s="3"/>
    </row>
    <row r="330" spans="1:16" ht="15" customHeight="1">
      <c r="C330" s="4" t="s">
        <v>3</v>
      </c>
      <c r="D330" s="4" t="str">
        <f>D294</f>
        <v>: Cikalongwetan</v>
      </c>
      <c r="E330" s="4"/>
      <c r="F330" s="4"/>
      <c r="G330" s="4"/>
      <c r="H330" s="4"/>
      <c r="I330" s="4"/>
      <c r="K330" s="6"/>
      <c r="M330" s="8" t="s">
        <v>28</v>
      </c>
      <c r="N330" s="4" t="str">
        <f>N294</f>
        <v>: 5.1.02.02.01.0013</v>
      </c>
      <c r="O330" s="3"/>
    </row>
    <row r="331" spans="1:16" ht="15" customHeight="1">
      <c r="C331" s="4" t="s">
        <v>5</v>
      </c>
      <c r="D331" s="4" t="str">
        <f>D295</f>
        <v>: Bandung Barat</v>
      </c>
      <c r="E331" s="4"/>
      <c r="F331" s="4"/>
      <c r="G331" s="4"/>
      <c r="H331" s="4"/>
      <c r="I331" s="4"/>
      <c r="K331" s="6"/>
      <c r="M331" s="4" t="s">
        <v>7</v>
      </c>
      <c r="N331" s="4" t="str">
        <f>N295</f>
        <v>: 12</v>
      </c>
      <c r="O331" s="3"/>
      <c r="P331" s="8"/>
    </row>
    <row r="332" spans="1:16" ht="15" customHeight="1">
      <c r="M332" s="8"/>
      <c r="N332" s="8"/>
      <c r="O332" s="8"/>
    </row>
    <row r="333" spans="1:16" ht="18.5" customHeight="1">
      <c r="A333" s="62" t="s">
        <v>8</v>
      </c>
      <c r="B333" s="65" t="s">
        <v>9</v>
      </c>
      <c r="C333" s="66"/>
      <c r="D333" s="62" t="s">
        <v>10</v>
      </c>
      <c r="E333" s="69" t="s">
        <v>72</v>
      </c>
      <c r="F333" s="70"/>
      <c r="G333" s="70"/>
      <c r="H333" s="71"/>
      <c r="I333" s="72" t="s">
        <v>14</v>
      </c>
      <c r="J333" s="72" t="s">
        <v>11</v>
      </c>
      <c r="K333" s="65" t="s">
        <v>12</v>
      </c>
      <c r="L333" s="66"/>
      <c r="M333" s="74" t="s">
        <v>31</v>
      </c>
      <c r="N333" s="72" t="s">
        <v>16</v>
      </c>
      <c r="O333" s="65" t="s">
        <v>17</v>
      </c>
      <c r="P333" s="66"/>
    </row>
    <row r="334" spans="1:16" ht="34" customHeight="1">
      <c r="A334" s="63"/>
      <c r="B334" s="67"/>
      <c r="C334" s="68"/>
      <c r="D334" s="63"/>
      <c r="E334" s="35" t="str">
        <f t="shared" ref="E334:H340" si="60">IF(E298="","",E298)</f>
        <v>Penjaga</v>
      </c>
      <c r="F334" s="35" t="str">
        <f t="shared" si="60"/>
        <v>Guru</v>
      </c>
      <c r="G334" s="35" t="str">
        <f t="shared" si="60"/>
        <v>Pembina Ekskul</v>
      </c>
      <c r="H334" s="39" t="str">
        <f t="shared" si="60"/>
        <v>Tenaga Perpustakaan</v>
      </c>
      <c r="I334" s="73"/>
      <c r="J334" s="73"/>
      <c r="K334" s="67"/>
      <c r="L334" s="68"/>
      <c r="M334" s="75"/>
      <c r="N334" s="73"/>
      <c r="O334" s="67"/>
      <c r="P334" s="68"/>
    </row>
    <row r="335" spans="1:16" ht="24" customHeight="1">
      <c r="A335" s="11">
        <v>1</v>
      </c>
      <c r="B335" s="12" t="str">
        <f t="shared" ref="B335:B340" si="61">IF(B299="","",B299)</f>
        <v>USEP PUDIN</v>
      </c>
      <c r="C335" s="13"/>
      <c r="D335" s="32" t="str">
        <f t="shared" ref="D335:D340" si="62">IF(D299="","",D299)</f>
        <v>Penjaga Sekolah</v>
      </c>
      <c r="E335" s="37">
        <f t="shared" si="60"/>
        <v>450000</v>
      </c>
      <c r="F335" s="37" t="str">
        <f t="shared" si="60"/>
        <v/>
      </c>
      <c r="G335" s="37" t="str">
        <f t="shared" si="60"/>
        <v/>
      </c>
      <c r="H335" s="37" t="str">
        <f t="shared" si="60"/>
        <v/>
      </c>
      <c r="I335" s="16">
        <f>IF(B335="","",SUM(E335:H335))</f>
        <v>450000</v>
      </c>
      <c r="J335" s="38" t="str">
        <f t="shared" ref="J335:L340" si="63">IF(J299="","",J299)</f>
        <v>PTT</v>
      </c>
      <c r="K335" s="38">
        <f t="shared" si="63"/>
        <v>1</v>
      </c>
      <c r="L335" s="38" t="str">
        <f t="shared" si="63"/>
        <v>Bulan</v>
      </c>
      <c r="M335" s="17">
        <f>IFERROR(I335*0/100,"")</f>
        <v>0</v>
      </c>
      <c r="N335" s="16">
        <f>IFERROR(SUM(I335*K335)-M335,"")</f>
        <v>450000</v>
      </c>
      <c r="O335" s="54">
        <v>1</v>
      </c>
      <c r="P335" s="56">
        <v>2</v>
      </c>
    </row>
    <row r="336" spans="1:16" ht="24" customHeight="1">
      <c r="A336" s="11">
        <v>2</v>
      </c>
      <c r="B336" s="12" t="str">
        <f t="shared" si="61"/>
        <v/>
      </c>
      <c r="C336" s="13"/>
      <c r="D336" s="32" t="str">
        <f t="shared" si="62"/>
        <v/>
      </c>
      <c r="E336" s="37" t="str">
        <f t="shared" si="60"/>
        <v/>
      </c>
      <c r="F336" s="37" t="str">
        <f t="shared" si="60"/>
        <v/>
      </c>
      <c r="G336" s="37" t="str">
        <f t="shared" si="60"/>
        <v/>
      </c>
      <c r="H336" s="37" t="str">
        <f t="shared" si="60"/>
        <v/>
      </c>
      <c r="I336" s="16" t="str">
        <f t="shared" ref="I336:I340" si="64">IF(B336="","",SUM(E336:H336))</f>
        <v/>
      </c>
      <c r="J336" s="38" t="str">
        <f t="shared" si="63"/>
        <v/>
      </c>
      <c r="K336" s="38" t="str">
        <f t="shared" si="63"/>
        <v/>
      </c>
      <c r="L336" s="38" t="str">
        <f t="shared" si="63"/>
        <v/>
      </c>
      <c r="M336" s="17" t="str">
        <f t="shared" ref="M336:M340" si="65">IFERROR(I336*0/100,"")</f>
        <v/>
      </c>
      <c r="N336" s="16" t="str">
        <f t="shared" ref="N336:N340" si="66">IFERROR(SUM(I336*K336)-M336,"")</f>
        <v/>
      </c>
      <c r="O336" s="55"/>
      <c r="P336" s="57"/>
    </row>
    <row r="337" spans="1:19" ht="24" hidden="1" customHeight="1">
      <c r="A337" s="11">
        <v>3</v>
      </c>
      <c r="B337" s="12" t="str">
        <f t="shared" si="61"/>
        <v/>
      </c>
      <c r="C337" s="13"/>
      <c r="D337" s="32" t="str">
        <f t="shared" si="62"/>
        <v/>
      </c>
      <c r="E337" s="37" t="str">
        <f t="shared" si="60"/>
        <v/>
      </c>
      <c r="F337" s="37" t="str">
        <f t="shared" si="60"/>
        <v>-</v>
      </c>
      <c r="G337" s="37" t="str">
        <f t="shared" si="60"/>
        <v>-</v>
      </c>
      <c r="H337" s="37" t="str">
        <f t="shared" si="60"/>
        <v/>
      </c>
      <c r="I337" s="16" t="str">
        <f t="shared" si="64"/>
        <v/>
      </c>
      <c r="J337" s="38" t="str">
        <f t="shared" si="63"/>
        <v/>
      </c>
      <c r="K337" s="38" t="str">
        <f t="shared" si="63"/>
        <v/>
      </c>
      <c r="L337" s="38" t="str">
        <f t="shared" si="63"/>
        <v/>
      </c>
      <c r="M337" s="17" t="str">
        <f t="shared" si="65"/>
        <v/>
      </c>
      <c r="N337" s="16" t="str">
        <f t="shared" si="66"/>
        <v/>
      </c>
      <c r="O337" s="54">
        <v>3</v>
      </c>
      <c r="P337" s="56">
        <v>4</v>
      </c>
    </row>
    <row r="338" spans="1:19" ht="24" hidden="1" customHeight="1">
      <c r="A338" s="11">
        <v>4</v>
      </c>
      <c r="B338" s="12" t="str">
        <f t="shared" si="61"/>
        <v/>
      </c>
      <c r="C338" s="13"/>
      <c r="D338" s="32" t="str">
        <f t="shared" si="62"/>
        <v/>
      </c>
      <c r="E338" s="37" t="str">
        <f t="shared" si="60"/>
        <v/>
      </c>
      <c r="F338" s="37" t="str">
        <f t="shared" si="60"/>
        <v/>
      </c>
      <c r="G338" s="37" t="str">
        <f t="shared" si="60"/>
        <v/>
      </c>
      <c r="H338" s="37" t="str">
        <f t="shared" si="60"/>
        <v/>
      </c>
      <c r="I338" s="16" t="str">
        <f t="shared" si="64"/>
        <v/>
      </c>
      <c r="J338" s="38" t="str">
        <f t="shared" si="63"/>
        <v/>
      </c>
      <c r="K338" s="38" t="str">
        <f t="shared" si="63"/>
        <v/>
      </c>
      <c r="L338" s="38" t="str">
        <f t="shared" si="63"/>
        <v/>
      </c>
      <c r="M338" s="17" t="str">
        <f t="shared" si="65"/>
        <v/>
      </c>
      <c r="N338" s="16" t="str">
        <f t="shared" si="66"/>
        <v/>
      </c>
      <c r="O338" s="55"/>
      <c r="P338" s="57"/>
    </row>
    <row r="339" spans="1:19" ht="24" hidden="1" customHeight="1">
      <c r="A339" s="11">
        <v>5</v>
      </c>
      <c r="B339" s="12" t="str">
        <f t="shared" si="61"/>
        <v/>
      </c>
      <c r="C339" s="13"/>
      <c r="D339" s="32" t="str">
        <f t="shared" si="62"/>
        <v/>
      </c>
      <c r="E339" s="37" t="str">
        <f t="shared" si="60"/>
        <v/>
      </c>
      <c r="F339" s="37" t="str">
        <f t="shared" si="60"/>
        <v/>
      </c>
      <c r="G339" s="37" t="str">
        <f t="shared" si="60"/>
        <v/>
      </c>
      <c r="H339" s="37" t="str">
        <f t="shared" si="60"/>
        <v/>
      </c>
      <c r="I339" s="16" t="str">
        <f t="shared" si="64"/>
        <v/>
      </c>
      <c r="J339" s="38" t="str">
        <f t="shared" si="63"/>
        <v/>
      </c>
      <c r="K339" s="38" t="str">
        <f t="shared" si="63"/>
        <v/>
      </c>
      <c r="L339" s="38" t="str">
        <f t="shared" si="63"/>
        <v/>
      </c>
      <c r="M339" s="17" t="str">
        <f t="shared" si="65"/>
        <v/>
      </c>
      <c r="N339" s="16" t="str">
        <f t="shared" si="66"/>
        <v/>
      </c>
      <c r="O339" s="58">
        <v>5</v>
      </c>
      <c r="P339" s="59">
        <v>6</v>
      </c>
    </row>
    <row r="340" spans="1:19" ht="24" hidden="1" customHeight="1">
      <c r="A340" s="11">
        <v>6</v>
      </c>
      <c r="B340" s="12" t="str">
        <f t="shared" si="61"/>
        <v/>
      </c>
      <c r="C340" s="13"/>
      <c r="D340" s="32" t="str">
        <f t="shared" si="62"/>
        <v/>
      </c>
      <c r="E340" s="37" t="str">
        <f t="shared" si="60"/>
        <v/>
      </c>
      <c r="F340" s="37" t="str">
        <f t="shared" si="60"/>
        <v/>
      </c>
      <c r="G340" s="37" t="str">
        <f t="shared" si="60"/>
        <v/>
      </c>
      <c r="H340" s="37" t="str">
        <f t="shared" si="60"/>
        <v/>
      </c>
      <c r="I340" s="16" t="str">
        <f t="shared" si="64"/>
        <v/>
      </c>
      <c r="J340" s="38" t="str">
        <f t="shared" si="63"/>
        <v/>
      </c>
      <c r="K340" s="38" t="str">
        <f t="shared" si="63"/>
        <v/>
      </c>
      <c r="L340" s="38" t="str">
        <f t="shared" si="63"/>
        <v/>
      </c>
      <c r="M340" s="17" t="str">
        <f t="shared" si="65"/>
        <v/>
      </c>
      <c r="N340" s="16" t="str">
        <f t="shared" si="66"/>
        <v/>
      </c>
      <c r="O340" s="58"/>
      <c r="P340" s="59"/>
    </row>
    <row r="341" spans="1:19" s="21" customFormat="1" ht="22.5" customHeight="1">
      <c r="A341" s="60" t="s">
        <v>20</v>
      </c>
      <c r="B341" s="61"/>
      <c r="C341" s="61"/>
      <c r="D341" s="61"/>
      <c r="E341" s="61"/>
      <c r="F341" s="61"/>
      <c r="G341" s="61"/>
      <c r="H341" s="36"/>
      <c r="I341" s="18">
        <f>SUM(I335:I340)</f>
        <v>450000</v>
      </c>
      <c r="J341" s="36"/>
      <c r="K341" s="36"/>
      <c r="L341" s="36"/>
      <c r="M341" s="19">
        <f>SUM(M335:M340)</f>
        <v>0</v>
      </c>
      <c r="N341" s="18">
        <f>SUM(N335:N340)</f>
        <v>450000</v>
      </c>
      <c r="O341" s="20"/>
      <c r="P341" s="20"/>
      <c r="S341" s="22"/>
    </row>
    <row r="342" spans="1:19" ht="23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N342" s="23"/>
    </row>
    <row r="343" spans="1:19" ht="17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O343" s="24" t="s">
        <v>81</v>
      </c>
    </row>
    <row r="344" spans="1:19" ht="18" customHeight="1">
      <c r="A344" s="8"/>
      <c r="C344" s="24" t="s">
        <v>21</v>
      </c>
      <c r="D344" s="24"/>
      <c r="E344" s="24"/>
      <c r="F344" s="24"/>
      <c r="G344" s="24"/>
      <c r="H344" s="24"/>
      <c r="I344" s="24"/>
      <c r="J344" s="24"/>
      <c r="K344" s="24"/>
      <c r="L344" s="8"/>
      <c r="O344" s="24" t="s">
        <v>87</v>
      </c>
    </row>
    <row r="345" spans="1:19">
      <c r="A345" s="8"/>
      <c r="C345" s="24" t="s">
        <v>22</v>
      </c>
      <c r="D345" s="24"/>
      <c r="E345" s="24"/>
      <c r="F345" s="24"/>
      <c r="G345" s="24"/>
      <c r="H345" s="24"/>
      <c r="I345" s="24"/>
      <c r="J345" s="24"/>
      <c r="K345" s="24"/>
      <c r="L345" s="8"/>
      <c r="O345" s="24" t="s">
        <v>23</v>
      </c>
    </row>
    <row r="346" spans="1:19">
      <c r="A346" s="8"/>
      <c r="C346" s="24"/>
      <c r="D346" s="24"/>
      <c r="E346" s="24"/>
      <c r="F346" s="24"/>
      <c r="G346" s="24"/>
      <c r="H346" s="24"/>
      <c r="I346" s="24"/>
      <c r="J346" s="24"/>
      <c r="K346" s="24"/>
      <c r="L346" s="8"/>
      <c r="O346" s="25"/>
      <c r="S346" s="26"/>
    </row>
    <row r="347" spans="1:19">
      <c r="A347" s="8"/>
      <c r="C347" s="24"/>
      <c r="D347" s="24"/>
      <c r="E347" s="24"/>
      <c r="F347" s="24"/>
      <c r="G347" s="24"/>
      <c r="H347" s="24"/>
      <c r="I347" s="24"/>
      <c r="J347" s="24"/>
      <c r="K347" s="24"/>
      <c r="L347" s="8"/>
      <c r="O347" s="25"/>
    </row>
    <row r="348" spans="1:19">
      <c r="A348" s="8"/>
      <c r="C348" s="24"/>
      <c r="D348" s="24"/>
      <c r="E348" s="24"/>
      <c r="F348" s="24"/>
      <c r="G348" s="24"/>
      <c r="H348" s="24"/>
      <c r="I348" s="24"/>
      <c r="J348" s="24"/>
      <c r="K348" s="24"/>
      <c r="L348" s="8"/>
      <c r="O348" s="25"/>
    </row>
    <row r="349" spans="1:19">
      <c r="A349" s="8"/>
      <c r="C349" s="24"/>
      <c r="D349" s="24"/>
      <c r="E349" s="24"/>
      <c r="F349" s="24"/>
      <c r="G349" s="24"/>
      <c r="H349" s="24"/>
      <c r="I349" s="24"/>
      <c r="J349" s="24"/>
      <c r="K349" s="24"/>
      <c r="L349" s="8"/>
      <c r="O349" s="25"/>
    </row>
    <row r="350" spans="1:19">
      <c r="A350" s="8"/>
      <c r="C350" s="24"/>
      <c r="D350" s="24"/>
      <c r="E350" s="24"/>
      <c r="F350" s="24"/>
      <c r="G350" s="24"/>
      <c r="H350" s="24"/>
      <c r="I350" s="24"/>
      <c r="J350" s="24"/>
      <c r="K350" s="24"/>
      <c r="L350" s="8"/>
      <c r="O350" s="25"/>
    </row>
    <row r="351" spans="1:19" ht="15" customHeight="1">
      <c r="A351" s="8"/>
      <c r="C351" s="27" t="str">
        <f>IF(C315="","",C315)</f>
        <v>BADRUDDIN, S.Ag.</v>
      </c>
      <c r="D351" s="28"/>
      <c r="E351" s="28"/>
      <c r="F351" s="28"/>
      <c r="G351" s="28"/>
      <c r="H351" s="28"/>
      <c r="I351" s="28"/>
      <c r="J351" s="28"/>
      <c r="K351" s="8"/>
      <c r="L351" s="8"/>
      <c r="O351" s="27" t="s">
        <v>76</v>
      </c>
    </row>
    <row r="352" spans="1:19" ht="15" customHeight="1">
      <c r="A352" s="8"/>
      <c r="C352" s="27" t="str">
        <f>IF(C316="","",C316)</f>
        <v>NIP. 197405082014121002</v>
      </c>
      <c r="D352" s="28"/>
      <c r="E352" s="28"/>
      <c r="F352" s="28"/>
      <c r="G352" s="28"/>
      <c r="H352" s="28"/>
      <c r="I352" s="28"/>
      <c r="J352" s="28"/>
      <c r="K352" s="8"/>
      <c r="L352" s="8"/>
      <c r="O352" s="27" t="s">
        <v>77</v>
      </c>
    </row>
    <row r="361" spans="1:16" ht="17.25" customHeight="1">
      <c r="A361" s="64" t="str">
        <f>$A$1</f>
        <v>DAFTAR PENERIMA HONORARIUM/GAJI PENJAGA SEKOLAH TIDAK TETAP (PEMBAYARAN NON TUNAI)</v>
      </c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</row>
    <row r="362" spans="1:16" ht="17.25" customHeight="1">
      <c r="A362" s="64" t="s">
        <v>82</v>
      </c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</row>
    <row r="363" spans="1:16" ht="1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15" customHeight="1">
      <c r="C364" s="4" t="s">
        <v>0</v>
      </c>
      <c r="D364" s="5" t="s">
        <v>1</v>
      </c>
      <c r="E364" s="5"/>
      <c r="F364" s="5"/>
      <c r="G364" s="5"/>
      <c r="H364" s="5"/>
      <c r="I364" s="5"/>
      <c r="K364" s="6"/>
      <c r="L364" s="7"/>
      <c r="M364" s="4" t="s">
        <v>26</v>
      </c>
      <c r="N364" s="4" t="str">
        <f>N328</f>
        <v>: 07 Pengembangan Standar Pembiayaan</v>
      </c>
      <c r="O364" s="3"/>
    </row>
    <row r="365" spans="1:16" ht="15" customHeight="1">
      <c r="C365" s="4" t="s">
        <v>2</v>
      </c>
      <c r="D365" s="4" t="str">
        <f>D329</f>
        <v>: SD NEGERI LEBAKLEUNGSIR</v>
      </c>
      <c r="E365" s="4"/>
      <c r="F365" s="4"/>
      <c r="G365" s="4"/>
      <c r="H365" s="4"/>
      <c r="I365" s="4"/>
      <c r="K365" s="6"/>
      <c r="M365" s="4" t="s">
        <v>27</v>
      </c>
      <c r="N365" s="4" t="str">
        <f>N329</f>
        <v>: Pembayaran Honor (Penjaga)</v>
      </c>
      <c r="O365" s="3"/>
    </row>
    <row r="366" spans="1:16" ht="15" customHeight="1">
      <c r="C366" s="4" t="s">
        <v>3</v>
      </c>
      <c r="D366" s="4" t="str">
        <f>D330</f>
        <v>: Cikalongwetan</v>
      </c>
      <c r="E366" s="4"/>
      <c r="F366" s="4"/>
      <c r="G366" s="4"/>
      <c r="H366" s="4"/>
      <c r="I366" s="4"/>
      <c r="K366" s="6"/>
      <c r="M366" s="8" t="s">
        <v>28</v>
      </c>
      <c r="N366" s="4" t="str">
        <f>N330</f>
        <v>: 5.1.02.02.01.0013</v>
      </c>
      <c r="O366" s="3"/>
    </row>
    <row r="367" spans="1:16" ht="15" customHeight="1">
      <c r="C367" s="4" t="s">
        <v>5</v>
      </c>
      <c r="D367" s="4" t="str">
        <f>D331</f>
        <v>: Bandung Barat</v>
      </c>
      <c r="E367" s="4"/>
      <c r="F367" s="4"/>
      <c r="G367" s="4"/>
      <c r="H367" s="4"/>
      <c r="I367" s="4"/>
      <c r="K367" s="6"/>
      <c r="M367" s="4" t="s">
        <v>7</v>
      </c>
      <c r="N367" s="4" t="str">
        <f>N331</f>
        <v>: 12</v>
      </c>
      <c r="O367" s="3"/>
      <c r="P367" s="8"/>
    </row>
    <row r="368" spans="1:16" ht="15" customHeight="1">
      <c r="M368" s="8"/>
      <c r="N368" s="8"/>
      <c r="O368" s="8"/>
    </row>
    <row r="369" spans="1:19" ht="18.5" customHeight="1">
      <c r="A369" s="62" t="s">
        <v>8</v>
      </c>
      <c r="B369" s="65" t="s">
        <v>9</v>
      </c>
      <c r="C369" s="66"/>
      <c r="D369" s="62" t="s">
        <v>10</v>
      </c>
      <c r="E369" s="69" t="s">
        <v>72</v>
      </c>
      <c r="F369" s="70"/>
      <c r="G369" s="70"/>
      <c r="H369" s="71"/>
      <c r="I369" s="72" t="s">
        <v>14</v>
      </c>
      <c r="J369" s="72" t="s">
        <v>11</v>
      </c>
      <c r="K369" s="65" t="s">
        <v>12</v>
      </c>
      <c r="L369" s="66"/>
      <c r="M369" s="74" t="s">
        <v>31</v>
      </c>
      <c r="N369" s="72" t="s">
        <v>16</v>
      </c>
      <c r="O369" s="65" t="s">
        <v>17</v>
      </c>
      <c r="P369" s="66"/>
    </row>
    <row r="370" spans="1:19" ht="34" customHeight="1">
      <c r="A370" s="63"/>
      <c r="B370" s="67"/>
      <c r="C370" s="68"/>
      <c r="D370" s="63"/>
      <c r="E370" s="35" t="str">
        <f t="shared" ref="E370:H376" si="67">IF(E334="","",E334)</f>
        <v>Penjaga</v>
      </c>
      <c r="F370" s="35" t="str">
        <f t="shared" si="67"/>
        <v>Guru</v>
      </c>
      <c r="G370" s="35" t="str">
        <f t="shared" si="67"/>
        <v>Pembina Ekskul</v>
      </c>
      <c r="H370" s="39" t="str">
        <f t="shared" si="67"/>
        <v>Tenaga Perpustakaan</v>
      </c>
      <c r="I370" s="73"/>
      <c r="J370" s="73"/>
      <c r="K370" s="67"/>
      <c r="L370" s="68"/>
      <c r="M370" s="75"/>
      <c r="N370" s="73"/>
      <c r="O370" s="67"/>
      <c r="P370" s="68"/>
    </row>
    <row r="371" spans="1:19" ht="24" customHeight="1">
      <c r="A371" s="11">
        <v>1</v>
      </c>
      <c r="B371" s="12" t="str">
        <f t="shared" ref="B371:B376" si="68">IF(B335="","",B335)</f>
        <v>USEP PUDIN</v>
      </c>
      <c r="C371" s="13"/>
      <c r="D371" s="32" t="str">
        <f t="shared" ref="D371:D376" si="69">IF(D335="","",D335)</f>
        <v>Penjaga Sekolah</v>
      </c>
      <c r="E371" s="37">
        <f t="shared" si="67"/>
        <v>450000</v>
      </c>
      <c r="F371" s="37" t="str">
        <f t="shared" si="67"/>
        <v/>
      </c>
      <c r="G371" s="37" t="str">
        <f t="shared" si="67"/>
        <v/>
      </c>
      <c r="H371" s="37" t="str">
        <f t="shared" si="67"/>
        <v/>
      </c>
      <c r="I371" s="16">
        <f>IF(B371="","",SUM(E371:H371))</f>
        <v>450000</v>
      </c>
      <c r="J371" s="38" t="str">
        <f t="shared" ref="J371:L376" si="70">IF(J335="","",J335)</f>
        <v>PTT</v>
      </c>
      <c r="K371" s="38">
        <f t="shared" si="70"/>
        <v>1</v>
      </c>
      <c r="L371" s="38" t="str">
        <f t="shared" si="70"/>
        <v>Bulan</v>
      </c>
      <c r="M371" s="17">
        <f>IFERROR(I371*0/100,"")</f>
        <v>0</v>
      </c>
      <c r="N371" s="16">
        <f>IFERROR(SUM(I371*K371)-M371,"")</f>
        <v>450000</v>
      </c>
      <c r="O371" s="54">
        <v>1</v>
      </c>
      <c r="P371" s="56">
        <v>2</v>
      </c>
    </row>
    <row r="372" spans="1:19" ht="24" customHeight="1">
      <c r="A372" s="11">
        <v>2</v>
      </c>
      <c r="B372" s="12" t="str">
        <f t="shared" si="68"/>
        <v/>
      </c>
      <c r="C372" s="13"/>
      <c r="D372" s="32" t="str">
        <f t="shared" si="69"/>
        <v/>
      </c>
      <c r="E372" s="37" t="str">
        <f t="shared" si="67"/>
        <v/>
      </c>
      <c r="F372" s="37" t="str">
        <f t="shared" si="67"/>
        <v/>
      </c>
      <c r="G372" s="37" t="str">
        <f t="shared" si="67"/>
        <v/>
      </c>
      <c r="H372" s="37" t="str">
        <f t="shared" si="67"/>
        <v/>
      </c>
      <c r="I372" s="16" t="str">
        <f t="shared" ref="I372:I376" si="71">IF(B372="","",SUM(E372:H372))</f>
        <v/>
      </c>
      <c r="J372" s="38" t="str">
        <f t="shared" si="70"/>
        <v/>
      </c>
      <c r="K372" s="38" t="str">
        <f t="shared" si="70"/>
        <v/>
      </c>
      <c r="L372" s="38" t="str">
        <f t="shared" si="70"/>
        <v/>
      </c>
      <c r="M372" s="17" t="str">
        <f t="shared" ref="M372:M376" si="72">IFERROR(I372*0/100,"")</f>
        <v/>
      </c>
      <c r="N372" s="16" t="str">
        <f t="shared" ref="N372:N376" si="73">IFERROR(SUM(I372*K372)-M372,"")</f>
        <v/>
      </c>
      <c r="O372" s="55"/>
      <c r="P372" s="57"/>
    </row>
    <row r="373" spans="1:19" ht="24" hidden="1" customHeight="1">
      <c r="A373" s="11">
        <v>3</v>
      </c>
      <c r="B373" s="12" t="str">
        <f t="shared" si="68"/>
        <v/>
      </c>
      <c r="C373" s="13"/>
      <c r="D373" s="32" t="str">
        <f t="shared" si="69"/>
        <v/>
      </c>
      <c r="E373" s="37" t="str">
        <f t="shared" si="67"/>
        <v/>
      </c>
      <c r="F373" s="37" t="str">
        <f t="shared" si="67"/>
        <v>-</v>
      </c>
      <c r="G373" s="37" t="str">
        <f t="shared" si="67"/>
        <v>-</v>
      </c>
      <c r="H373" s="37" t="str">
        <f t="shared" si="67"/>
        <v/>
      </c>
      <c r="I373" s="16" t="str">
        <f t="shared" si="71"/>
        <v/>
      </c>
      <c r="J373" s="38" t="str">
        <f t="shared" si="70"/>
        <v/>
      </c>
      <c r="K373" s="38" t="str">
        <f t="shared" si="70"/>
        <v/>
      </c>
      <c r="L373" s="38" t="str">
        <f t="shared" si="70"/>
        <v/>
      </c>
      <c r="M373" s="17" t="str">
        <f t="shared" si="72"/>
        <v/>
      </c>
      <c r="N373" s="16" t="str">
        <f t="shared" si="73"/>
        <v/>
      </c>
      <c r="O373" s="54">
        <v>3</v>
      </c>
      <c r="P373" s="56">
        <v>4</v>
      </c>
    </row>
    <row r="374" spans="1:19" ht="24" hidden="1" customHeight="1">
      <c r="A374" s="11">
        <v>4</v>
      </c>
      <c r="B374" s="12" t="str">
        <f t="shared" si="68"/>
        <v/>
      </c>
      <c r="C374" s="13"/>
      <c r="D374" s="32" t="str">
        <f t="shared" si="69"/>
        <v/>
      </c>
      <c r="E374" s="37" t="str">
        <f t="shared" si="67"/>
        <v/>
      </c>
      <c r="F374" s="37" t="str">
        <f t="shared" si="67"/>
        <v/>
      </c>
      <c r="G374" s="37" t="str">
        <f t="shared" si="67"/>
        <v/>
      </c>
      <c r="H374" s="37" t="str">
        <f t="shared" si="67"/>
        <v/>
      </c>
      <c r="I374" s="16" t="str">
        <f t="shared" si="71"/>
        <v/>
      </c>
      <c r="J374" s="38" t="str">
        <f t="shared" si="70"/>
        <v/>
      </c>
      <c r="K374" s="38" t="str">
        <f t="shared" si="70"/>
        <v/>
      </c>
      <c r="L374" s="38" t="str">
        <f t="shared" si="70"/>
        <v/>
      </c>
      <c r="M374" s="17" t="str">
        <f t="shared" si="72"/>
        <v/>
      </c>
      <c r="N374" s="16" t="str">
        <f t="shared" si="73"/>
        <v/>
      </c>
      <c r="O374" s="55"/>
      <c r="P374" s="57"/>
    </row>
    <row r="375" spans="1:19" ht="24" hidden="1" customHeight="1">
      <c r="A375" s="11">
        <v>5</v>
      </c>
      <c r="B375" s="12" t="str">
        <f t="shared" si="68"/>
        <v/>
      </c>
      <c r="C375" s="13"/>
      <c r="D375" s="32" t="str">
        <f t="shared" si="69"/>
        <v/>
      </c>
      <c r="E375" s="37" t="str">
        <f t="shared" si="67"/>
        <v/>
      </c>
      <c r="F375" s="37" t="str">
        <f t="shared" si="67"/>
        <v/>
      </c>
      <c r="G375" s="37" t="str">
        <f t="shared" si="67"/>
        <v/>
      </c>
      <c r="H375" s="37" t="str">
        <f t="shared" si="67"/>
        <v/>
      </c>
      <c r="I375" s="16" t="str">
        <f t="shared" si="71"/>
        <v/>
      </c>
      <c r="J375" s="38" t="str">
        <f t="shared" si="70"/>
        <v/>
      </c>
      <c r="K375" s="38" t="str">
        <f t="shared" si="70"/>
        <v/>
      </c>
      <c r="L375" s="38" t="str">
        <f t="shared" si="70"/>
        <v/>
      </c>
      <c r="M375" s="17" t="str">
        <f t="shared" si="72"/>
        <v/>
      </c>
      <c r="N375" s="16" t="str">
        <f t="shared" si="73"/>
        <v/>
      </c>
      <c r="O375" s="58">
        <v>5</v>
      </c>
      <c r="P375" s="59">
        <v>6</v>
      </c>
    </row>
    <row r="376" spans="1:19" ht="24" hidden="1" customHeight="1">
      <c r="A376" s="11">
        <v>6</v>
      </c>
      <c r="B376" s="12" t="str">
        <f t="shared" si="68"/>
        <v/>
      </c>
      <c r="C376" s="13"/>
      <c r="D376" s="32" t="str">
        <f t="shared" si="69"/>
        <v/>
      </c>
      <c r="E376" s="37" t="str">
        <f t="shared" si="67"/>
        <v/>
      </c>
      <c r="F376" s="37" t="str">
        <f t="shared" si="67"/>
        <v/>
      </c>
      <c r="G376" s="37" t="str">
        <f t="shared" si="67"/>
        <v/>
      </c>
      <c r="H376" s="37" t="str">
        <f t="shared" si="67"/>
        <v/>
      </c>
      <c r="I376" s="16" t="str">
        <f t="shared" si="71"/>
        <v/>
      </c>
      <c r="J376" s="38" t="str">
        <f t="shared" si="70"/>
        <v/>
      </c>
      <c r="K376" s="38" t="str">
        <f t="shared" si="70"/>
        <v/>
      </c>
      <c r="L376" s="38" t="str">
        <f t="shared" si="70"/>
        <v/>
      </c>
      <c r="M376" s="17" t="str">
        <f t="shared" si="72"/>
        <v/>
      </c>
      <c r="N376" s="16" t="str">
        <f t="shared" si="73"/>
        <v/>
      </c>
      <c r="O376" s="58"/>
      <c r="P376" s="59"/>
    </row>
    <row r="377" spans="1:19" s="21" customFormat="1" ht="22.5" customHeight="1">
      <c r="A377" s="60" t="s">
        <v>20</v>
      </c>
      <c r="B377" s="61"/>
      <c r="C377" s="61"/>
      <c r="D377" s="61"/>
      <c r="E377" s="61"/>
      <c r="F377" s="61"/>
      <c r="G377" s="61"/>
      <c r="H377" s="36"/>
      <c r="I377" s="18">
        <f>SUM(I371:I376)</f>
        <v>450000</v>
      </c>
      <c r="J377" s="36"/>
      <c r="K377" s="36"/>
      <c r="L377" s="36"/>
      <c r="M377" s="19">
        <f>SUM(M371:M376)</f>
        <v>0</v>
      </c>
      <c r="N377" s="18">
        <f>SUM(N371:N376)</f>
        <v>450000</v>
      </c>
      <c r="O377" s="20"/>
      <c r="P377" s="20"/>
      <c r="S377" s="22"/>
    </row>
    <row r="378" spans="1:19" ht="23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N378" s="23"/>
    </row>
    <row r="379" spans="1:19" ht="17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O379" s="24" t="s">
        <v>83</v>
      </c>
    </row>
    <row r="380" spans="1:19" ht="18" customHeight="1">
      <c r="A380" s="8"/>
      <c r="C380" s="24" t="s">
        <v>21</v>
      </c>
      <c r="D380" s="24"/>
      <c r="E380" s="24"/>
      <c r="F380" s="24"/>
      <c r="G380" s="24"/>
      <c r="H380" s="24"/>
      <c r="I380" s="24"/>
      <c r="J380" s="24"/>
      <c r="K380" s="24"/>
      <c r="L380" s="8"/>
      <c r="O380" s="24" t="s">
        <v>88</v>
      </c>
    </row>
    <row r="381" spans="1:19">
      <c r="A381" s="8"/>
      <c r="C381" s="24" t="s">
        <v>22</v>
      </c>
      <c r="D381" s="24"/>
      <c r="E381" s="24"/>
      <c r="F381" s="24"/>
      <c r="G381" s="24"/>
      <c r="H381" s="24"/>
      <c r="I381" s="24"/>
      <c r="J381" s="24"/>
      <c r="K381" s="24"/>
      <c r="L381" s="8"/>
      <c r="O381" s="24" t="s">
        <v>23</v>
      </c>
    </row>
    <row r="382" spans="1:19">
      <c r="A382" s="8"/>
      <c r="C382" s="24"/>
      <c r="D382" s="24"/>
      <c r="E382" s="24"/>
      <c r="F382" s="24"/>
      <c r="G382" s="24"/>
      <c r="H382" s="24"/>
      <c r="I382" s="24"/>
      <c r="J382" s="24"/>
      <c r="K382" s="24"/>
      <c r="L382" s="8"/>
      <c r="O382" s="25"/>
      <c r="S382" s="26"/>
    </row>
    <row r="383" spans="1:19">
      <c r="A383" s="8"/>
      <c r="C383" s="24"/>
      <c r="D383" s="24"/>
      <c r="E383" s="24"/>
      <c r="F383" s="24"/>
      <c r="G383" s="24"/>
      <c r="H383" s="24"/>
      <c r="I383" s="24"/>
      <c r="J383" s="24"/>
      <c r="K383" s="24"/>
      <c r="L383" s="8"/>
      <c r="O383" s="25"/>
    </row>
    <row r="384" spans="1:19">
      <c r="A384" s="8"/>
      <c r="C384" s="24"/>
      <c r="D384" s="24"/>
      <c r="E384" s="24"/>
      <c r="F384" s="24"/>
      <c r="G384" s="24"/>
      <c r="H384" s="24"/>
      <c r="I384" s="24"/>
      <c r="J384" s="24"/>
      <c r="K384" s="24"/>
      <c r="L384" s="8"/>
      <c r="O384" s="25"/>
    </row>
    <row r="385" spans="1:16">
      <c r="A385" s="8"/>
      <c r="C385" s="24"/>
      <c r="D385" s="24"/>
      <c r="E385" s="24"/>
      <c r="F385" s="24"/>
      <c r="G385" s="24"/>
      <c r="H385" s="24"/>
      <c r="I385" s="24"/>
      <c r="J385" s="24"/>
      <c r="K385" s="24"/>
      <c r="L385" s="8"/>
      <c r="O385" s="25"/>
    </row>
    <row r="386" spans="1:16">
      <c r="A386" s="8"/>
      <c r="C386" s="24"/>
      <c r="D386" s="24"/>
      <c r="E386" s="24"/>
      <c r="F386" s="24"/>
      <c r="G386" s="24"/>
      <c r="H386" s="24"/>
      <c r="I386" s="24"/>
      <c r="J386" s="24"/>
      <c r="K386" s="24"/>
      <c r="L386" s="8"/>
      <c r="O386" s="25"/>
    </row>
    <row r="387" spans="1:16" ht="15" customHeight="1">
      <c r="A387" s="8"/>
      <c r="C387" s="27" t="str">
        <f>IF(C351="","",C351)</f>
        <v>BADRUDDIN, S.Ag.</v>
      </c>
      <c r="D387" s="28"/>
      <c r="E387" s="28"/>
      <c r="F387" s="28"/>
      <c r="G387" s="28"/>
      <c r="H387" s="28"/>
      <c r="I387" s="28"/>
      <c r="J387" s="28"/>
      <c r="K387" s="8"/>
      <c r="L387" s="8"/>
      <c r="O387" s="27" t="s">
        <v>76</v>
      </c>
    </row>
    <row r="388" spans="1:16" ht="15" customHeight="1">
      <c r="A388" s="8"/>
      <c r="C388" s="27" t="str">
        <f>IF(C352="","",C352)</f>
        <v>NIP. 197405082014121002</v>
      </c>
      <c r="D388" s="28"/>
      <c r="E388" s="28"/>
      <c r="F388" s="28"/>
      <c r="G388" s="28"/>
      <c r="H388" s="28"/>
      <c r="I388" s="28"/>
      <c r="J388" s="28"/>
      <c r="K388" s="8"/>
      <c r="L388" s="8"/>
      <c r="O388" s="27" t="s">
        <v>77</v>
      </c>
    </row>
    <row r="397" spans="1:16" ht="17.25" customHeight="1">
      <c r="A397" s="64" t="str">
        <f>$A$1</f>
        <v>DAFTAR PENERIMA HONORARIUM/GAJI PENJAGA SEKOLAH TIDAK TETAP (PEMBAYARAN NON TUNAI)</v>
      </c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</row>
    <row r="398" spans="1:16" ht="17.25" customHeight="1">
      <c r="A398" s="64" t="s">
        <v>84</v>
      </c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</row>
    <row r="399" spans="1:16" ht="1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5" customHeight="1">
      <c r="C400" s="4" t="s">
        <v>0</v>
      </c>
      <c r="D400" s="5" t="s">
        <v>1</v>
      </c>
      <c r="E400" s="5"/>
      <c r="F400" s="5"/>
      <c r="G400" s="5"/>
      <c r="H400" s="5"/>
      <c r="I400" s="5"/>
      <c r="K400" s="6"/>
      <c r="L400" s="7"/>
      <c r="M400" s="4" t="s">
        <v>26</v>
      </c>
      <c r="N400" s="4" t="str">
        <f>N364</f>
        <v>: 07 Pengembangan Standar Pembiayaan</v>
      </c>
      <c r="O400" s="3"/>
    </row>
    <row r="401" spans="1:19" ht="15" customHeight="1">
      <c r="C401" s="4" t="s">
        <v>2</v>
      </c>
      <c r="D401" s="4" t="str">
        <f>D365</f>
        <v>: SD NEGERI LEBAKLEUNGSIR</v>
      </c>
      <c r="E401" s="4"/>
      <c r="F401" s="4"/>
      <c r="G401" s="4"/>
      <c r="H401" s="4"/>
      <c r="I401" s="4"/>
      <c r="K401" s="6"/>
      <c r="M401" s="4" t="s">
        <v>27</v>
      </c>
      <c r="N401" s="4" t="str">
        <f>N365</f>
        <v>: Pembayaran Honor (Penjaga)</v>
      </c>
      <c r="O401" s="3"/>
    </row>
    <row r="402" spans="1:19" ht="15" customHeight="1">
      <c r="C402" s="4" t="s">
        <v>3</v>
      </c>
      <c r="D402" s="4" t="str">
        <f>D366</f>
        <v>: Cikalongwetan</v>
      </c>
      <c r="E402" s="4"/>
      <c r="F402" s="4"/>
      <c r="G402" s="4"/>
      <c r="H402" s="4"/>
      <c r="I402" s="4"/>
      <c r="K402" s="6"/>
      <c r="M402" s="8" t="s">
        <v>28</v>
      </c>
      <c r="N402" s="4" t="str">
        <f>N366</f>
        <v>: 5.1.02.02.01.0013</v>
      </c>
      <c r="O402" s="3"/>
    </row>
    <row r="403" spans="1:19" ht="15" customHeight="1">
      <c r="C403" s="4" t="s">
        <v>5</v>
      </c>
      <c r="D403" s="4" t="str">
        <f>D367</f>
        <v>: Bandung Barat</v>
      </c>
      <c r="E403" s="4"/>
      <c r="F403" s="4"/>
      <c r="G403" s="4"/>
      <c r="H403" s="4"/>
      <c r="I403" s="4"/>
      <c r="K403" s="6"/>
      <c r="M403" s="4" t="s">
        <v>7</v>
      </c>
      <c r="N403" s="4" t="str">
        <f>N367</f>
        <v>: 12</v>
      </c>
      <c r="O403" s="3"/>
      <c r="P403" s="8"/>
    </row>
    <row r="404" spans="1:19" ht="15" customHeight="1">
      <c r="M404" s="8"/>
      <c r="N404" s="8"/>
      <c r="O404" s="8"/>
    </row>
    <row r="405" spans="1:19" ht="18.5" customHeight="1">
      <c r="A405" s="62" t="s">
        <v>8</v>
      </c>
      <c r="B405" s="65" t="s">
        <v>9</v>
      </c>
      <c r="C405" s="66"/>
      <c r="D405" s="62" t="s">
        <v>10</v>
      </c>
      <c r="E405" s="69" t="s">
        <v>72</v>
      </c>
      <c r="F405" s="70"/>
      <c r="G405" s="70"/>
      <c r="H405" s="71"/>
      <c r="I405" s="72" t="s">
        <v>14</v>
      </c>
      <c r="J405" s="72" t="s">
        <v>11</v>
      </c>
      <c r="K405" s="65" t="s">
        <v>12</v>
      </c>
      <c r="L405" s="66"/>
      <c r="M405" s="74" t="s">
        <v>31</v>
      </c>
      <c r="N405" s="72" t="s">
        <v>16</v>
      </c>
      <c r="O405" s="65" t="s">
        <v>17</v>
      </c>
      <c r="P405" s="66"/>
    </row>
    <row r="406" spans="1:19" ht="34" customHeight="1">
      <c r="A406" s="63"/>
      <c r="B406" s="67"/>
      <c r="C406" s="68"/>
      <c r="D406" s="63"/>
      <c r="E406" s="35" t="str">
        <f t="shared" ref="E406:H408" si="74">IF(E370="","",E370)</f>
        <v>Penjaga</v>
      </c>
      <c r="F406" s="35" t="str">
        <f t="shared" si="74"/>
        <v>Guru</v>
      </c>
      <c r="G406" s="35" t="str">
        <f t="shared" si="74"/>
        <v>Pembina Ekskul</v>
      </c>
      <c r="H406" s="39" t="str">
        <f t="shared" si="74"/>
        <v>Tenaga Perpustakaan</v>
      </c>
      <c r="I406" s="73"/>
      <c r="J406" s="73"/>
      <c r="K406" s="67"/>
      <c r="L406" s="68"/>
      <c r="M406" s="75"/>
      <c r="N406" s="73"/>
      <c r="O406" s="67"/>
      <c r="P406" s="68"/>
    </row>
    <row r="407" spans="1:19" ht="24" customHeight="1">
      <c r="A407" s="11">
        <v>1</v>
      </c>
      <c r="B407" s="12" t="str">
        <f>IF(B371="","",B371)</f>
        <v>USEP PUDIN</v>
      </c>
      <c r="C407" s="13"/>
      <c r="D407" s="32" t="str">
        <f>IF(D371="","",D371)</f>
        <v>Penjaga Sekolah</v>
      </c>
      <c r="E407" s="37">
        <f t="shared" si="74"/>
        <v>450000</v>
      </c>
      <c r="F407" s="37" t="str">
        <f t="shared" si="74"/>
        <v/>
      </c>
      <c r="G407" s="37" t="str">
        <f t="shared" si="74"/>
        <v/>
      </c>
      <c r="H407" s="37" t="str">
        <f t="shared" si="74"/>
        <v/>
      </c>
      <c r="I407" s="16">
        <f>IF(B407="","",SUM(E407:H407))</f>
        <v>450000</v>
      </c>
      <c r="J407" s="38" t="str">
        <f t="shared" ref="J407:L408" si="75">IF(J371="","",J371)</f>
        <v>PTT</v>
      </c>
      <c r="K407" s="38">
        <f t="shared" si="75"/>
        <v>1</v>
      </c>
      <c r="L407" s="38" t="str">
        <f t="shared" si="75"/>
        <v>Bulan</v>
      </c>
      <c r="M407" s="17">
        <f>IFERROR(I407*0/100,"")</f>
        <v>0</v>
      </c>
      <c r="N407" s="16">
        <f>IFERROR(SUM(I407*K407)-M407,"")</f>
        <v>450000</v>
      </c>
      <c r="O407" s="54">
        <v>1</v>
      </c>
      <c r="P407" s="56">
        <v>2</v>
      </c>
    </row>
    <row r="408" spans="1:19" ht="24" customHeight="1">
      <c r="A408" s="11">
        <v>2</v>
      </c>
      <c r="B408" s="12" t="str">
        <f>IF(B372="","",B372)</f>
        <v/>
      </c>
      <c r="C408" s="13"/>
      <c r="D408" s="32" t="str">
        <f>IF(D372="","",D372)</f>
        <v/>
      </c>
      <c r="E408" s="37" t="str">
        <f t="shared" si="74"/>
        <v/>
      </c>
      <c r="F408" s="37" t="str">
        <f t="shared" si="74"/>
        <v/>
      </c>
      <c r="G408" s="37" t="str">
        <f t="shared" si="74"/>
        <v/>
      </c>
      <c r="H408" s="37" t="str">
        <f t="shared" si="74"/>
        <v/>
      </c>
      <c r="I408" s="16" t="str">
        <f t="shared" ref="I408:I412" si="76">IF(B408="","",SUM(E408:H408))</f>
        <v/>
      </c>
      <c r="J408" s="38" t="str">
        <f t="shared" si="75"/>
        <v/>
      </c>
      <c r="K408" s="38" t="str">
        <f t="shared" si="75"/>
        <v/>
      </c>
      <c r="L408" s="38" t="str">
        <f t="shared" si="75"/>
        <v/>
      </c>
      <c r="M408" s="17" t="str">
        <f t="shared" ref="M408:M412" si="77">IFERROR(I408*0/100,"")</f>
        <v/>
      </c>
      <c r="N408" s="16" t="str">
        <f t="shared" ref="N408:N412" si="78">IFERROR(SUM(I408*K408)-M408,"")</f>
        <v/>
      </c>
      <c r="O408" s="55"/>
      <c r="P408" s="57"/>
    </row>
    <row r="409" spans="1:19" ht="24" hidden="1" customHeight="1">
      <c r="A409" s="11">
        <v>3</v>
      </c>
      <c r="B409" s="12" t="str">
        <f t="shared" ref="B409:B412" si="79">IF(B373="","",B373)</f>
        <v/>
      </c>
      <c r="C409" s="13"/>
      <c r="D409" s="32" t="str">
        <f t="shared" ref="D409:H412" si="80">IF(D373="","",D373)</f>
        <v/>
      </c>
      <c r="E409" s="37" t="str">
        <f t="shared" si="80"/>
        <v/>
      </c>
      <c r="F409" s="37" t="str">
        <f t="shared" si="80"/>
        <v>-</v>
      </c>
      <c r="G409" s="37" t="str">
        <f t="shared" si="80"/>
        <v>-</v>
      </c>
      <c r="H409" s="37" t="str">
        <f t="shared" si="80"/>
        <v/>
      </c>
      <c r="I409" s="16" t="str">
        <f t="shared" si="76"/>
        <v/>
      </c>
      <c r="J409" s="38" t="str">
        <f t="shared" ref="J409:L412" si="81">IF(J373="","",J373)</f>
        <v/>
      </c>
      <c r="K409" s="38" t="str">
        <f t="shared" si="81"/>
        <v/>
      </c>
      <c r="L409" s="38" t="str">
        <f t="shared" si="81"/>
        <v/>
      </c>
      <c r="M409" s="17" t="str">
        <f t="shared" si="77"/>
        <v/>
      </c>
      <c r="N409" s="16" t="str">
        <f t="shared" si="78"/>
        <v/>
      </c>
      <c r="O409" s="54">
        <v>3</v>
      </c>
      <c r="P409" s="56">
        <v>4</v>
      </c>
    </row>
    <row r="410" spans="1:19" ht="24" hidden="1" customHeight="1">
      <c r="A410" s="11">
        <v>4</v>
      </c>
      <c r="B410" s="12" t="str">
        <f t="shared" si="79"/>
        <v/>
      </c>
      <c r="C410" s="13"/>
      <c r="D410" s="32" t="str">
        <f t="shared" si="80"/>
        <v/>
      </c>
      <c r="E410" s="37" t="str">
        <f t="shared" si="80"/>
        <v/>
      </c>
      <c r="F410" s="37" t="str">
        <f t="shared" si="80"/>
        <v/>
      </c>
      <c r="G410" s="37" t="str">
        <f t="shared" si="80"/>
        <v/>
      </c>
      <c r="H410" s="37" t="str">
        <f t="shared" si="80"/>
        <v/>
      </c>
      <c r="I410" s="16" t="str">
        <f t="shared" si="76"/>
        <v/>
      </c>
      <c r="J410" s="38" t="str">
        <f t="shared" si="81"/>
        <v/>
      </c>
      <c r="K410" s="38" t="str">
        <f t="shared" si="81"/>
        <v/>
      </c>
      <c r="L410" s="38" t="str">
        <f t="shared" si="81"/>
        <v/>
      </c>
      <c r="M410" s="17" t="str">
        <f t="shared" si="77"/>
        <v/>
      </c>
      <c r="N410" s="16" t="str">
        <f t="shared" si="78"/>
        <v/>
      </c>
      <c r="O410" s="55"/>
      <c r="P410" s="57"/>
    </row>
    <row r="411" spans="1:19" ht="24" hidden="1" customHeight="1">
      <c r="A411" s="11">
        <v>5</v>
      </c>
      <c r="B411" s="12" t="str">
        <f t="shared" si="79"/>
        <v/>
      </c>
      <c r="C411" s="13"/>
      <c r="D411" s="32" t="str">
        <f t="shared" si="80"/>
        <v/>
      </c>
      <c r="E411" s="37" t="str">
        <f t="shared" si="80"/>
        <v/>
      </c>
      <c r="F411" s="37" t="str">
        <f t="shared" si="80"/>
        <v/>
      </c>
      <c r="G411" s="37" t="str">
        <f t="shared" si="80"/>
        <v/>
      </c>
      <c r="H411" s="37" t="str">
        <f t="shared" si="80"/>
        <v/>
      </c>
      <c r="I411" s="16" t="str">
        <f t="shared" si="76"/>
        <v/>
      </c>
      <c r="J411" s="38" t="str">
        <f t="shared" si="81"/>
        <v/>
      </c>
      <c r="K411" s="38" t="str">
        <f t="shared" si="81"/>
        <v/>
      </c>
      <c r="L411" s="38" t="str">
        <f t="shared" si="81"/>
        <v/>
      </c>
      <c r="M411" s="17" t="str">
        <f t="shared" si="77"/>
        <v/>
      </c>
      <c r="N411" s="16" t="str">
        <f t="shared" si="78"/>
        <v/>
      </c>
      <c r="O411" s="58">
        <v>5</v>
      </c>
      <c r="P411" s="59">
        <v>6</v>
      </c>
    </row>
    <row r="412" spans="1:19" ht="24" hidden="1" customHeight="1">
      <c r="A412" s="11">
        <v>6</v>
      </c>
      <c r="B412" s="12" t="str">
        <f t="shared" si="79"/>
        <v/>
      </c>
      <c r="C412" s="13"/>
      <c r="D412" s="32" t="str">
        <f t="shared" si="80"/>
        <v/>
      </c>
      <c r="E412" s="37" t="str">
        <f t="shared" si="80"/>
        <v/>
      </c>
      <c r="F412" s="37" t="str">
        <f t="shared" si="80"/>
        <v/>
      </c>
      <c r="G412" s="37" t="str">
        <f t="shared" si="80"/>
        <v/>
      </c>
      <c r="H412" s="37" t="str">
        <f t="shared" si="80"/>
        <v/>
      </c>
      <c r="I412" s="16" t="str">
        <f t="shared" si="76"/>
        <v/>
      </c>
      <c r="J412" s="38" t="str">
        <f t="shared" si="81"/>
        <v/>
      </c>
      <c r="K412" s="38" t="str">
        <f t="shared" si="81"/>
        <v/>
      </c>
      <c r="L412" s="38" t="str">
        <f t="shared" si="81"/>
        <v/>
      </c>
      <c r="M412" s="17" t="str">
        <f t="shared" si="77"/>
        <v/>
      </c>
      <c r="N412" s="16" t="str">
        <f t="shared" si="78"/>
        <v/>
      </c>
      <c r="O412" s="58"/>
      <c r="P412" s="59"/>
    </row>
    <row r="413" spans="1:19" s="21" customFormat="1" ht="22.5" customHeight="1">
      <c r="A413" s="60" t="s">
        <v>20</v>
      </c>
      <c r="B413" s="61"/>
      <c r="C413" s="61"/>
      <c r="D413" s="61"/>
      <c r="E413" s="61"/>
      <c r="F413" s="61"/>
      <c r="G413" s="61"/>
      <c r="H413" s="36"/>
      <c r="I413" s="18">
        <f>SUM(I407:I412)</f>
        <v>450000</v>
      </c>
      <c r="J413" s="36"/>
      <c r="K413" s="36"/>
      <c r="L413" s="36"/>
      <c r="M413" s="19">
        <f>SUM(M407:M412)</f>
        <v>0</v>
      </c>
      <c r="N413" s="18">
        <f>SUM(N407:N412)</f>
        <v>450000</v>
      </c>
      <c r="O413" s="20"/>
      <c r="P413" s="20"/>
      <c r="S413" s="22"/>
    </row>
    <row r="414" spans="1:19" ht="23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N414" s="23"/>
    </row>
    <row r="415" spans="1:19" ht="17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O415" s="24" t="s">
        <v>85</v>
      </c>
    </row>
    <row r="416" spans="1:19" ht="18" customHeight="1">
      <c r="A416" s="8"/>
      <c r="C416" s="24" t="s">
        <v>21</v>
      </c>
      <c r="D416" s="24"/>
      <c r="E416" s="24"/>
      <c r="F416" s="24"/>
      <c r="G416" s="24"/>
      <c r="H416" s="24"/>
      <c r="I416" s="24"/>
      <c r="J416" s="24"/>
      <c r="K416" s="24"/>
      <c r="L416" s="8"/>
      <c r="O416" s="24" t="s">
        <v>89</v>
      </c>
    </row>
    <row r="417" spans="1:19">
      <c r="A417" s="8"/>
      <c r="C417" s="24" t="s">
        <v>22</v>
      </c>
      <c r="D417" s="24"/>
      <c r="E417" s="24"/>
      <c r="F417" s="24"/>
      <c r="G417" s="24"/>
      <c r="H417" s="24"/>
      <c r="I417" s="24"/>
      <c r="J417" s="24"/>
      <c r="K417" s="24"/>
      <c r="L417" s="8"/>
      <c r="O417" s="24" t="s">
        <v>23</v>
      </c>
    </row>
    <row r="418" spans="1:19">
      <c r="A418" s="8"/>
      <c r="C418" s="24"/>
      <c r="D418" s="24"/>
      <c r="E418" s="24"/>
      <c r="F418" s="24"/>
      <c r="G418" s="24"/>
      <c r="H418" s="24"/>
      <c r="I418" s="24"/>
      <c r="J418" s="24"/>
      <c r="K418" s="24"/>
      <c r="L418" s="8"/>
      <c r="O418" s="25"/>
      <c r="S418" s="26"/>
    </row>
    <row r="419" spans="1:19">
      <c r="A419" s="8"/>
      <c r="C419" s="24"/>
      <c r="D419" s="24"/>
      <c r="E419" s="24"/>
      <c r="F419" s="24"/>
      <c r="G419" s="24"/>
      <c r="H419" s="24"/>
      <c r="I419" s="24"/>
      <c r="J419" s="24"/>
      <c r="K419" s="24"/>
      <c r="L419" s="8"/>
      <c r="O419" s="25"/>
    </row>
    <row r="420" spans="1:19">
      <c r="A420" s="8"/>
      <c r="C420" s="24"/>
      <c r="D420" s="24"/>
      <c r="E420" s="24"/>
      <c r="F420" s="24"/>
      <c r="G420" s="24"/>
      <c r="H420" s="24"/>
      <c r="I420" s="24"/>
      <c r="J420" s="24"/>
      <c r="K420" s="24"/>
      <c r="L420" s="8"/>
      <c r="O420" s="25"/>
    </row>
    <row r="421" spans="1:19">
      <c r="A421" s="8"/>
      <c r="C421" s="24"/>
      <c r="D421" s="24"/>
      <c r="E421" s="24"/>
      <c r="F421" s="24"/>
      <c r="G421" s="24"/>
      <c r="H421" s="24"/>
      <c r="I421" s="24"/>
      <c r="J421" s="24"/>
      <c r="K421" s="24"/>
      <c r="L421" s="8"/>
      <c r="O421" s="25"/>
    </row>
    <row r="422" spans="1:19">
      <c r="A422" s="8"/>
      <c r="C422" s="24"/>
      <c r="D422" s="24"/>
      <c r="E422" s="24"/>
      <c r="F422" s="24"/>
      <c r="G422" s="24"/>
      <c r="H422" s="24"/>
      <c r="I422" s="24"/>
      <c r="J422" s="24"/>
      <c r="K422" s="24"/>
      <c r="L422" s="8"/>
      <c r="O422" s="25"/>
    </row>
    <row r="423" spans="1:19" ht="15" customHeight="1">
      <c r="A423" s="8"/>
      <c r="C423" s="27" t="str">
        <f>IF(C387="","",C387)</f>
        <v>BADRUDDIN, S.Ag.</v>
      </c>
      <c r="D423" s="28"/>
      <c r="E423" s="28"/>
      <c r="F423" s="28"/>
      <c r="G423" s="28"/>
      <c r="H423" s="28"/>
      <c r="I423" s="28"/>
      <c r="J423" s="28"/>
      <c r="K423" s="8"/>
      <c r="L423" s="8"/>
      <c r="O423" s="27" t="s">
        <v>76</v>
      </c>
    </row>
    <row r="424" spans="1:19" ht="15" customHeight="1">
      <c r="A424" s="8"/>
      <c r="C424" s="27" t="str">
        <f>IF(C388="","",C388)</f>
        <v>NIP. 197405082014121002</v>
      </c>
      <c r="D424" s="28"/>
      <c r="E424" s="28"/>
      <c r="F424" s="28"/>
      <c r="G424" s="28"/>
      <c r="H424" s="28"/>
      <c r="I424" s="28"/>
      <c r="J424" s="28"/>
      <c r="K424" s="8"/>
      <c r="L424" s="8"/>
      <c r="O424" s="27" t="s">
        <v>77</v>
      </c>
    </row>
  </sheetData>
  <mergeCells count="228">
    <mergeCell ref="N9:N10"/>
    <mergeCell ref="O9:P10"/>
    <mergeCell ref="O11:O12"/>
    <mergeCell ref="P11:P12"/>
    <mergeCell ref="O13:O14"/>
    <mergeCell ref="P13:P14"/>
    <mergeCell ref="A1:P1"/>
    <mergeCell ref="A2:P2"/>
    <mergeCell ref="A9:A10"/>
    <mergeCell ref="B9:C10"/>
    <mergeCell ref="D9:D10"/>
    <mergeCell ref="E9:H9"/>
    <mergeCell ref="I9:I10"/>
    <mergeCell ref="J9:J10"/>
    <mergeCell ref="K9:L10"/>
    <mergeCell ref="M9:M10"/>
    <mergeCell ref="O15:O16"/>
    <mergeCell ref="P15:P16"/>
    <mergeCell ref="A17:G17"/>
    <mergeCell ref="A37:P37"/>
    <mergeCell ref="A38:P38"/>
    <mergeCell ref="A45:A46"/>
    <mergeCell ref="B45:C46"/>
    <mergeCell ref="D45:D46"/>
    <mergeCell ref="E45:H45"/>
    <mergeCell ref="I45:I46"/>
    <mergeCell ref="O49:O50"/>
    <mergeCell ref="P49:P50"/>
    <mergeCell ref="O51:O52"/>
    <mergeCell ref="P51:P52"/>
    <mergeCell ref="A53:G53"/>
    <mergeCell ref="A73:P73"/>
    <mergeCell ref="J45:J46"/>
    <mergeCell ref="K45:L46"/>
    <mergeCell ref="M45:M46"/>
    <mergeCell ref="N45:N46"/>
    <mergeCell ref="O45:P46"/>
    <mergeCell ref="O47:O48"/>
    <mergeCell ref="P47:P48"/>
    <mergeCell ref="O81:P82"/>
    <mergeCell ref="O83:O84"/>
    <mergeCell ref="P83:P84"/>
    <mergeCell ref="O85:O86"/>
    <mergeCell ref="P85:P86"/>
    <mergeCell ref="O87:O88"/>
    <mergeCell ref="P87:P88"/>
    <mergeCell ref="A74:P74"/>
    <mergeCell ref="A81:A82"/>
    <mergeCell ref="B81:C82"/>
    <mergeCell ref="D81:D82"/>
    <mergeCell ref="E81:H81"/>
    <mergeCell ref="I81:I82"/>
    <mergeCell ref="J81:J82"/>
    <mergeCell ref="K81:L82"/>
    <mergeCell ref="M81:M82"/>
    <mergeCell ref="N81:N82"/>
    <mergeCell ref="M117:M118"/>
    <mergeCell ref="N117:N118"/>
    <mergeCell ref="O117:P118"/>
    <mergeCell ref="O119:O120"/>
    <mergeCell ref="P119:P120"/>
    <mergeCell ref="O121:O122"/>
    <mergeCell ref="P121:P122"/>
    <mergeCell ref="A89:G89"/>
    <mergeCell ref="A109:P109"/>
    <mergeCell ref="A110:P110"/>
    <mergeCell ref="A117:A118"/>
    <mergeCell ref="B117:C118"/>
    <mergeCell ref="D117:D118"/>
    <mergeCell ref="E117:H117"/>
    <mergeCell ref="I117:I118"/>
    <mergeCell ref="J117:J118"/>
    <mergeCell ref="K117:L118"/>
    <mergeCell ref="O123:O124"/>
    <mergeCell ref="P123:P124"/>
    <mergeCell ref="A125:G125"/>
    <mergeCell ref="A145:P145"/>
    <mergeCell ref="A146:P146"/>
    <mergeCell ref="A153:A154"/>
    <mergeCell ref="B153:C154"/>
    <mergeCell ref="D153:D154"/>
    <mergeCell ref="E153:H153"/>
    <mergeCell ref="I153:I154"/>
    <mergeCell ref="O157:O158"/>
    <mergeCell ref="P157:P158"/>
    <mergeCell ref="O159:O160"/>
    <mergeCell ref="P159:P160"/>
    <mergeCell ref="A161:G161"/>
    <mergeCell ref="A181:P181"/>
    <mergeCell ref="J153:J154"/>
    <mergeCell ref="K153:L154"/>
    <mergeCell ref="M153:M154"/>
    <mergeCell ref="N153:N154"/>
    <mergeCell ref="O153:P154"/>
    <mergeCell ref="O155:O156"/>
    <mergeCell ref="P155:P156"/>
    <mergeCell ref="O189:P190"/>
    <mergeCell ref="O191:O192"/>
    <mergeCell ref="P191:P192"/>
    <mergeCell ref="O193:O194"/>
    <mergeCell ref="P193:P194"/>
    <mergeCell ref="O195:O196"/>
    <mergeCell ref="P195:P196"/>
    <mergeCell ref="A182:P182"/>
    <mergeCell ref="A189:A190"/>
    <mergeCell ref="B189:C190"/>
    <mergeCell ref="D189:D190"/>
    <mergeCell ref="E189:H189"/>
    <mergeCell ref="I189:I190"/>
    <mergeCell ref="J189:J190"/>
    <mergeCell ref="K189:L190"/>
    <mergeCell ref="M189:M190"/>
    <mergeCell ref="N189:N190"/>
    <mergeCell ref="M225:M226"/>
    <mergeCell ref="N225:N226"/>
    <mergeCell ref="O225:P226"/>
    <mergeCell ref="O227:O228"/>
    <mergeCell ref="P227:P228"/>
    <mergeCell ref="O229:O230"/>
    <mergeCell ref="P229:P230"/>
    <mergeCell ref="A197:G197"/>
    <mergeCell ref="A217:P217"/>
    <mergeCell ref="A218:P218"/>
    <mergeCell ref="A225:A226"/>
    <mergeCell ref="B225:C226"/>
    <mergeCell ref="D225:D226"/>
    <mergeCell ref="E225:H225"/>
    <mergeCell ref="I225:I226"/>
    <mergeCell ref="J225:J226"/>
    <mergeCell ref="K225:L226"/>
    <mergeCell ref="O231:O232"/>
    <mergeCell ref="P231:P232"/>
    <mergeCell ref="A233:G233"/>
    <mergeCell ref="A253:P253"/>
    <mergeCell ref="A254:P254"/>
    <mergeCell ref="A261:A262"/>
    <mergeCell ref="B261:C262"/>
    <mergeCell ref="D261:D262"/>
    <mergeCell ref="E261:H261"/>
    <mergeCell ref="I261:I262"/>
    <mergeCell ref="O265:O266"/>
    <mergeCell ref="P265:P266"/>
    <mergeCell ref="O267:O268"/>
    <mergeCell ref="P267:P268"/>
    <mergeCell ref="A269:G269"/>
    <mergeCell ref="A289:P289"/>
    <mergeCell ref="J261:J262"/>
    <mergeCell ref="K261:L262"/>
    <mergeCell ref="M261:M262"/>
    <mergeCell ref="N261:N262"/>
    <mergeCell ref="O261:P262"/>
    <mergeCell ref="O263:O264"/>
    <mergeCell ref="P263:P264"/>
    <mergeCell ref="O297:P298"/>
    <mergeCell ref="O299:O300"/>
    <mergeCell ref="P299:P300"/>
    <mergeCell ref="O301:O302"/>
    <mergeCell ref="P301:P302"/>
    <mergeCell ref="O303:O304"/>
    <mergeCell ref="P303:P304"/>
    <mergeCell ref="A290:P290"/>
    <mergeCell ref="A297:A298"/>
    <mergeCell ref="B297:C298"/>
    <mergeCell ref="D297:D298"/>
    <mergeCell ref="E297:H297"/>
    <mergeCell ref="I297:I298"/>
    <mergeCell ref="J297:J298"/>
    <mergeCell ref="K297:L298"/>
    <mergeCell ref="M297:M298"/>
    <mergeCell ref="N297:N298"/>
    <mergeCell ref="M333:M334"/>
    <mergeCell ref="N333:N334"/>
    <mergeCell ref="O333:P334"/>
    <mergeCell ref="O335:O336"/>
    <mergeCell ref="P335:P336"/>
    <mergeCell ref="O337:O338"/>
    <mergeCell ref="P337:P338"/>
    <mergeCell ref="A305:G305"/>
    <mergeCell ref="A325:P325"/>
    <mergeCell ref="A326:P326"/>
    <mergeCell ref="A333:A334"/>
    <mergeCell ref="B333:C334"/>
    <mergeCell ref="D333:D334"/>
    <mergeCell ref="E333:H333"/>
    <mergeCell ref="I333:I334"/>
    <mergeCell ref="J333:J334"/>
    <mergeCell ref="K333:L334"/>
    <mergeCell ref="O339:O340"/>
    <mergeCell ref="P339:P340"/>
    <mergeCell ref="A341:G341"/>
    <mergeCell ref="A361:P361"/>
    <mergeCell ref="A362:P362"/>
    <mergeCell ref="A369:A370"/>
    <mergeCell ref="B369:C370"/>
    <mergeCell ref="D369:D370"/>
    <mergeCell ref="E369:H369"/>
    <mergeCell ref="I369:I370"/>
    <mergeCell ref="O373:O374"/>
    <mergeCell ref="P373:P374"/>
    <mergeCell ref="O375:O376"/>
    <mergeCell ref="P375:P376"/>
    <mergeCell ref="A377:G377"/>
    <mergeCell ref="A397:P397"/>
    <mergeCell ref="J369:J370"/>
    <mergeCell ref="K369:L370"/>
    <mergeCell ref="M369:M370"/>
    <mergeCell ref="N369:N370"/>
    <mergeCell ref="O369:P370"/>
    <mergeCell ref="O371:O372"/>
    <mergeCell ref="P371:P372"/>
    <mergeCell ref="A413:G413"/>
    <mergeCell ref="O405:P406"/>
    <mergeCell ref="O407:O408"/>
    <mergeCell ref="P407:P408"/>
    <mergeCell ref="O409:O410"/>
    <mergeCell ref="P409:P410"/>
    <mergeCell ref="O411:O412"/>
    <mergeCell ref="P411:P412"/>
    <mergeCell ref="A398:P398"/>
    <mergeCell ref="A405:A406"/>
    <mergeCell ref="B405:C406"/>
    <mergeCell ref="D405:D406"/>
    <mergeCell ref="E405:H405"/>
    <mergeCell ref="I405:I406"/>
    <mergeCell ref="J405:J406"/>
    <mergeCell ref="K405:L406"/>
    <mergeCell ref="M405:M406"/>
    <mergeCell ref="N405:N406"/>
  </mergeCells>
  <pageMargins left="0.86614173228346458" right="0.74803149606299213" top="1.06" bottom="0.59055118110236227" header="0.31496062992125984" footer="0.31496062992125984"/>
  <pageSetup paperSize="14" scale="95" fitToHeight="0" orientation="landscape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00B0F0"/>
    <pageSetUpPr fitToPage="1"/>
  </sheetPr>
  <dimension ref="A1:N393"/>
  <sheetViews>
    <sheetView showGridLines="0" topLeftCell="A191" zoomScale="90" zoomScaleNormal="90" zoomScaleSheetLayoutView="80" workbookViewId="0">
      <selection activeCell="J208" sqref="J208"/>
    </sheetView>
  </sheetViews>
  <sheetFormatPr defaultRowHeight="11.5"/>
  <cols>
    <col min="1" max="1" width="4.453125" style="1" customWidth="1"/>
    <col min="2" max="2" width="7.453125" style="1" customWidth="1"/>
    <col min="3" max="3" width="21.81640625" style="1" customWidth="1"/>
    <col min="4" max="4" width="19.1796875" style="1" customWidth="1"/>
    <col min="5" max="5" width="7.81640625" style="1" customWidth="1"/>
    <col min="6" max="6" width="5.54296875" style="1" customWidth="1"/>
    <col min="7" max="7" width="14" style="1" customWidth="1"/>
    <col min="8" max="8" width="11.453125" style="1" customWidth="1"/>
    <col min="9" max="9" width="17" style="1" customWidth="1"/>
    <col min="10" max="10" width="15.453125" style="1" customWidth="1"/>
    <col min="11" max="11" width="16" style="1" customWidth="1"/>
    <col min="12" max="12" width="5.54296875" style="1" customWidth="1"/>
    <col min="13" max="13" width="15.26953125" style="1" customWidth="1"/>
    <col min="14" max="14" width="35.26953125" style="2" customWidth="1"/>
    <col min="15" max="15" width="10.26953125" style="1" customWidth="1"/>
    <col min="16" max="16" width="12.54296875" style="1" customWidth="1"/>
    <col min="17" max="17" width="16" style="1" customWidth="1"/>
    <col min="18" max="18" width="16.54296875" style="1" customWidth="1"/>
    <col min="19" max="19" width="21.81640625" style="1" customWidth="1"/>
    <col min="20" max="250" width="9.1796875" style="1"/>
    <col min="251" max="251" width="7.81640625" style="1" customWidth="1"/>
    <col min="252" max="252" width="8.54296875" style="1" customWidth="1"/>
    <col min="253" max="253" width="20.1796875" style="1" customWidth="1"/>
    <col min="254" max="254" width="16.453125" style="1" customWidth="1"/>
    <col min="255" max="255" width="22.26953125" style="1" customWidth="1"/>
    <col min="256" max="256" width="17.81640625" style="1" customWidth="1"/>
    <col min="257" max="257" width="22.81640625" style="1" customWidth="1"/>
    <col min="258" max="258" width="25.453125" style="1" customWidth="1"/>
    <col min="259" max="260" width="6.7265625" style="1" customWidth="1"/>
    <col min="261" max="261" width="26.453125" style="1" customWidth="1"/>
    <col min="262" max="262" width="18.54296875" style="1" customWidth="1"/>
    <col min="263" max="263" width="29.81640625" style="1" customWidth="1"/>
    <col min="264" max="264" width="23.54296875" style="1" customWidth="1"/>
    <col min="265" max="265" width="31.453125" style="1" customWidth="1"/>
    <col min="266" max="506" width="9.1796875" style="1"/>
    <col min="507" max="507" width="7.81640625" style="1" customWidth="1"/>
    <col min="508" max="508" width="8.54296875" style="1" customWidth="1"/>
    <col min="509" max="509" width="20.1796875" style="1" customWidth="1"/>
    <col min="510" max="510" width="16.453125" style="1" customWidth="1"/>
    <col min="511" max="511" width="22.26953125" style="1" customWidth="1"/>
    <col min="512" max="512" width="17.81640625" style="1" customWidth="1"/>
    <col min="513" max="513" width="22.81640625" style="1" customWidth="1"/>
    <col min="514" max="514" width="25.453125" style="1" customWidth="1"/>
    <col min="515" max="516" width="6.7265625" style="1" customWidth="1"/>
    <col min="517" max="517" width="26.453125" style="1" customWidth="1"/>
    <col min="518" max="518" width="18.54296875" style="1" customWidth="1"/>
    <col min="519" max="519" width="29.81640625" style="1" customWidth="1"/>
    <col min="520" max="520" width="23.54296875" style="1" customWidth="1"/>
    <col min="521" max="521" width="31.453125" style="1" customWidth="1"/>
    <col min="522" max="762" width="9.1796875" style="1"/>
    <col min="763" max="763" width="7.81640625" style="1" customWidth="1"/>
    <col min="764" max="764" width="8.54296875" style="1" customWidth="1"/>
    <col min="765" max="765" width="20.1796875" style="1" customWidth="1"/>
    <col min="766" max="766" width="16.453125" style="1" customWidth="1"/>
    <col min="767" max="767" width="22.26953125" style="1" customWidth="1"/>
    <col min="768" max="768" width="17.81640625" style="1" customWidth="1"/>
    <col min="769" max="769" width="22.81640625" style="1" customWidth="1"/>
    <col min="770" max="770" width="25.453125" style="1" customWidth="1"/>
    <col min="771" max="772" width="6.7265625" style="1" customWidth="1"/>
    <col min="773" max="773" width="26.453125" style="1" customWidth="1"/>
    <col min="774" max="774" width="18.54296875" style="1" customWidth="1"/>
    <col min="775" max="775" width="29.81640625" style="1" customWidth="1"/>
    <col min="776" max="776" width="23.54296875" style="1" customWidth="1"/>
    <col min="777" max="777" width="31.453125" style="1" customWidth="1"/>
    <col min="778" max="1018" width="9.1796875" style="1"/>
    <col min="1019" max="1019" width="7.81640625" style="1" customWidth="1"/>
    <col min="1020" max="1020" width="8.54296875" style="1" customWidth="1"/>
    <col min="1021" max="1021" width="20.1796875" style="1" customWidth="1"/>
    <col min="1022" max="1022" width="16.453125" style="1" customWidth="1"/>
    <col min="1023" max="1023" width="22.26953125" style="1" customWidth="1"/>
    <col min="1024" max="1024" width="17.81640625" style="1" customWidth="1"/>
    <col min="1025" max="1025" width="22.81640625" style="1" customWidth="1"/>
    <col min="1026" max="1026" width="25.453125" style="1" customWidth="1"/>
    <col min="1027" max="1028" width="6.7265625" style="1" customWidth="1"/>
    <col min="1029" max="1029" width="26.453125" style="1" customWidth="1"/>
    <col min="1030" max="1030" width="18.54296875" style="1" customWidth="1"/>
    <col min="1031" max="1031" width="29.81640625" style="1" customWidth="1"/>
    <col min="1032" max="1032" width="23.54296875" style="1" customWidth="1"/>
    <col min="1033" max="1033" width="31.453125" style="1" customWidth="1"/>
    <col min="1034" max="1274" width="9.1796875" style="1"/>
    <col min="1275" max="1275" width="7.81640625" style="1" customWidth="1"/>
    <col min="1276" max="1276" width="8.54296875" style="1" customWidth="1"/>
    <col min="1277" max="1277" width="20.1796875" style="1" customWidth="1"/>
    <col min="1278" max="1278" width="16.453125" style="1" customWidth="1"/>
    <col min="1279" max="1279" width="22.26953125" style="1" customWidth="1"/>
    <col min="1280" max="1280" width="17.81640625" style="1" customWidth="1"/>
    <col min="1281" max="1281" width="22.81640625" style="1" customWidth="1"/>
    <col min="1282" max="1282" width="25.453125" style="1" customWidth="1"/>
    <col min="1283" max="1284" width="6.7265625" style="1" customWidth="1"/>
    <col min="1285" max="1285" width="26.453125" style="1" customWidth="1"/>
    <col min="1286" max="1286" width="18.54296875" style="1" customWidth="1"/>
    <col min="1287" max="1287" width="29.81640625" style="1" customWidth="1"/>
    <col min="1288" max="1288" width="23.54296875" style="1" customWidth="1"/>
    <col min="1289" max="1289" width="31.453125" style="1" customWidth="1"/>
    <col min="1290" max="1530" width="9.1796875" style="1"/>
    <col min="1531" max="1531" width="7.81640625" style="1" customWidth="1"/>
    <col min="1532" max="1532" width="8.54296875" style="1" customWidth="1"/>
    <col min="1533" max="1533" width="20.1796875" style="1" customWidth="1"/>
    <col min="1534" max="1534" width="16.453125" style="1" customWidth="1"/>
    <col min="1535" max="1535" width="22.26953125" style="1" customWidth="1"/>
    <col min="1536" max="1536" width="17.81640625" style="1" customWidth="1"/>
    <col min="1537" max="1537" width="22.81640625" style="1" customWidth="1"/>
    <col min="1538" max="1538" width="25.453125" style="1" customWidth="1"/>
    <col min="1539" max="1540" width="6.7265625" style="1" customWidth="1"/>
    <col min="1541" max="1541" width="26.453125" style="1" customWidth="1"/>
    <col min="1542" max="1542" width="18.54296875" style="1" customWidth="1"/>
    <col min="1543" max="1543" width="29.81640625" style="1" customWidth="1"/>
    <col min="1544" max="1544" width="23.54296875" style="1" customWidth="1"/>
    <col min="1545" max="1545" width="31.453125" style="1" customWidth="1"/>
    <col min="1546" max="1786" width="9.1796875" style="1"/>
    <col min="1787" max="1787" width="7.81640625" style="1" customWidth="1"/>
    <col min="1788" max="1788" width="8.54296875" style="1" customWidth="1"/>
    <col min="1789" max="1789" width="20.1796875" style="1" customWidth="1"/>
    <col min="1790" max="1790" width="16.453125" style="1" customWidth="1"/>
    <col min="1791" max="1791" width="22.26953125" style="1" customWidth="1"/>
    <col min="1792" max="1792" width="17.81640625" style="1" customWidth="1"/>
    <col min="1793" max="1793" width="22.81640625" style="1" customWidth="1"/>
    <col min="1794" max="1794" width="25.453125" style="1" customWidth="1"/>
    <col min="1795" max="1796" width="6.7265625" style="1" customWidth="1"/>
    <col min="1797" max="1797" width="26.453125" style="1" customWidth="1"/>
    <col min="1798" max="1798" width="18.54296875" style="1" customWidth="1"/>
    <col min="1799" max="1799" width="29.81640625" style="1" customWidth="1"/>
    <col min="1800" max="1800" width="23.54296875" style="1" customWidth="1"/>
    <col min="1801" max="1801" width="31.453125" style="1" customWidth="1"/>
    <col min="1802" max="2042" width="9.1796875" style="1"/>
    <col min="2043" max="2043" width="7.81640625" style="1" customWidth="1"/>
    <col min="2044" max="2044" width="8.54296875" style="1" customWidth="1"/>
    <col min="2045" max="2045" width="20.1796875" style="1" customWidth="1"/>
    <col min="2046" max="2046" width="16.453125" style="1" customWidth="1"/>
    <col min="2047" max="2047" width="22.26953125" style="1" customWidth="1"/>
    <col min="2048" max="2048" width="17.81640625" style="1" customWidth="1"/>
    <col min="2049" max="2049" width="22.81640625" style="1" customWidth="1"/>
    <col min="2050" max="2050" width="25.453125" style="1" customWidth="1"/>
    <col min="2051" max="2052" width="6.7265625" style="1" customWidth="1"/>
    <col min="2053" max="2053" width="26.453125" style="1" customWidth="1"/>
    <col min="2054" max="2054" width="18.54296875" style="1" customWidth="1"/>
    <col min="2055" max="2055" width="29.81640625" style="1" customWidth="1"/>
    <col min="2056" max="2056" width="23.54296875" style="1" customWidth="1"/>
    <col min="2057" max="2057" width="31.453125" style="1" customWidth="1"/>
    <col min="2058" max="2298" width="9.1796875" style="1"/>
    <col min="2299" max="2299" width="7.81640625" style="1" customWidth="1"/>
    <col min="2300" max="2300" width="8.54296875" style="1" customWidth="1"/>
    <col min="2301" max="2301" width="20.1796875" style="1" customWidth="1"/>
    <col min="2302" max="2302" width="16.453125" style="1" customWidth="1"/>
    <col min="2303" max="2303" width="22.26953125" style="1" customWidth="1"/>
    <col min="2304" max="2304" width="17.81640625" style="1" customWidth="1"/>
    <col min="2305" max="2305" width="22.81640625" style="1" customWidth="1"/>
    <col min="2306" max="2306" width="25.453125" style="1" customWidth="1"/>
    <col min="2307" max="2308" width="6.7265625" style="1" customWidth="1"/>
    <col min="2309" max="2309" width="26.453125" style="1" customWidth="1"/>
    <col min="2310" max="2310" width="18.54296875" style="1" customWidth="1"/>
    <col min="2311" max="2311" width="29.81640625" style="1" customWidth="1"/>
    <col min="2312" max="2312" width="23.54296875" style="1" customWidth="1"/>
    <col min="2313" max="2313" width="31.453125" style="1" customWidth="1"/>
    <col min="2314" max="2554" width="9.1796875" style="1"/>
    <col min="2555" max="2555" width="7.81640625" style="1" customWidth="1"/>
    <col min="2556" max="2556" width="8.54296875" style="1" customWidth="1"/>
    <col min="2557" max="2557" width="20.1796875" style="1" customWidth="1"/>
    <col min="2558" max="2558" width="16.453125" style="1" customWidth="1"/>
    <col min="2559" max="2559" width="22.26953125" style="1" customWidth="1"/>
    <col min="2560" max="2560" width="17.81640625" style="1" customWidth="1"/>
    <col min="2561" max="2561" width="22.81640625" style="1" customWidth="1"/>
    <col min="2562" max="2562" width="25.453125" style="1" customWidth="1"/>
    <col min="2563" max="2564" width="6.7265625" style="1" customWidth="1"/>
    <col min="2565" max="2565" width="26.453125" style="1" customWidth="1"/>
    <col min="2566" max="2566" width="18.54296875" style="1" customWidth="1"/>
    <col min="2567" max="2567" width="29.81640625" style="1" customWidth="1"/>
    <col min="2568" max="2568" width="23.54296875" style="1" customWidth="1"/>
    <col min="2569" max="2569" width="31.453125" style="1" customWidth="1"/>
    <col min="2570" max="2810" width="9.1796875" style="1"/>
    <col min="2811" max="2811" width="7.81640625" style="1" customWidth="1"/>
    <col min="2812" max="2812" width="8.54296875" style="1" customWidth="1"/>
    <col min="2813" max="2813" width="20.1796875" style="1" customWidth="1"/>
    <col min="2814" max="2814" width="16.453125" style="1" customWidth="1"/>
    <col min="2815" max="2815" width="22.26953125" style="1" customWidth="1"/>
    <col min="2816" max="2816" width="17.81640625" style="1" customWidth="1"/>
    <col min="2817" max="2817" width="22.81640625" style="1" customWidth="1"/>
    <col min="2818" max="2818" width="25.453125" style="1" customWidth="1"/>
    <col min="2819" max="2820" width="6.7265625" style="1" customWidth="1"/>
    <col min="2821" max="2821" width="26.453125" style="1" customWidth="1"/>
    <col min="2822" max="2822" width="18.54296875" style="1" customWidth="1"/>
    <col min="2823" max="2823" width="29.81640625" style="1" customWidth="1"/>
    <col min="2824" max="2824" width="23.54296875" style="1" customWidth="1"/>
    <col min="2825" max="2825" width="31.453125" style="1" customWidth="1"/>
    <col min="2826" max="3066" width="9.1796875" style="1"/>
    <col min="3067" max="3067" width="7.81640625" style="1" customWidth="1"/>
    <col min="3068" max="3068" width="8.54296875" style="1" customWidth="1"/>
    <col min="3069" max="3069" width="20.1796875" style="1" customWidth="1"/>
    <col min="3070" max="3070" width="16.453125" style="1" customWidth="1"/>
    <col min="3071" max="3071" width="22.26953125" style="1" customWidth="1"/>
    <col min="3072" max="3072" width="17.81640625" style="1" customWidth="1"/>
    <col min="3073" max="3073" width="22.81640625" style="1" customWidth="1"/>
    <col min="3074" max="3074" width="25.453125" style="1" customWidth="1"/>
    <col min="3075" max="3076" width="6.7265625" style="1" customWidth="1"/>
    <col min="3077" max="3077" width="26.453125" style="1" customWidth="1"/>
    <col min="3078" max="3078" width="18.54296875" style="1" customWidth="1"/>
    <col min="3079" max="3079" width="29.81640625" style="1" customWidth="1"/>
    <col min="3080" max="3080" width="23.54296875" style="1" customWidth="1"/>
    <col min="3081" max="3081" width="31.453125" style="1" customWidth="1"/>
    <col min="3082" max="3322" width="9.1796875" style="1"/>
    <col min="3323" max="3323" width="7.81640625" style="1" customWidth="1"/>
    <col min="3324" max="3324" width="8.54296875" style="1" customWidth="1"/>
    <col min="3325" max="3325" width="20.1796875" style="1" customWidth="1"/>
    <col min="3326" max="3326" width="16.453125" style="1" customWidth="1"/>
    <col min="3327" max="3327" width="22.26953125" style="1" customWidth="1"/>
    <col min="3328" max="3328" width="17.81640625" style="1" customWidth="1"/>
    <col min="3329" max="3329" width="22.81640625" style="1" customWidth="1"/>
    <col min="3330" max="3330" width="25.453125" style="1" customWidth="1"/>
    <col min="3331" max="3332" width="6.7265625" style="1" customWidth="1"/>
    <col min="3333" max="3333" width="26.453125" style="1" customWidth="1"/>
    <col min="3334" max="3334" width="18.54296875" style="1" customWidth="1"/>
    <col min="3335" max="3335" width="29.81640625" style="1" customWidth="1"/>
    <col min="3336" max="3336" width="23.54296875" style="1" customWidth="1"/>
    <col min="3337" max="3337" width="31.453125" style="1" customWidth="1"/>
    <col min="3338" max="3578" width="9.1796875" style="1"/>
    <col min="3579" max="3579" width="7.81640625" style="1" customWidth="1"/>
    <col min="3580" max="3580" width="8.54296875" style="1" customWidth="1"/>
    <col min="3581" max="3581" width="20.1796875" style="1" customWidth="1"/>
    <col min="3582" max="3582" width="16.453125" style="1" customWidth="1"/>
    <col min="3583" max="3583" width="22.26953125" style="1" customWidth="1"/>
    <col min="3584" max="3584" width="17.81640625" style="1" customWidth="1"/>
    <col min="3585" max="3585" width="22.81640625" style="1" customWidth="1"/>
    <col min="3586" max="3586" width="25.453125" style="1" customWidth="1"/>
    <col min="3587" max="3588" width="6.7265625" style="1" customWidth="1"/>
    <col min="3589" max="3589" width="26.453125" style="1" customWidth="1"/>
    <col min="3590" max="3590" width="18.54296875" style="1" customWidth="1"/>
    <col min="3591" max="3591" width="29.81640625" style="1" customWidth="1"/>
    <col min="3592" max="3592" width="23.54296875" style="1" customWidth="1"/>
    <col min="3593" max="3593" width="31.453125" style="1" customWidth="1"/>
    <col min="3594" max="3834" width="9.1796875" style="1"/>
    <col min="3835" max="3835" width="7.81640625" style="1" customWidth="1"/>
    <col min="3836" max="3836" width="8.54296875" style="1" customWidth="1"/>
    <col min="3837" max="3837" width="20.1796875" style="1" customWidth="1"/>
    <col min="3838" max="3838" width="16.453125" style="1" customWidth="1"/>
    <col min="3839" max="3839" width="22.26953125" style="1" customWidth="1"/>
    <col min="3840" max="3840" width="17.81640625" style="1" customWidth="1"/>
    <col min="3841" max="3841" width="22.81640625" style="1" customWidth="1"/>
    <col min="3842" max="3842" width="25.453125" style="1" customWidth="1"/>
    <col min="3843" max="3844" width="6.7265625" style="1" customWidth="1"/>
    <col min="3845" max="3845" width="26.453125" style="1" customWidth="1"/>
    <col min="3846" max="3846" width="18.54296875" style="1" customWidth="1"/>
    <col min="3847" max="3847" width="29.81640625" style="1" customWidth="1"/>
    <col min="3848" max="3848" width="23.54296875" style="1" customWidth="1"/>
    <col min="3849" max="3849" width="31.453125" style="1" customWidth="1"/>
    <col min="3850" max="4090" width="9.1796875" style="1"/>
    <col min="4091" max="4091" width="7.81640625" style="1" customWidth="1"/>
    <col min="4092" max="4092" width="8.54296875" style="1" customWidth="1"/>
    <col min="4093" max="4093" width="20.1796875" style="1" customWidth="1"/>
    <col min="4094" max="4094" width="16.453125" style="1" customWidth="1"/>
    <col min="4095" max="4095" width="22.26953125" style="1" customWidth="1"/>
    <col min="4096" max="4096" width="17.81640625" style="1" customWidth="1"/>
    <col min="4097" max="4097" width="22.81640625" style="1" customWidth="1"/>
    <col min="4098" max="4098" width="25.453125" style="1" customWidth="1"/>
    <col min="4099" max="4100" width="6.7265625" style="1" customWidth="1"/>
    <col min="4101" max="4101" width="26.453125" style="1" customWidth="1"/>
    <col min="4102" max="4102" width="18.54296875" style="1" customWidth="1"/>
    <col min="4103" max="4103" width="29.81640625" style="1" customWidth="1"/>
    <col min="4104" max="4104" width="23.54296875" style="1" customWidth="1"/>
    <col min="4105" max="4105" width="31.453125" style="1" customWidth="1"/>
    <col min="4106" max="4346" width="9.1796875" style="1"/>
    <col min="4347" max="4347" width="7.81640625" style="1" customWidth="1"/>
    <col min="4348" max="4348" width="8.54296875" style="1" customWidth="1"/>
    <col min="4349" max="4349" width="20.1796875" style="1" customWidth="1"/>
    <col min="4350" max="4350" width="16.453125" style="1" customWidth="1"/>
    <col min="4351" max="4351" width="22.26953125" style="1" customWidth="1"/>
    <col min="4352" max="4352" width="17.81640625" style="1" customWidth="1"/>
    <col min="4353" max="4353" width="22.81640625" style="1" customWidth="1"/>
    <col min="4354" max="4354" width="25.453125" style="1" customWidth="1"/>
    <col min="4355" max="4356" width="6.7265625" style="1" customWidth="1"/>
    <col min="4357" max="4357" width="26.453125" style="1" customWidth="1"/>
    <col min="4358" max="4358" width="18.54296875" style="1" customWidth="1"/>
    <col min="4359" max="4359" width="29.81640625" style="1" customWidth="1"/>
    <col min="4360" max="4360" width="23.54296875" style="1" customWidth="1"/>
    <col min="4361" max="4361" width="31.453125" style="1" customWidth="1"/>
    <col min="4362" max="4602" width="9.1796875" style="1"/>
    <col min="4603" max="4603" width="7.81640625" style="1" customWidth="1"/>
    <col min="4604" max="4604" width="8.54296875" style="1" customWidth="1"/>
    <col min="4605" max="4605" width="20.1796875" style="1" customWidth="1"/>
    <col min="4606" max="4606" width="16.453125" style="1" customWidth="1"/>
    <col min="4607" max="4607" width="22.26953125" style="1" customWidth="1"/>
    <col min="4608" max="4608" width="17.81640625" style="1" customWidth="1"/>
    <col min="4609" max="4609" width="22.81640625" style="1" customWidth="1"/>
    <col min="4610" max="4610" width="25.453125" style="1" customWidth="1"/>
    <col min="4611" max="4612" width="6.7265625" style="1" customWidth="1"/>
    <col min="4613" max="4613" width="26.453125" style="1" customWidth="1"/>
    <col min="4614" max="4614" width="18.54296875" style="1" customWidth="1"/>
    <col min="4615" max="4615" width="29.81640625" style="1" customWidth="1"/>
    <col min="4616" max="4616" width="23.54296875" style="1" customWidth="1"/>
    <col min="4617" max="4617" width="31.453125" style="1" customWidth="1"/>
    <col min="4618" max="4858" width="9.1796875" style="1"/>
    <col min="4859" max="4859" width="7.81640625" style="1" customWidth="1"/>
    <col min="4860" max="4860" width="8.54296875" style="1" customWidth="1"/>
    <col min="4861" max="4861" width="20.1796875" style="1" customWidth="1"/>
    <col min="4862" max="4862" width="16.453125" style="1" customWidth="1"/>
    <col min="4863" max="4863" width="22.26953125" style="1" customWidth="1"/>
    <col min="4864" max="4864" width="17.81640625" style="1" customWidth="1"/>
    <col min="4865" max="4865" width="22.81640625" style="1" customWidth="1"/>
    <col min="4866" max="4866" width="25.453125" style="1" customWidth="1"/>
    <col min="4867" max="4868" width="6.7265625" style="1" customWidth="1"/>
    <col min="4869" max="4869" width="26.453125" style="1" customWidth="1"/>
    <col min="4870" max="4870" width="18.54296875" style="1" customWidth="1"/>
    <col min="4871" max="4871" width="29.81640625" style="1" customWidth="1"/>
    <col min="4872" max="4872" width="23.54296875" style="1" customWidth="1"/>
    <col min="4873" max="4873" width="31.453125" style="1" customWidth="1"/>
    <col min="4874" max="5114" width="9.1796875" style="1"/>
    <col min="5115" max="5115" width="7.81640625" style="1" customWidth="1"/>
    <col min="5116" max="5116" width="8.54296875" style="1" customWidth="1"/>
    <col min="5117" max="5117" width="20.1796875" style="1" customWidth="1"/>
    <col min="5118" max="5118" width="16.453125" style="1" customWidth="1"/>
    <col min="5119" max="5119" width="22.26953125" style="1" customWidth="1"/>
    <col min="5120" max="5120" width="17.81640625" style="1" customWidth="1"/>
    <col min="5121" max="5121" width="22.81640625" style="1" customWidth="1"/>
    <col min="5122" max="5122" width="25.453125" style="1" customWidth="1"/>
    <col min="5123" max="5124" width="6.7265625" style="1" customWidth="1"/>
    <col min="5125" max="5125" width="26.453125" style="1" customWidth="1"/>
    <col min="5126" max="5126" width="18.54296875" style="1" customWidth="1"/>
    <col min="5127" max="5127" width="29.81640625" style="1" customWidth="1"/>
    <col min="5128" max="5128" width="23.54296875" style="1" customWidth="1"/>
    <col min="5129" max="5129" width="31.453125" style="1" customWidth="1"/>
    <col min="5130" max="5370" width="9.1796875" style="1"/>
    <col min="5371" max="5371" width="7.81640625" style="1" customWidth="1"/>
    <col min="5372" max="5372" width="8.54296875" style="1" customWidth="1"/>
    <col min="5373" max="5373" width="20.1796875" style="1" customWidth="1"/>
    <col min="5374" max="5374" width="16.453125" style="1" customWidth="1"/>
    <col min="5375" max="5375" width="22.26953125" style="1" customWidth="1"/>
    <col min="5376" max="5376" width="17.81640625" style="1" customWidth="1"/>
    <col min="5377" max="5377" width="22.81640625" style="1" customWidth="1"/>
    <col min="5378" max="5378" width="25.453125" style="1" customWidth="1"/>
    <col min="5379" max="5380" width="6.7265625" style="1" customWidth="1"/>
    <col min="5381" max="5381" width="26.453125" style="1" customWidth="1"/>
    <col min="5382" max="5382" width="18.54296875" style="1" customWidth="1"/>
    <col min="5383" max="5383" width="29.81640625" style="1" customWidth="1"/>
    <col min="5384" max="5384" width="23.54296875" style="1" customWidth="1"/>
    <col min="5385" max="5385" width="31.453125" style="1" customWidth="1"/>
    <col min="5386" max="5626" width="9.1796875" style="1"/>
    <col min="5627" max="5627" width="7.81640625" style="1" customWidth="1"/>
    <col min="5628" max="5628" width="8.54296875" style="1" customWidth="1"/>
    <col min="5629" max="5629" width="20.1796875" style="1" customWidth="1"/>
    <col min="5630" max="5630" width="16.453125" style="1" customWidth="1"/>
    <col min="5631" max="5631" width="22.26953125" style="1" customWidth="1"/>
    <col min="5632" max="5632" width="17.81640625" style="1" customWidth="1"/>
    <col min="5633" max="5633" width="22.81640625" style="1" customWidth="1"/>
    <col min="5634" max="5634" width="25.453125" style="1" customWidth="1"/>
    <col min="5635" max="5636" width="6.7265625" style="1" customWidth="1"/>
    <col min="5637" max="5637" width="26.453125" style="1" customWidth="1"/>
    <col min="5638" max="5638" width="18.54296875" style="1" customWidth="1"/>
    <col min="5639" max="5639" width="29.81640625" style="1" customWidth="1"/>
    <col min="5640" max="5640" width="23.54296875" style="1" customWidth="1"/>
    <col min="5641" max="5641" width="31.453125" style="1" customWidth="1"/>
    <col min="5642" max="5882" width="9.1796875" style="1"/>
    <col min="5883" max="5883" width="7.81640625" style="1" customWidth="1"/>
    <col min="5884" max="5884" width="8.54296875" style="1" customWidth="1"/>
    <col min="5885" max="5885" width="20.1796875" style="1" customWidth="1"/>
    <col min="5886" max="5886" width="16.453125" style="1" customWidth="1"/>
    <col min="5887" max="5887" width="22.26953125" style="1" customWidth="1"/>
    <col min="5888" max="5888" width="17.81640625" style="1" customWidth="1"/>
    <col min="5889" max="5889" width="22.81640625" style="1" customWidth="1"/>
    <col min="5890" max="5890" width="25.453125" style="1" customWidth="1"/>
    <col min="5891" max="5892" width="6.7265625" style="1" customWidth="1"/>
    <col min="5893" max="5893" width="26.453125" style="1" customWidth="1"/>
    <col min="5894" max="5894" width="18.54296875" style="1" customWidth="1"/>
    <col min="5895" max="5895" width="29.81640625" style="1" customWidth="1"/>
    <col min="5896" max="5896" width="23.54296875" style="1" customWidth="1"/>
    <col min="5897" max="5897" width="31.453125" style="1" customWidth="1"/>
    <col min="5898" max="6138" width="9.1796875" style="1"/>
    <col min="6139" max="6139" width="7.81640625" style="1" customWidth="1"/>
    <col min="6140" max="6140" width="8.54296875" style="1" customWidth="1"/>
    <col min="6141" max="6141" width="20.1796875" style="1" customWidth="1"/>
    <col min="6142" max="6142" width="16.453125" style="1" customWidth="1"/>
    <col min="6143" max="6143" width="22.26953125" style="1" customWidth="1"/>
    <col min="6144" max="6144" width="17.81640625" style="1" customWidth="1"/>
    <col min="6145" max="6145" width="22.81640625" style="1" customWidth="1"/>
    <col min="6146" max="6146" width="25.453125" style="1" customWidth="1"/>
    <col min="6147" max="6148" width="6.7265625" style="1" customWidth="1"/>
    <col min="6149" max="6149" width="26.453125" style="1" customWidth="1"/>
    <col min="6150" max="6150" width="18.54296875" style="1" customWidth="1"/>
    <col min="6151" max="6151" width="29.81640625" style="1" customWidth="1"/>
    <col min="6152" max="6152" width="23.54296875" style="1" customWidth="1"/>
    <col min="6153" max="6153" width="31.453125" style="1" customWidth="1"/>
    <col min="6154" max="6394" width="9.1796875" style="1"/>
    <col min="6395" max="6395" width="7.81640625" style="1" customWidth="1"/>
    <col min="6396" max="6396" width="8.54296875" style="1" customWidth="1"/>
    <col min="6397" max="6397" width="20.1796875" style="1" customWidth="1"/>
    <col min="6398" max="6398" width="16.453125" style="1" customWidth="1"/>
    <col min="6399" max="6399" width="22.26953125" style="1" customWidth="1"/>
    <col min="6400" max="6400" width="17.81640625" style="1" customWidth="1"/>
    <col min="6401" max="6401" width="22.81640625" style="1" customWidth="1"/>
    <col min="6402" max="6402" width="25.453125" style="1" customWidth="1"/>
    <col min="6403" max="6404" width="6.7265625" style="1" customWidth="1"/>
    <col min="6405" max="6405" width="26.453125" style="1" customWidth="1"/>
    <col min="6406" max="6406" width="18.54296875" style="1" customWidth="1"/>
    <col min="6407" max="6407" width="29.81640625" style="1" customWidth="1"/>
    <col min="6408" max="6408" width="23.54296875" style="1" customWidth="1"/>
    <col min="6409" max="6409" width="31.453125" style="1" customWidth="1"/>
    <col min="6410" max="6650" width="9.1796875" style="1"/>
    <col min="6651" max="6651" width="7.81640625" style="1" customWidth="1"/>
    <col min="6652" max="6652" width="8.54296875" style="1" customWidth="1"/>
    <col min="6653" max="6653" width="20.1796875" style="1" customWidth="1"/>
    <col min="6654" max="6654" width="16.453125" style="1" customWidth="1"/>
    <col min="6655" max="6655" width="22.26953125" style="1" customWidth="1"/>
    <col min="6656" max="6656" width="17.81640625" style="1" customWidth="1"/>
    <col min="6657" max="6657" width="22.81640625" style="1" customWidth="1"/>
    <col min="6658" max="6658" width="25.453125" style="1" customWidth="1"/>
    <col min="6659" max="6660" width="6.7265625" style="1" customWidth="1"/>
    <col min="6661" max="6661" width="26.453125" style="1" customWidth="1"/>
    <col min="6662" max="6662" width="18.54296875" style="1" customWidth="1"/>
    <col min="6663" max="6663" width="29.81640625" style="1" customWidth="1"/>
    <col min="6664" max="6664" width="23.54296875" style="1" customWidth="1"/>
    <col min="6665" max="6665" width="31.453125" style="1" customWidth="1"/>
    <col min="6666" max="6906" width="9.1796875" style="1"/>
    <col min="6907" max="6907" width="7.81640625" style="1" customWidth="1"/>
    <col min="6908" max="6908" width="8.54296875" style="1" customWidth="1"/>
    <col min="6909" max="6909" width="20.1796875" style="1" customWidth="1"/>
    <col min="6910" max="6910" width="16.453125" style="1" customWidth="1"/>
    <col min="6911" max="6911" width="22.26953125" style="1" customWidth="1"/>
    <col min="6912" max="6912" width="17.81640625" style="1" customWidth="1"/>
    <col min="6913" max="6913" width="22.81640625" style="1" customWidth="1"/>
    <col min="6914" max="6914" width="25.453125" style="1" customWidth="1"/>
    <col min="6915" max="6916" width="6.7265625" style="1" customWidth="1"/>
    <col min="6917" max="6917" width="26.453125" style="1" customWidth="1"/>
    <col min="6918" max="6918" width="18.54296875" style="1" customWidth="1"/>
    <col min="6919" max="6919" width="29.81640625" style="1" customWidth="1"/>
    <col min="6920" max="6920" width="23.54296875" style="1" customWidth="1"/>
    <col min="6921" max="6921" width="31.453125" style="1" customWidth="1"/>
    <col min="6922" max="7162" width="9.1796875" style="1"/>
    <col min="7163" max="7163" width="7.81640625" style="1" customWidth="1"/>
    <col min="7164" max="7164" width="8.54296875" style="1" customWidth="1"/>
    <col min="7165" max="7165" width="20.1796875" style="1" customWidth="1"/>
    <col min="7166" max="7166" width="16.453125" style="1" customWidth="1"/>
    <col min="7167" max="7167" width="22.26953125" style="1" customWidth="1"/>
    <col min="7168" max="7168" width="17.81640625" style="1" customWidth="1"/>
    <col min="7169" max="7169" width="22.81640625" style="1" customWidth="1"/>
    <col min="7170" max="7170" width="25.453125" style="1" customWidth="1"/>
    <col min="7171" max="7172" width="6.7265625" style="1" customWidth="1"/>
    <col min="7173" max="7173" width="26.453125" style="1" customWidth="1"/>
    <col min="7174" max="7174" width="18.54296875" style="1" customWidth="1"/>
    <col min="7175" max="7175" width="29.81640625" style="1" customWidth="1"/>
    <col min="7176" max="7176" width="23.54296875" style="1" customWidth="1"/>
    <col min="7177" max="7177" width="31.453125" style="1" customWidth="1"/>
    <col min="7178" max="7418" width="9.1796875" style="1"/>
    <col min="7419" max="7419" width="7.81640625" style="1" customWidth="1"/>
    <col min="7420" max="7420" width="8.54296875" style="1" customWidth="1"/>
    <col min="7421" max="7421" width="20.1796875" style="1" customWidth="1"/>
    <col min="7422" max="7422" width="16.453125" style="1" customWidth="1"/>
    <col min="7423" max="7423" width="22.26953125" style="1" customWidth="1"/>
    <col min="7424" max="7424" width="17.81640625" style="1" customWidth="1"/>
    <col min="7425" max="7425" width="22.81640625" style="1" customWidth="1"/>
    <col min="7426" max="7426" width="25.453125" style="1" customWidth="1"/>
    <col min="7427" max="7428" width="6.7265625" style="1" customWidth="1"/>
    <col min="7429" max="7429" width="26.453125" style="1" customWidth="1"/>
    <col min="7430" max="7430" width="18.54296875" style="1" customWidth="1"/>
    <col min="7431" max="7431" width="29.81640625" style="1" customWidth="1"/>
    <col min="7432" max="7432" width="23.54296875" style="1" customWidth="1"/>
    <col min="7433" max="7433" width="31.453125" style="1" customWidth="1"/>
    <col min="7434" max="7674" width="9.1796875" style="1"/>
    <col min="7675" max="7675" width="7.81640625" style="1" customWidth="1"/>
    <col min="7676" max="7676" width="8.54296875" style="1" customWidth="1"/>
    <col min="7677" max="7677" width="20.1796875" style="1" customWidth="1"/>
    <col min="7678" max="7678" width="16.453125" style="1" customWidth="1"/>
    <col min="7679" max="7679" width="22.26953125" style="1" customWidth="1"/>
    <col min="7680" max="7680" width="17.81640625" style="1" customWidth="1"/>
    <col min="7681" max="7681" width="22.81640625" style="1" customWidth="1"/>
    <col min="7682" max="7682" width="25.453125" style="1" customWidth="1"/>
    <col min="7683" max="7684" width="6.7265625" style="1" customWidth="1"/>
    <col min="7685" max="7685" width="26.453125" style="1" customWidth="1"/>
    <col min="7686" max="7686" width="18.54296875" style="1" customWidth="1"/>
    <col min="7687" max="7687" width="29.81640625" style="1" customWidth="1"/>
    <col min="7688" max="7688" width="23.54296875" style="1" customWidth="1"/>
    <col min="7689" max="7689" width="31.453125" style="1" customWidth="1"/>
    <col min="7690" max="7930" width="9.1796875" style="1"/>
    <col min="7931" max="7931" width="7.81640625" style="1" customWidth="1"/>
    <col min="7932" max="7932" width="8.54296875" style="1" customWidth="1"/>
    <col min="7933" max="7933" width="20.1796875" style="1" customWidth="1"/>
    <col min="7934" max="7934" width="16.453125" style="1" customWidth="1"/>
    <col min="7935" max="7935" width="22.26953125" style="1" customWidth="1"/>
    <col min="7936" max="7936" width="17.81640625" style="1" customWidth="1"/>
    <col min="7937" max="7937" width="22.81640625" style="1" customWidth="1"/>
    <col min="7938" max="7938" width="25.453125" style="1" customWidth="1"/>
    <col min="7939" max="7940" width="6.7265625" style="1" customWidth="1"/>
    <col min="7941" max="7941" width="26.453125" style="1" customWidth="1"/>
    <col min="7942" max="7942" width="18.54296875" style="1" customWidth="1"/>
    <col min="7943" max="7943" width="29.81640625" style="1" customWidth="1"/>
    <col min="7944" max="7944" width="23.54296875" style="1" customWidth="1"/>
    <col min="7945" max="7945" width="31.453125" style="1" customWidth="1"/>
    <col min="7946" max="8186" width="9.1796875" style="1"/>
    <col min="8187" max="8187" width="7.81640625" style="1" customWidth="1"/>
    <col min="8188" max="8188" width="8.54296875" style="1" customWidth="1"/>
    <col min="8189" max="8189" width="20.1796875" style="1" customWidth="1"/>
    <col min="8190" max="8190" width="16.453125" style="1" customWidth="1"/>
    <col min="8191" max="8191" width="22.26953125" style="1" customWidth="1"/>
    <col min="8192" max="8192" width="17.81640625" style="1" customWidth="1"/>
    <col min="8193" max="8193" width="22.81640625" style="1" customWidth="1"/>
    <col min="8194" max="8194" width="25.453125" style="1" customWidth="1"/>
    <col min="8195" max="8196" width="6.7265625" style="1" customWidth="1"/>
    <col min="8197" max="8197" width="26.453125" style="1" customWidth="1"/>
    <col min="8198" max="8198" width="18.54296875" style="1" customWidth="1"/>
    <col min="8199" max="8199" width="29.81640625" style="1" customWidth="1"/>
    <col min="8200" max="8200" width="23.54296875" style="1" customWidth="1"/>
    <col min="8201" max="8201" width="31.453125" style="1" customWidth="1"/>
    <col min="8202" max="8442" width="9.1796875" style="1"/>
    <col min="8443" max="8443" width="7.81640625" style="1" customWidth="1"/>
    <col min="8444" max="8444" width="8.54296875" style="1" customWidth="1"/>
    <col min="8445" max="8445" width="20.1796875" style="1" customWidth="1"/>
    <col min="8446" max="8446" width="16.453125" style="1" customWidth="1"/>
    <col min="8447" max="8447" width="22.26953125" style="1" customWidth="1"/>
    <col min="8448" max="8448" width="17.81640625" style="1" customWidth="1"/>
    <col min="8449" max="8449" width="22.81640625" style="1" customWidth="1"/>
    <col min="8450" max="8450" width="25.453125" style="1" customWidth="1"/>
    <col min="8451" max="8452" width="6.7265625" style="1" customWidth="1"/>
    <col min="8453" max="8453" width="26.453125" style="1" customWidth="1"/>
    <col min="8454" max="8454" width="18.54296875" style="1" customWidth="1"/>
    <col min="8455" max="8455" width="29.81640625" style="1" customWidth="1"/>
    <col min="8456" max="8456" width="23.54296875" style="1" customWidth="1"/>
    <col min="8457" max="8457" width="31.453125" style="1" customWidth="1"/>
    <col min="8458" max="8698" width="9.1796875" style="1"/>
    <col min="8699" max="8699" width="7.81640625" style="1" customWidth="1"/>
    <col min="8700" max="8700" width="8.54296875" style="1" customWidth="1"/>
    <col min="8701" max="8701" width="20.1796875" style="1" customWidth="1"/>
    <col min="8702" max="8702" width="16.453125" style="1" customWidth="1"/>
    <col min="8703" max="8703" width="22.26953125" style="1" customWidth="1"/>
    <col min="8704" max="8704" width="17.81640625" style="1" customWidth="1"/>
    <col min="8705" max="8705" width="22.81640625" style="1" customWidth="1"/>
    <col min="8706" max="8706" width="25.453125" style="1" customWidth="1"/>
    <col min="8707" max="8708" width="6.7265625" style="1" customWidth="1"/>
    <col min="8709" max="8709" width="26.453125" style="1" customWidth="1"/>
    <col min="8710" max="8710" width="18.54296875" style="1" customWidth="1"/>
    <col min="8711" max="8711" width="29.81640625" style="1" customWidth="1"/>
    <col min="8712" max="8712" width="23.54296875" style="1" customWidth="1"/>
    <col min="8713" max="8713" width="31.453125" style="1" customWidth="1"/>
    <col min="8714" max="8954" width="9.1796875" style="1"/>
    <col min="8955" max="8955" width="7.81640625" style="1" customWidth="1"/>
    <col min="8956" max="8956" width="8.54296875" style="1" customWidth="1"/>
    <col min="8957" max="8957" width="20.1796875" style="1" customWidth="1"/>
    <col min="8958" max="8958" width="16.453125" style="1" customWidth="1"/>
    <col min="8959" max="8959" width="22.26953125" style="1" customWidth="1"/>
    <col min="8960" max="8960" width="17.81640625" style="1" customWidth="1"/>
    <col min="8961" max="8961" width="22.81640625" style="1" customWidth="1"/>
    <col min="8962" max="8962" width="25.453125" style="1" customWidth="1"/>
    <col min="8963" max="8964" width="6.7265625" style="1" customWidth="1"/>
    <col min="8965" max="8965" width="26.453125" style="1" customWidth="1"/>
    <col min="8966" max="8966" width="18.54296875" style="1" customWidth="1"/>
    <col min="8967" max="8967" width="29.81640625" style="1" customWidth="1"/>
    <col min="8968" max="8968" width="23.54296875" style="1" customWidth="1"/>
    <col min="8969" max="8969" width="31.453125" style="1" customWidth="1"/>
    <col min="8970" max="9210" width="9.1796875" style="1"/>
    <col min="9211" max="9211" width="7.81640625" style="1" customWidth="1"/>
    <col min="9212" max="9212" width="8.54296875" style="1" customWidth="1"/>
    <col min="9213" max="9213" width="20.1796875" style="1" customWidth="1"/>
    <col min="9214" max="9214" width="16.453125" style="1" customWidth="1"/>
    <col min="9215" max="9215" width="22.26953125" style="1" customWidth="1"/>
    <col min="9216" max="9216" width="17.81640625" style="1" customWidth="1"/>
    <col min="9217" max="9217" width="22.81640625" style="1" customWidth="1"/>
    <col min="9218" max="9218" width="25.453125" style="1" customWidth="1"/>
    <col min="9219" max="9220" width="6.7265625" style="1" customWidth="1"/>
    <col min="9221" max="9221" width="26.453125" style="1" customWidth="1"/>
    <col min="9222" max="9222" width="18.54296875" style="1" customWidth="1"/>
    <col min="9223" max="9223" width="29.81640625" style="1" customWidth="1"/>
    <col min="9224" max="9224" width="23.54296875" style="1" customWidth="1"/>
    <col min="9225" max="9225" width="31.453125" style="1" customWidth="1"/>
    <col min="9226" max="9466" width="9.1796875" style="1"/>
    <col min="9467" max="9467" width="7.81640625" style="1" customWidth="1"/>
    <col min="9468" max="9468" width="8.54296875" style="1" customWidth="1"/>
    <col min="9469" max="9469" width="20.1796875" style="1" customWidth="1"/>
    <col min="9470" max="9470" width="16.453125" style="1" customWidth="1"/>
    <col min="9471" max="9471" width="22.26953125" style="1" customWidth="1"/>
    <col min="9472" max="9472" width="17.81640625" style="1" customWidth="1"/>
    <col min="9473" max="9473" width="22.81640625" style="1" customWidth="1"/>
    <col min="9474" max="9474" width="25.453125" style="1" customWidth="1"/>
    <col min="9475" max="9476" width="6.7265625" style="1" customWidth="1"/>
    <col min="9477" max="9477" width="26.453125" style="1" customWidth="1"/>
    <col min="9478" max="9478" width="18.54296875" style="1" customWidth="1"/>
    <col min="9479" max="9479" width="29.81640625" style="1" customWidth="1"/>
    <col min="9480" max="9480" width="23.54296875" style="1" customWidth="1"/>
    <col min="9481" max="9481" width="31.453125" style="1" customWidth="1"/>
    <col min="9482" max="9722" width="9.1796875" style="1"/>
    <col min="9723" max="9723" width="7.81640625" style="1" customWidth="1"/>
    <col min="9724" max="9724" width="8.54296875" style="1" customWidth="1"/>
    <col min="9725" max="9725" width="20.1796875" style="1" customWidth="1"/>
    <col min="9726" max="9726" width="16.453125" style="1" customWidth="1"/>
    <col min="9727" max="9727" width="22.26953125" style="1" customWidth="1"/>
    <col min="9728" max="9728" width="17.81640625" style="1" customWidth="1"/>
    <col min="9729" max="9729" width="22.81640625" style="1" customWidth="1"/>
    <col min="9730" max="9730" width="25.453125" style="1" customWidth="1"/>
    <col min="9731" max="9732" width="6.7265625" style="1" customWidth="1"/>
    <col min="9733" max="9733" width="26.453125" style="1" customWidth="1"/>
    <col min="9734" max="9734" width="18.54296875" style="1" customWidth="1"/>
    <col min="9735" max="9735" width="29.81640625" style="1" customWidth="1"/>
    <col min="9736" max="9736" width="23.54296875" style="1" customWidth="1"/>
    <col min="9737" max="9737" width="31.453125" style="1" customWidth="1"/>
    <col min="9738" max="9978" width="9.1796875" style="1"/>
    <col min="9979" max="9979" width="7.81640625" style="1" customWidth="1"/>
    <col min="9980" max="9980" width="8.54296875" style="1" customWidth="1"/>
    <col min="9981" max="9981" width="20.1796875" style="1" customWidth="1"/>
    <col min="9982" max="9982" width="16.453125" style="1" customWidth="1"/>
    <col min="9983" max="9983" width="22.26953125" style="1" customWidth="1"/>
    <col min="9984" max="9984" width="17.81640625" style="1" customWidth="1"/>
    <col min="9985" max="9985" width="22.81640625" style="1" customWidth="1"/>
    <col min="9986" max="9986" width="25.453125" style="1" customWidth="1"/>
    <col min="9987" max="9988" width="6.7265625" style="1" customWidth="1"/>
    <col min="9989" max="9989" width="26.453125" style="1" customWidth="1"/>
    <col min="9990" max="9990" width="18.54296875" style="1" customWidth="1"/>
    <col min="9991" max="9991" width="29.81640625" style="1" customWidth="1"/>
    <col min="9992" max="9992" width="23.54296875" style="1" customWidth="1"/>
    <col min="9993" max="9993" width="31.453125" style="1" customWidth="1"/>
    <col min="9994" max="10234" width="9.1796875" style="1"/>
    <col min="10235" max="10235" width="7.81640625" style="1" customWidth="1"/>
    <col min="10236" max="10236" width="8.54296875" style="1" customWidth="1"/>
    <col min="10237" max="10237" width="20.1796875" style="1" customWidth="1"/>
    <col min="10238" max="10238" width="16.453125" style="1" customWidth="1"/>
    <col min="10239" max="10239" width="22.26953125" style="1" customWidth="1"/>
    <col min="10240" max="10240" width="17.81640625" style="1" customWidth="1"/>
    <col min="10241" max="10241" width="22.81640625" style="1" customWidth="1"/>
    <col min="10242" max="10242" width="25.453125" style="1" customWidth="1"/>
    <col min="10243" max="10244" width="6.7265625" style="1" customWidth="1"/>
    <col min="10245" max="10245" width="26.453125" style="1" customWidth="1"/>
    <col min="10246" max="10246" width="18.54296875" style="1" customWidth="1"/>
    <col min="10247" max="10247" width="29.81640625" style="1" customWidth="1"/>
    <col min="10248" max="10248" width="23.54296875" style="1" customWidth="1"/>
    <col min="10249" max="10249" width="31.453125" style="1" customWidth="1"/>
    <col min="10250" max="10490" width="9.1796875" style="1"/>
    <col min="10491" max="10491" width="7.81640625" style="1" customWidth="1"/>
    <col min="10492" max="10492" width="8.54296875" style="1" customWidth="1"/>
    <col min="10493" max="10493" width="20.1796875" style="1" customWidth="1"/>
    <col min="10494" max="10494" width="16.453125" style="1" customWidth="1"/>
    <col min="10495" max="10495" width="22.26953125" style="1" customWidth="1"/>
    <col min="10496" max="10496" width="17.81640625" style="1" customWidth="1"/>
    <col min="10497" max="10497" width="22.81640625" style="1" customWidth="1"/>
    <col min="10498" max="10498" width="25.453125" style="1" customWidth="1"/>
    <col min="10499" max="10500" width="6.7265625" style="1" customWidth="1"/>
    <col min="10501" max="10501" width="26.453125" style="1" customWidth="1"/>
    <col min="10502" max="10502" width="18.54296875" style="1" customWidth="1"/>
    <col min="10503" max="10503" width="29.81640625" style="1" customWidth="1"/>
    <col min="10504" max="10504" width="23.54296875" style="1" customWidth="1"/>
    <col min="10505" max="10505" width="31.453125" style="1" customWidth="1"/>
    <col min="10506" max="10746" width="9.1796875" style="1"/>
    <col min="10747" max="10747" width="7.81640625" style="1" customWidth="1"/>
    <col min="10748" max="10748" width="8.54296875" style="1" customWidth="1"/>
    <col min="10749" max="10749" width="20.1796875" style="1" customWidth="1"/>
    <col min="10750" max="10750" width="16.453125" style="1" customWidth="1"/>
    <col min="10751" max="10751" width="22.26953125" style="1" customWidth="1"/>
    <col min="10752" max="10752" width="17.81640625" style="1" customWidth="1"/>
    <col min="10753" max="10753" width="22.81640625" style="1" customWidth="1"/>
    <col min="10754" max="10754" width="25.453125" style="1" customWidth="1"/>
    <col min="10755" max="10756" width="6.7265625" style="1" customWidth="1"/>
    <col min="10757" max="10757" width="26.453125" style="1" customWidth="1"/>
    <col min="10758" max="10758" width="18.54296875" style="1" customWidth="1"/>
    <col min="10759" max="10759" width="29.81640625" style="1" customWidth="1"/>
    <col min="10760" max="10760" width="23.54296875" style="1" customWidth="1"/>
    <col min="10761" max="10761" width="31.453125" style="1" customWidth="1"/>
    <col min="10762" max="11002" width="9.1796875" style="1"/>
    <col min="11003" max="11003" width="7.81640625" style="1" customWidth="1"/>
    <col min="11004" max="11004" width="8.54296875" style="1" customWidth="1"/>
    <col min="11005" max="11005" width="20.1796875" style="1" customWidth="1"/>
    <col min="11006" max="11006" width="16.453125" style="1" customWidth="1"/>
    <col min="11007" max="11007" width="22.26953125" style="1" customWidth="1"/>
    <col min="11008" max="11008" width="17.81640625" style="1" customWidth="1"/>
    <col min="11009" max="11009" width="22.81640625" style="1" customWidth="1"/>
    <col min="11010" max="11010" width="25.453125" style="1" customWidth="1"/>
    <col min="11011" max="11012" width="6.7265625" style="1" customWidth="1"/>
    <col min="11013" max="11013" width="26.453125" style="1" customWidth="1"/>
    <col min="11014" max="11014" width="18.54296875" style="1" customWidth="1"/>
    <col min="11015" max="11015" width="29.81640625" style="1" customWidth="1"/>
    <col min="11016" max="11016" width="23.54296875" style="1" customWidth="1"/>
    <col min="11017" max="11017" width="31.453125" style="1" customWidth="1"/>
    <col min="11018" max="11258" width="9.1796875" style="1"/>
    <col min="11259" max="11259" width="7.81640625" style="1" customWidth="1"/>
    <col min="11260" max="11260" width="8.54296875" style="1" customWidth="1"/>
    <col min="11261" max="11261" width="20.1796875" style="1" customWidth="1"/>
    <col min="11262" max="11262" width="16.453125" style="1" customWidth="1"/>
    <col min="11263" max="11263" width="22.26953125" style="1" customWidth="1"/>
    <col min="11264" max="11264" width="17.81640625" style="1" customWidth="1"/>
    <col min="11265" max="11265" width="22.81640625" style="1" customWidth="1"/>
    <col min="11266" max="11266" width="25.453125" style="1" customWidth="1"/>
    <col min="11267" max="11268" width="6.7265625" style="1" customWidth="1"/>
    <col min="11269" max="11269" width="26.453125" style="1" customWidth="1"/>
    <col min="11270" max="11270" width="18.54296875" style="1" customWidth="1"/>
    <col min="11271" max="11271" width="29.81640625" style="1" customWidth="1"/>
    <col min="11272" max="11272" width="23.54296875" style="1" customWidth="1"/>
    <col min="11273" max="11273" width="31.453125" style="1" customWidth="1"/>
    <col min="11274" max="11514" width="9.1796875" style="1"/>
    <col min="11515" max="11515" width="7.81640625" style="1" customWidth="1"/>
    <col min="11516" max="11516" width="8.54296875" style="1" customWidth="1"/>
    <col min="11517" max="11517" width="20.1796875" style="1" customWidth="1"/>
    <col min="11518" max="11518" width="16.453125" style="1" customWidth="1"/>
    <col min="11519" max="11519" width="22.26953125" style="1" customWidth="1"/>
    <col min="11520" max="11520" width="17.81640625" style="1" customWidth="1"/>
    <col min="11521" max="11521" width="22.81640625" style="1" customWidth="1"/>
    <col min="11522" max="11522" width="25.453125" style="1" customWidth="1"/>
    <col min="11523" max="11524" width="6.7265625" style="1" customWidth="1"/>
    <col min="11525" max="11525" width="26.453125" style="1" customWidth="1"/>
    <col min="11526" max="11526" width="18.54296875" style="1" customWidth="1"/>
    <col min="11527" max="11527" width="29.81640625" style="1" customWidth="1"/>
    <col min="11528" max="11528" width="23.54296875" style="1" customWidth="1"/>
    <col min="11529" max="11529" width="31.453125" style="1" customWidth="1"/>
    <col min="11530" max="11770" width="9.1796875" style="1"/>
    <col min="11771" max="11771" width="7.81640625" style="1" customWidth="1"/>
    <col min="11772" max="11772" width="8.54296875" style="1" customWidth="1"/>
    <col min="11773" max="11773" width="20.1796875" style="1" customWidth="1"/>
    <col min="11774" max="11774" width="16.453125" style="1" customWidth="1"/>
    <col min="11775" max="11775" width="22.26953125" style="1" customWidth="1"/>
    <col min="11776" max="11776" width="17.81640625" style="1" customWidth="1"/>
    <col min="11777" max="11777" width="22.81640625" style="1" customWidth="1"/>
    <col min="11778" max="11778" width="25.453125" style="1" customWidth="1"/>
    <col min="11779" max="11780" width="6.7265625" style="1" customWidth="1"/>
    <col min="11781" max="11781" width="26.453125" style="1" customWidth="1"/>
    <col min="11782" max="11782" width="18.54296875" style="1" customWidth="1"/>
    <col min="11783" max="11783" width="29.81640625" style="1" customWidth="1"/>
    <col min="11784" max="11784" width="23.54296875" style="1" customWidth="1"/>
    <col min="11785" max="11785" width="31.453125" style="1" customWidth="1"/>
    <col min="11786" max="12026" width="9.1796875" style="1"/>
    <col min="12027" max="12027" width="7.81640625" style="1" customWidth="1"/>
    <col min="12028" max="12028" width="8.54296875" style="1" customWidth="1"/>
    <col min="12029" max="12029" width="20.1796875" style="1" customWidth="1"/>
    <col min="12030" max="12030" width="16.453125" style="1" customWidth="1"/>
    <col min="12031" max="12031" width="22.26953125" style="1" customWidth="1"/>
    <col min="12032" max="12032" width="17.81640625" style="1" customWidth="1"/>
    <col min="12033" max="12033" width="22.81640625" style="1" customWidth="1"/>
    <col min="12034" max="12034" width="25.453125" style="1" customWidth="1"/>
    <col min="12035" max="12036" width="6.7265625" style="1" customWidth="1"/>
    <col min="12037" max="12037" width="26.453125" style="1" customWidth="1"/>
    <col min="12038" max="12038" width="18.54296875" style="1" customWidth="1"/>
    <col min="12039" max="12039" width="29.81640625" style="1" customWidth="1"/>
    <col min="12040" max="12040" width="23.54296875" style="1" customWidth="1"/>
    <col min="12041" max="12041" width="31.453125" style="1" customWidth="1"/>
    <col min="12042" max="12282" width="9.1796875" style="1"/>
    <col min="12283" max="12283" width="7.81640625" style="1" customWidth="1"/>
    <col min="12284" max="12284" width="8.54296875" style="1" customWidth="1"/>
    <col min="12285" max="12285" width="20.1796875" style="1" customWidth="1"/>
    <col min="12286" max="12286" width="16.453125" style="1" customWidth="1"/>
    <col min="12287" max="12287" width="22.26953125" style="1" customWidth="1"/>
    <col min="12288" max="12288" width="17.81640625" style="1" customWidth="1"/>
    <col min="12289" max="12289" width="22.81640625" style="1" customWidth="1"/>
    <col min="12290" max="12290" width="25.453125" style="1" customWidth="1"/>
    <col min="12291" max="12292" width="6.7265625" style="1" customWidth="1"/>
    <col min="12293" max="12293" width="26.453125" style="1" customWidth="1"/>
    <col min="12294" max="12294" width="18.54296875" style="1" customWidth="1"/>
    <col min="12295" max="12295" width="29.81640625" style="1" customWidth="1"/>
    <col min="12296" max="12296" width="23.54296875" style="1" customWidth="1"/>
    <col min="12297" max="12297" width="31.453125" style="1" customWidth="1"/>
    <col min="12298" max="12538" width="9.1796875" style="1"/>
    <col min="12539" max="12539" width="7.81640625" style="1" customWidth="1"/>
    <col min="12540" max="12540" width="8.54296875" style="1" customWidth="1"/>
    <col min="12541" max="12541" width="20.1796875" style="1" customWidth="1"/>
    <col min="12542" max="12542" width="16.453125" style="1" customWidth="1"/>
    <col min="12543" max="12543" width="22.26953125" style="1" customWidth="1"/>
    <col min="12544" max="12544" width="17.81640625" style="1" customWidth="1"/>
    <col min="12545" max="12545" width="22.81640625" style="1" customWidth="1"/>
    <col min="12546" max="12546" width="25.453125" style="1" customWidth="1"/>
    <col min="12547" max="12548" width="6.7265625" style="1" customWidth="1"/>
    <col min="12549" max="12549" width="26.453125" style="1" customWidth="1"/>
    <col min="12550" max="12550" width="18.54296875" style="1" customWidth="1"/>
    <col min="12551" max="12551" width="29.81640625" style="1" customWidth="1"/>
    <col min="12552" max="12552" width="23.54296875" style="1" customWidth="1"/>
    <col min="12553" max="12553" width="31.453125" style="1" customWidth="1"/>
    <col min="12554" max="12794" width="9.1796875" style="1"/>
    <col min="12795" max="12795" width="7.81640625" style="1" customWidth="1"/>
    <col min="12796" max="12796" width="8.54296875" style="1" customWidth="1"/>
    <col min="12797" max="12797" width="20.1796875" style="1" customWidth="1"/>
    <col min="12798" max="12798" width="16.453125" style="1" customWidth="1"/>
    <col min="12799" max="12799" width="22.26953125" style="1" customWidth="1"/>
    <col min="12800" max="12800" width="17.81640625" style="1" customWidth="1"/>
    <col min="12801" max="12801" width="22.81640625" style="1" customWidth="1"/>
    <col min="12802" max="12802" width="25.453125" style="1" customWidth="1"/>
    <col min="12803" max="12804" width="6.7265625" style="1" customWidth="1"/>
    <col min="12805" max="12805" width="26.453125" style="1" customWidth="1"/>
    <col min="12806" max="12806" width="18.54296875" style="1" customWidth="1"/>
    <col min="12807" max="12807" width="29.81640625" style="1" customWidth="1"/>
    <col min="12808" max="12808" width="23.54296875" style="1" customWidth="1"/>
    <col min="12809" max="12809" width="31.453125" style="1" customWidth="1"/>
    <col min="12810" max="13050" width="9.1796875" style="1"/>
    <col min="13051" max="13051" width="7.81640625" style="1" customWidth="1"/>
    <col min="13052" max="13052" width="8.54296875" style="1" customWidth="1"/>
    <col min="13053" max="13053" width="20.1796875" style="1" customWidth="1"/>
    <col min="13054" max="13054" width="16.453125" style="1" customWidth="1"/>
    <col min="13055" max="13055" width="22.26953125" style="1" customWidth="1"/>
    <col min="13056" max="13056" width="17.81640625" style="1" customWidth="1"/>
    <col min="13057" max="13057" width="22.81640625" style="1" customWidth="1"/>
    <col min="13058" max="13058" width="25.453125" style="1" customWidth="1"/>
    <col min="13059" max="13060" width="6.7265625" style="1" customWidth="1"/>
    <col min="13061" max="13061" width="26.453125" style="1" customWidth="1"/>
    <col min="13062" max="13062" width="18.54296875" style="1" customWidth="1"/>
    <col min="13063" max="13063" width="29.81640625" style="1" customWidth="1"/>
    <col min="13064" max="13064" width="23.54296875" style="1" customWidth="1"/>
    <col min="13065" max="13065" width="31.453125" style="1" customWidth="1"/>
    <col min="13066" max="13306" width="9.1796875" style="1"/>
    <col min="13307" max="13307" width="7.81640625" style="1" customWidth="1"/>
    <col min="13308" max="13308" width="8.54296875" style="1" customWidth="1"/>
    <col min="13309" max="13309" width="20.1796875" style="1" customWidth="1"/>
    <col min="13310" max="13310" width="16.453125" style="1" customWidth="1"/>
    <col min="13311" max="13311" width="22.26953125" style="1" customWidth="1"/>
    <col min="13312" max="13312" width="17.81640625" style="1" customWidth="1"/>
    <col min="13313" max="13313" width="22.81640625" style="1" customWidth="1"/>
    <col min="13314" max="13314" width="25.453125" style="1" customWidth="1"/>
    <col min="13315" max="13316" width="6.7265625" style="1" customWidth="1"/>
    <col min="13317" max="13317" width="26.453125" style="1" customWidth="1"/>
    <col min="13318" max="13318" width="18.54296875" style="1" customWidth="1"/>
    <col min="13319" max="13319" width="29.81640625" style="1" customWidth="1"/>
    <col min="13320" max="13320" width="23.54296875" style="1" customWidth="1"/>
    <col min="13321" max="13321" width="31.453125" style="1" customWidth="1"/>
    <col min="13322" max="13562" width="9.1796875" style="1"/>
    <col min="13563" max="13563" width="7.81640625" style="1" customWidth="1"/>
    <col min="13564" max="13564" width="8.54296875" style="1" customWidth="1"/>
    <col min="13565" max="13565" width="20.1796875" style="1" customWidth="1"/>
    <col min="13566" max="13566" width="16.453125" style="1" customWidth="1"/>
    <col min="13567" max="13567" width="22.26953125" style="1" customWidth="1"/>
    <col min="13568" max="13568" width="17.81640625" style="1" customWidth="1"/>
    <col min="13569" max="13569" width="22.81640625" style="1" customWidth="1"/>
    <col min="13570" max="13570" width="25.453125" style="1" customWidth="1"/>
    <col min="13571" max="13572" width="6.7265625" style="1" customWidth="1"/>
    <col min="13573" max="13573" width="26.453125" style="1" customWidth="1"/>
    <col min="13574" max="13574" width="18.54296875" style="1" customWidth="1"/>
    <col min="13575" max="13575" width="29.81640625" style="1" customWidth="1"/>
    <col min="13576" max="13576" width="23.54296875" style="1" customWidth="1"/>
    <col min="13577" max="13577" width="31.453125" style="1" customWidth="1"/>
    <col min="13578" max="13818" width="9.1796875" style="1"/>
    <col min="13819" max="13819" width="7.81640625" style="1" customWidth="1"/>
    <col min="13820" max="13820" width="8.54296875" style="1" customWidth="1"/>
    <col min="13821" max="13821" width="20.1796875" style="1" customWidth="1"/>
    <col min="13822" max="13822" width="16.453125" style="1" customWidth="1"/>
    <col min="13823" max="13823" width="22.26953125" style="1" customWidth="1"/>
    <col min="13824" max="13824" width="17.81640625" style="1" customWidth="1"/>
    <col min="13825" max="13825" width="22.81640625" style="1" customWidth="1"/>
    <col min="13826" max="13826" width="25.453125" style="1" customWidth="1"/>
    <col min="13827" max="13828" width="6.7265625" style="1" customWidth="1"/>
    <col min="13829" max="13829" width="26.453125" style="1" customWidth="1"/>
    <col min="13830" max="13830" width="18.54296875" style="1" customWidth="1"/>
    <col min="13831" max="13831" width="29.81640625" style="1" customWidth="1"/>
    <col min="13832" max="13832" width="23.54296875" style="1" customWidth="1"/>
    <col min="13833" max="13833" width="31.453125" style="1" customWidth="1"/>
    <col min="13834" max="14074" width="9.1796875" style="1"/>
    <col min="14075" max="14075" width="7.81640625" style="1" customWidth="1"/>
    <col min="14076" max="14076" width="8.54296875" style="1" customWidth="1"/>
    <col min="14077" max="14077" width="20.1796875" style="1" customWidth="1"/>
    <col min="14078" max="14078" width="16.453125" style="1" customWidth="1"/>
    <col min="14079" max="14079" width="22.26953125" style="1" customWidth="1"/>
    <col min="14080" max="14080" width="17.81640625" style="1" customWidth="1"/>
    <col min="14081" max="14081" width="22.81640625" style="1" customWidth="1"/>
    <col min="14082" max="14082" width="25.453125" style="1" customWidth="1"/>
    <col min="14083" max="14084" width="6.7265625" style="1" customWidth="1"/>
    <col min="14085" max="14085" width="26.453125" style="1" customWidth="1"/>
    <col min="14086" max="14086" width="18.54296875" style="1" customWidth="1"/>
    <col min="14087" max="14087" width="29.81640625" style="1" customWidth="1"/>
    <col min="14088" max="14088" width="23.54296875" style="1" customWidth="1"/>
    <col min="14089" max="14089" width="31.453125" style="1" customWidth="1"/>
    <col min="14090" max="14330" width="9.1796875" style="1"/>
    <col min="14331" max="14331" width="7.81640625" style="1" customWidth="1"/>
    <col min="14332" max="14332" width="8.54296875" style="1" customWidth="1"/>
    <col min="14333" max="14333" width="20.1796875" style="1" customWidth="1"/>
    <col min="14334" max="14334" width="16.453125" style="1" customWidth="1"/>
    <col min="14335" max="14335" width="22.26953125" style="1" customWidth="1"/>
    <col min="14336" max="14336" width="17.81640625" style="1" customWidth="1"/>
    <col min="14337" max="14337" width="22.81640625" style="1" customWidth="1"/>
    <col min="14338" max="14338" width="25.453125" style="1" customWidth="1"/>
    <col min="14339" max="14340" width="6.7265625" style="1" customWidth="1"/>
    <col min="14341" max="14341" width="26.453125" style="1" customWidth="1"/>
    <col min="14342" max="14342" width="18.54296875" style="1" customWidth="1"/>
    <col min="14343" max="14343" width="29.81640625" style="1" customWidth="1"/>
    <col min="14344" max="14344" width="23.54296875" style="1" customWidth="1"/>
    <col min="14345" max="14345" width="31.453125" style="1" customWidth="1"/>
    <col min="14346" max="14586" width="9.1796875" style="1"/>
    <col min="14587" max="14587" width="7.81640625" style="1" customWidth="1"/>
    <col min="14588" max="14588" width="8.54296875" style="1" customWidth="1"/>
    <col min="14589" max="14589" width="20.1796875" style="1" customWidth="1"/>
    <col min="14590" max="14590" width="16.453125" style="1" customWidth="1"/>
    <col min="14591" max="14591" width="22.26953125" style="1" customWidth="1"/>
    <col min="14592" max="14592" width="17.81640625" style="1" customWidth="1"/>
    <col min="14593" max="14593" width="22.81640625" style="1" customWidth="1"/>
    <col min="14594" max="14594" width="25.453125" style="1" customWidth="1"/>
    <col min="14595" max="14596" width="6.7265625" style="1" customWidth="1"/>
    <col min="14597" max="14597" width="26.453125" style="1" customWidth="1"/>
    <col min="14598" max="14598" width="18.54296875" style="1" customWidth="1"/>
    <col min="14599" max="14599" width="29.81640625" style="1" customWidth="1"/>
    <col min="14600" max="14600" width="23.54296875" style="1" customWidth="1"/>
    <col min="14601" max="14601" width="31.453125" style="1" customWidth="1"/>
    <col min="14602" max="14842" width="9.1796875" style="1"/>
    <col min="14843" max="14843" width="7.81640625" style="1" customWidth="1"/>
    <col min="14844" max="14844" width="8.54296875" style="1" customWidth="1"/>
    <col min="14845" max="14845" width="20.1796875" style="1" customWidth="1"/>
    <col min="14846" max="14846" width="16.453125" style="1" customWidth="1"/>
    <col min="14847" max="14847" width="22.26953125" style="1" customWidth="1"/>
    <col min="14848" max="14848" width="17.81640625" style="1" customWidth="1"/>
    <col min="14849" max="14849" width="22.81640625" style="1" customWidth="1"/>
    <col min="14850" max="14850" width="25.453125" style="1" customWidth="1"/>
    <col min="14851" max="14852" width="6.7265625" style="1" customWidth="1"/>
    <col min="14853" max="14853" width="26.453125" style="1" customWidth="1"/>
    <col min="14854" max="14854" width="18.54296875" style="1" customWidth="1"/>
    <col min="14855" max="14855" width="29.81640625" style="1" customWidth="1"/>
    <col min="14856" max="14856" width="23.54296875" style="1" customWidth="1"/>
    <col min="14857" max="14857" width="31.453125" style="1" customWidth="1"/>
    <col min="14858" max="15098" width="9.1796875" style="1"/>
    <col min="15099" max="15099" width="7.81640625" style="1" customWidth="1"/>
    <col min="15100" max="15100" width="8.54296875" style="1" customWidth="1"/>
    <col min="15101" max="15101" width="20.1796875" style="1" customWidth="1"/>
    <col min="15102" max="15102" width="16.453125" style="1" customWidth="1"/>
    <col min="15103" max="15103" width="22.26953125" style="1" customWidth="1"/>
    <col min="15104" max="15104" width="17.81640625" style="1" customWidth="1"/>
    <col min="15105" max="15105" width="22.81640625" style="1" customWidth="1"/>
    <col min="15106" max="15106" width="25.453125" style="1" customWidth="1"/>
    <col min="15107" max="15108" width="6.7265625" style="1" customWidth="1"/>
    <col min="15109" max="15109" width="26.453125" style="1" customWidth="1"/>
    <col min="15110" max="15110" width="18.54296875" style="1" customWidth="1"/>
    <col min="15111" max="15111" width="29.81640625" style="1" customWidth="1"/>
    <col min="15112" max="15112" width="23.54296875" style="1" customWidth="1"/>
    <col min="15113" max="15113" width="31.453125" style="1" customWidth="1"/>
    <col min="15114" max="15354" width="9.1796875" style="1"/>
    <col min="15355" max="15355" width="7.81640625" style="1" customWidth="1"/>
    <col min="15356" max="15356" width="8.54296875" style="1" customWidth="1"/>
    <col min="15357" max="15357" width="20.1796875" style="1" customWidth="1"/>
    <col min="15358" max="15358" width="16.453125" style="1" customWidth="1"/>
    <col min="15359" max="15359" width="22.26953125" style="1" customWidth="1"/>
    <col min="15360" max="15360" width="17.81640625" style="1" customWidth="1"/>
    <col min="15361" max="15361" width="22.81640625" style="1" customWidth="1"/>
    <col min="15362" max="15362" width="25.453125" style="1" customWidth="1"/>
    <col min="15363" max="15364" width="6.7265625" style="1" customWidth="1"/>
    <col min="15365" max="15365" width="26.453125" style="1" customWidth="1"/>
    <col min="15366" max="15366" width="18.54296875" style="1" customWidth="1"/>
    <col min="15367" max="15367" width="29.81640625" style="1" customWidth="1"/>
    <col min="15368" max="15368" width="23.54296875" style="1" customWidth="1"/>
    <col min="15369" max="15369" width="31.453125" style="1" customWidth="1"/>
    <col min="15370" max="15610" width="9.1796875" style="1"/>
    <col min="15611" max="15611" width="7.81640625" style="1" customWidth="1"/>
    <col min="15612" max="15612" width="8.54296875" style="1" customWidth="1"/>
    <col min="15613" max="15613" width="20.1796875" style="1" customWidth="1"/>
    <col min="15614" max="15614" width="16.453125" style="1" customWidth="1"/>
    <col min="15615" max="15615" width="22.26953125" style="1" customWidth="1"/>
    <col min="15616" max="15616" width="17.81640625" style="1" customWidth="1"/>
    <col min="15617" max="15617" width="22.81640625" style="1" customWidth="1"/>
    <col min="15618" max="15618" width="25.453125" style="1" customWidth="1"/>
    <col min="15619" max="15620" width="6.7265625" style="1" customWidth="1"/>
    <col min="15621" max="15621" width="26.453125" style="1" customWidth="1"/>
    <col min="15622" max="15622" width="18.54296875" style="1" customWidth="1"/>
    <col min="15623" max="15623" width="29.81640625" style="1" customWidth="1"/>
    <col min="15624" max="15624" width="23.54296875" style="1" customWidth="1"/>
    <col min="15625" max="15625" width="31.453125" style="1" customWidth="1"/>
    <col min="15626" max="15866" width="9.1796875" style="1"/>
    <col min="15867" max="15867" width="7.81640625" style="1" customWidth="1"/>
    <col min="15868" max="15868" width="8.54296875" style="1" customWidth="1"/>
    <col min="15869" max="15869" width="20.1796875" style="1" customWidth="1"/>
    <col min="15870" max="15870" width="16.453125" style="1" customWidth="1"/>
    <col min="15871" max="15871" width="22.26953125" style="1" customWidth="1"/>
    <col min="15872" max="15872" width="17.81640625" style="1" customWidth="1"/>
    <col min="15873" max="15873" width="22.81640625" style="1" customWidth="1"/>
    <col min="15874" max="15874" width="25.453125" style="1" customWidth="1"/>
    <col min="15875" max="15876" width="6.7265625" style="1" customWidth="1"/>
    <col min="15877" max="15877" width="26.453125" style="1" customWidth="1"/>
    <col min="15878" max="15878" width="18.54296875" style="1" customWidth="1"/>
    <col min="15879" max="15879" width="29.81640625" style="1" customWidth="1"/>
    <col min="15880" max="15880" width="23.54296875" style="1" customWidth="1"/>
    <col min="15881" max="15881" width="31.453125" style="1" customWidth="1"/>
    <col min="15882" max="16122" width="9.1796875" style="1"/>
    <col min="16123" max="16123" width="7.81640625" style="1" customWidth="1"/>
    <col min="16124" max="16124" width="8.54296875" style="1" customWidth="1"/>
    <col min="16125" max="16125" width="20.1796875" style="1" customWidth="1"/>
    <col min="16126" max="16126" width="16.453125" style="1" customWidth="1"/>
    <col min="16127" max="16127" width="22.26953125" style="1" customWidth="1"/>
    <col min="16128" max="16128" width="17.81640625" style="1" customWidth="1"/>
    <col min="16129" max="16129" width="22.81640625" style="1" customWidth="1"/>
    <col min="16130" max="16130" width="25.453125" style="1" customWidth="1"/>
    <col min="16131" max="16132" width="6.7265625" style="1" customWidth="1"/>
    <col min="16133" max="16133" width="26.453125" style="1" customWidth="1"/>
    <col min="16134" max="16134" width="18.54296875" style="1" customWidth="1"/>
    <col min="16135" max="16135" width="29.81640625" style="1" customWidth="1"/>
    <col min="16136" max="16136" width="23.54296875" style="1" customWidth="1"/>
    <col min="16137" max="16137" width="31.453125" style="1" customWidth="1"/>
    <col min="16138" max="16384" width="9.1796875" style="1"/>
  </cols>
  <sheetData>
    <row r="1" spans="1:14" ht="17.25" customHeight="1">
      <c r="A1" s="76" t="s">
        <v>97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4" ht="17.25" customHeight="1">
      <c r="A2" s="64" t="str">
        <f>Honor_guru!A2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4" ht="14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" customHeight="1">
      <c r="C4" s="4" t="s">
        <v>0</v>
      </c>
      <c r="D4" s="5" t="str">
        <f>Honor_penjaga!D4</f>
        <v>: ____________________________</v>
      </c>
      <c r="F4" s="6"/>
      <c r="G4" s="7"/>
      <c r="H4" s="7"/>
      <c r="I4" s="4" t="s">
        <v>26</v>
      </c>
      <c r="J4" s="4" t="s">
        <v>30</v>
      </c>
    </row>
    <row r="5" spans="1:14" ht="15" customHeight="1">
      <c r="C5" s="4" t="s">
        <v>2</v>
      </c>
      <c r="D5" s="5" t="str">
        <f>Honor_penjaga!D5</f>
        <v>: SD NEGERI LEBAKLEUNGSIR</v>
      </c>
      <c r="F5" s="6"/>
      <c r="H5" s="8"/>
      <c r="I5" s="4" t="s">
        <v>27</v>
      </c>
      <c r="J5" s="4" t="s">
        <v>96</v>
      </c>
    </row>
    <row r="6" spans="1:14" ht="15" customHeight="1">
      <c r="C6" s="4" t="s">
        <v>3</v>
      </c>
      <c r="D6" s="5" t="str">
        <f>Honor_penjaga!D6</f>
        <v>: Cikalongwetan</v>
      </c>
      <c r="F6" s="6"/>
      <c r="H6" s="8"/>
      <c r="I6" s="8" t="s">
        <v>28</v>
      </c>
      <c r="J6" s="4" t="s">
        <v>57</v>
      </c>
    </row>
    <row r="7" spans="1:14" ht="15" customHeight="1">
      <c r="C7" s="4" t="s">
        <v>5</v>
      </c>
      <c r="D7" s="5" t="str">
        <f>Honor_penjaga!D7</f>
        <v>: Bandung Barat</v>
      </c>
      <c r="F7" s="6"/>
      <c r="H7" s="8"/>
      <c r="I7" s="4" t="s">
        <v>7</v>
      </c>
      <c r="J7" s="30" t="s">
        <v>29</v>
      </c>
    </row>
    <row r="8" spans="1:14" ht="15" customHeight="1">
      <c r="H8" s="8"/>
      <c r="I8" s="8"/>
      <c r="J8" s="8"/>
    </row>
    <row r="9" spans="1:14" ht="41.25" customHeight="1">
      <c r="A9" s="9" t="s">
        <v>8</v>
      </c>
      <c r="B9" s="65" t="s">
        <v>9</v>
      </c>
      <c r="C9" s="66"/>
      <c r="D9" s="9" t="s">
        <v>10</v>
      </c>
      <c r="E9" s="10" t="s">
        <v>11</v>
      </c>
      <c r="F9" s="9" t="s">
        <v>45</v>
      </c>
      <c r="G9" s="9" t="s">
        <v>24</v>
      </c>
      <c r="H9" s="10" t="s">
        <v>13</v>
      </c>
      <c r="I9" s="10" t="s">
        <v>14</v>
      </c>
      <c r="J9" s="69" t="s">
        <v>17</v>
      </c>
      <c r="K9" s="71"/>
    </row>
    <row r="10" spans="1:14" ht="30.5" customHeight="1">
      <c r="A10" s="11">
        <v>1</v>
      </c>
      <c r="B10" s="12" t="s">
        <v>38</v>
      </c>
      <c r="C10" s="13"/>
      <c r="D10" s="13" t="s">
        <v>98</v>
      </c>
      <c r="E10" s="14" t="s">
        <v>155</v>
      </c>
      <c r="F10" s="14">
        <v>2</v>
      </c>
      <c r="G10" s="14" t="s">
        <v>25</v>
      </c>
      <c r="H10" s="15">
        <v>75000</v>
      </c>
      <c r="I10" s="16">
        <f>F10*H10</f>
        <v>150000</v>
      </c>
      <c r="J10" s="54">
        <v>1</v>
      </c>
      <c r="K10" s="56">
        <v>2</v>
      </c>
    </row>
    <row r="11" spans="1:14" ht="30.5" customHeight="1">
      <c r="A11" s="11">
        <v>2</v>
      </c>
      <c r="B11" s="12"/>
      <c r="C11" s="13"/>
      <c r="D11" s="13"/>
      <c r="E11" s="14"/>
      <c r="F11" s="14"/>
      <c r="G11" s="14"/>
      <c r="H11" s="15"/>
      <c r="I11" s="16">
        <f t="shared" ref="I11:I13" si="0">F11*H11</f>
        <v>0</v>
      </c>
      <c r="J11" s="55"/>
      <c r="K11" s="57"/>
    </row>
    <row r="12" spans="1:14" ht="22.5" hidden="1" customHeight="1">
      <c r="A12" s="11">
        <v>3</v>
      </c>
      <c r="B12" s="12"/>
      <c r="C12" s="13"/>
      <c r="D12" s="13"/>
      <c r="E12" s="14"/>
      <c r="F12" s="14"/>
      <c r="G12" s="14"/>
      <c r="H12" s="15"/>
      <c r="I12" s="16">
        <f t="shared" si="0"/>
        <v>0</v>
      </c>
      <c r="J12" s="54">
        <v>3</v>
      </c>
      <c r="K12" s="56">
        <v>4</v>
      </c>
    </row>
    <row r="13" spans="1:14" ht="22.5" hidden="1" customHeight="1">
      <c r="A13" s="11">
        <v>4</v>
      </c>
      <c r="B13" s="12"/>
      <c r="C13" s="13"/>
      <c r="D13" s="13"/>
      <c r="E13" s="14"/>
      <c r="F13" s="14"/>
      <c r="G13" s="14"/>
      <c r="H13" s="15"/>
      <c r="I13" s="16">
        <f t="shared" si="0"/>
        <v>0</v>
      </c>
      <c r="J13" s="55"/>
      <c r="K13" s="57"/>
    </row>
    <row r="14" spans="1:14" s="21" customFormat="1" ht="22.5" customHeight="1">
      <c r="A14" s="69" t="s">
        <v>20</v>
      </c>
      <c r="B14" s="70"/>
      <c r="C14" s="70"/>
      <c r="D14" s="70"/>
      <c r="E14" s="70"/>
      <c r="F14" s="70"/>
      <c r="G14" s="70"/>
      <c r="H14" s="71"/>
      <c r="I14" s="18">
        <f>SUM(I10:I13)</f>
        <v>150000</v>
      </c>
      <c r="J14" s="20"/>
      <c r="K14" s="20"/>
      <c r="N14" s="22"/>
    </row>
    <row r="15" spans="1:14" ht="23.25" customHeight="1">
      <c r="A15" s="7"/>
      <c r="B15" s="7"/>
      <c r="C15" s="7"/>
      <c r="D15" s="7"/>
      <c r="E15" s="7"/>
      <c r="F15" s="7"/>
      <c r="G15" s="7"/>
      <c r="H15" s="23"/>
      <c r="I15" s="23"/>
    </row>
    <row r="16" spans="1:14">
      <c r="A16" s="8"/>
      <c r="B16" s="8"/>
      <c r="C16" s="8"/>
      <c r="D16" s="8"/>
      <c r="E16" s="8"/>
      <c r="F16" s="8"/>
      <c r="G16" s="8"/>
      <c r="H16" s="8"/>
      <c r="J16" s="24" t="str">
        <f>Honor_guru!P19</f>
        <v>Cikalongwetan, 2 Januari 2026</v>
      </c>
    </row>
    <row r="17" spans="1:14">
      <c r="A17" s="8"/>
      <c r="C17" s="24" t="s">
        <v>21</v>
      </c>
      <c r="D17" s="24"/>
      <c r="E17" s="24"/>
      <c r="F17" s="24"/>
      <c r="G17" s="8"/>
      <c r="H17" s="8"/>
      <c r="J17" s="24" t="str">
        <f>Honor_guru!P20</f>
        <v>Dibayar Lunas Tgl. 4 Februari 2026</v>
      </c>
    </row>
    <row r="18" spans="1:14">
      <c r="A18" s="8"/>
      <c r="C18" s="24" t="s">
        <v>22</v>
      </c>
      <c r="D18" s="24"/>
      <c r="E18" s="24"/>
      <c r="F18" s="24"/>
      <c r="G18" s="8"/>
      <c r="H18" s="8"/>
      <c r="J18" s="24" t="s">
        <v>23</v>
      </c>
    </row>
    <row r="19" spans="1:14">
      <c r="A19" s="8"/>
      <c r="C19" s="24"/>
      <c r="D19" s="24"/>
      <c r="E19" s="24"/>
      <c r="F19" s="24"/>
      <c r="G19" s="8"/>
      <c r="H19" s="8"/>
      <c r="J19" s="25"/>
      <c r="N19" s="26"/>
    </row>
    <row r="20" spans="1:14">
      <c r="A20" s="8"/>
      <c r="C20" s="24"/>
      <c r="D20" s="24"/>
      <c r="E20" s="24"/>
      <c r="F20" s="24"/>
      <c r="G20" s="8"/>
      <c r="H20" s="8"/>
      <c r="J20" s="25"/>
    </row>
    <row r="21" spans="1:14">
      <c r="A21" s="8"/>
      <c r="C21" s="24"/>
      <c r="D21" s="24"/>
      <c r="E21" s="24"/>
      <c r="F21" s="24"/>
      <c r="G21" s="8"/>
      <c r="H21" s="8"/>
      <c r="J21" s="25"/>
    </row>
    <row r="22" spans="1:14">
      <c r="A22" s="8"/>
      <c r="C22" s="24"/>
      <c r="D22" s="24"/>
      <c r="E22" s="24"/>
      <c r="F22" s="24"/>
      <c r="G22" s="8"/>
      <c r="H22" s="8"/>
      <c r="J22" s="25"/>
    </row>
    <row r="23" spans="1:14">
      <c r="A23" s="8"/>
      <c r="C23" s="24"/>
      <c r="D23" s="24"/>
      <c r="E23" s="24"/>
      <c r="F23" s="24"/>
      <c r="G23" s="8"/>
      <c r="H23" s="8"/>
      <c r="J23" s="25"/>
    </row>
    <row r="24" spans="1:14" ht="15" customHeight="1">
      <c r="A24" s="8"/>
      <c r="C24" s="27" t="str">
        <f>Honor_guru!C27</f>
        <v>BADRUDDIN, S.Ag.</v>
      </c>
      <c r="D24" s="28"/>
      <c r="E24" s="28"/>
      <c r="F24" s="8"/>
      <c r="G24" s="8"/>
      <c r="J24" s="50" t="str">
        <f>Honor_guru!P27</f>
        <v>DEDE GUNAWAN, S.Pd.</v>
      </c>
    </row>
    <row r="25" spans="1:14" ht="13.5" customHeight="1">
      <c r="A25" s="8"/>
      <c r="C25" s="27" t="str">
        <f>Honor_guru!C28</f>
        <v>NIP. 197405082014121002</v>
      </c>
      <c r="D25" s="25"/>
      <c r="E25" s="25"/>
      <c r="F25" s="8"/>
      <c r="G25" s="8"/>
      <c r="J25" s="50" t="str">
        <f>Honor_guru!P28</f>
        <v>NIP. 198507172020121003</v>
      </c>
    </row>
    <row r="26" spans="1:14" ht="15" customHeight="1">
      <c r="A26" s="8"/>
      <c r="C26" s="28"/>
      <c r="D26" s="28"/>
      <c r="E26" s="28"/>
      <c r="F26" s="28"/>
      <c r="G26" s="8"/>
      <c r="H26" s="8"/>
      <c r="J26" s="29"/>
    </row>
    <row r="27" spans="1:14" ht="13.5" customHeight="1"/>
    <row r="28" spans="1:14" ht="13.5" customHeight="1"/>
    <row r="29" spans="1:14" ht="13.5" customHeight="1"/>
    <row r="30" spans="1:14" ht="13.5" customHeight="1"/>
    <row r="33" spans="1:14" ht="17.25" customHeight="1">
      <c r="A33" s="76" t="str">
        <f>$A$1</f>
        <v>DAFTAR BUKTI PENERIMA PERJALANAN DINAS KE BANK (Transaksi Non Tunai)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4" ht="17.25" customHeight="1">
      <c r="A34" s="64" t="str">
        <f>Honor_guru!A37</f>
        <v>BULAN FEBRUARI 2026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4" ht="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4" ht="15" customHeight="1">
      <c r="C36" s="4" t="s">
        <v>0</v>
      </c>
      <c r="D36" s="5" t="s">
        <v>56</v>
      </c>
      <c r="F36" s="6"/>
      <c r="G36" s="7"/>
      <c r="H36" s="7"/>
      <c r="I36" s="4" t="s">
        <v>26</v>
      </c>
      <c r="J36" s="4" t="str">
        <f>J4</f>
        <v>: 07 Pengembangan Standar Pembiayaan</v>
      </c>
    </row>
    <row r="37" spans="1:14" ht="15" customHeight="1">
      <c r="C37" s="4" t="s">
        <v>2</v>
      </c>
      <c r="D37" s="4" t="str">
        <f>D5</f>
        <v>: SD NEGERI LEBAKLEUNGSIR</v>
      </c>
      <c r="F37" s="6"/>
      <c r="H37" s="8"/>
      <c r="I37" s="4" t="s">
        <v>27</v>
      </c>
      <c r="J37" s="4" t="str">
        <f>J5</f>
        <v>: Perjalanan Dinas ke bank</v>
      </c>
    </row>
    <row r="38" spans="1:14" ht="15" customHeight="1">
      <c r="C38" s="4" t="s">
        <v>3</v>
      </c>
      <c r="D38" s="4" t="str">
        <f>D6</f>
        <v>: Cikalongwetan</v>
      </c>
      <c r="F38" s="6"/>
      <c r="H38" s="8"/>
      <c r="I38" s="8" t="s">
        <v>28</v>
      </c>
      <c r="J38" s="4" t="str">
        <f>J6</f>
        <v>: 5.1.02.04.01.0003</v>
      </c>
    </row>
    <row r="39" spans="1:14" ht="15" customHeight="1">
      <c r="C39" s="4" t="s">
        <v>5</v>
      </c>
      <c r="D39" s="4" t="str">
        <f>D7</f>
        <v>: Bandung Barat</v>
      </c>
      <c r="F39" s="6"/>
      <c r="H39" s="8"/>
      <c r="I39" s="4" t="s">
        <v>7</v>
      </c>
      <c r="J39" s="4" t="str">
        <f>J7</f>
        <v>: 5</v>
      </c>
    </row>
    <row r="40" spans="1:14" ht="15" customHeight="1">
      <c r="H40" s="8"/>
      <c r="I40" s="8"/>
      <c r="J40" s="8"/>
    </row>
    <row r="41" spans="1:14" ht="41.25" customHeight="1">
      <c r="A41" s="9" t="s">
        <v>8</v>
      </c>
      <c r="B41" s="65" t="s">
        <v>9</v>
      </c>
      <c r="C41" s="66"/>
      <c r="D41" s="9" t="s">
        <v>10</v>
      </c>
      <c r="E41" s="10" t="s">
        <v>11</v>
      </c>
      <c r="F41" s="9" t="s">
        <v>45</v>
      </c>
      <c r="G41" s="9" t="s">
        <v>24</v>
      </c>
      <c r="H41" s="10" t="s">
        <v>13</v>
      </c>
      <c r="I41" s="10" t="s">
        <v>14</v>
      </c>
      <c r="J41" s="69" t="s">
        <v>17</v>
      </c>
      <c r="K41" s="71"/>
    </row>
    <row r="42" spans="1:14" ht="30.5" customHeight="1">
      <c r="A42" s="11">
        <v>1</v>
      </c>
      <c r="B42" s="12" t="str">
        <f>IF(B10="","",B10)</f>
        <v>DEDE GUNAWAN</v>
      </c>
      <c r="C42" s="13"/>
      <c r="D42" s="12" t="str">
        <f t="shared" ref="D42:H45" si="1">IF(D10="","",D10)</f>
        <v>Guru/Bendahara</v>
      </c>
      <c r="E42" s="11" t="str">
        <f t="shared" si="1"/>
        <v>III/b</v>
      </c>
      <c r="F42" s="11">
        <f t="shared" si="1"/>
        <v>2</v>
      </c>
      <c r="G42" s="11" t="str">
        <f t="shared" si="1"/>
        <v>Perjalanan</v>
      </c>
      <c r="H42" s="44">
        <f t="shared" si="1"/>
        <v>75000</v>
      </c>
      <c r="I42" s="16">
        <f>IFERROR(SUM(F42*H42),"")</f>
        <v>150000</v>
      </c>
      <c r="J42" s="54">
        <v>1</v>
      </c>
      <c r="K42" s="56">
        <v>2</v>
      </c>
    </row>
    <row r="43" spans="1:14" ht="30.5" customHeight="1">
      <c r="A43" s="11">
        <v>2</v>
      </c>
      <c r="B43" s="12" t="str">
        <f>IF(B11="","",B11)</f>
        <v/>
      </c>
      <c r="C43" s="13"/>
      <c r="D43" s="12" t="str">
        <f t="shared" si="1"/>
        <v/>
      </c>
      <c r="E43" s="11" t="str">
        <f t="shared" si="1"/>
        <v/>
      </c>
      <c r="F43" s="11" t="str">
        <f t="shared" si="1"/>
        <v/>
      </c>
      <c r="G43" s="11" t="str">
        <f t="shared" si="1"/>
        <v/>
      </c>
      <c r="H43" s="44" t="str">
        <f t="shared" si="1"/>
        <v/>
      </c>
      <c r="I43" s="16" t="str">
        <f t="shared" ref="I43:I45" si="2">IFERROR(SUM(F43*H43),"")</f>
        <v/>
      </c>
      <c r="J43" s="55"/>
      <c r="K43" s="57"/>
    </row>
    <row r="44" spans="1:14" ht="22.5" hidden="1" customHeight="1">
      <c r="A44" s="11">
        <v>3</v>
      </c>
      <c r="B44" s="12" t="str">
        <f>IF(B12="","",B12)</f>
        <v/>
      </c>
      <c r="C44" s="13"/>
      <c r="D44" s="12" t="str">
        <f t="shared" si="1"/>
        <v/>
      </c>
      <c r="E44" s="11" t="str">
        <f t="shared" si="1"/>
        <v/>
      </c>
      <c r="F44" s="11" t="str">
        <f t="shared" si="1"/>
        <v/>
      </c>
      <c r="G44" s="11" t="str">
        <f t="shared" si="1"/>
        <v/>
      </c>
      <c r="H44" s="44" t="str">
        <f t="shared" si="1"/>
        <v/>
      </c>
      <c r="I44" s="16" t="str">
        <f t="shared" si="2"/>
        <v/>
      </c>
      <c r="J44" s="54">
        <v>3</v>
      </c>
      <c r="K44" s="56">
        <v>4</v>
      </c>
    </row>
    <row r="45" spans="1:14" ht="22.5" hidden="1" customHeight="1">
      <c r="A45" s="11">
        <v>4</v>
      </c>
      <c r="B45" s="12" t="str">
        <f>IF(B13="","",B13)</f>
        <v/>
      </c>
      <c r="C45" s="13"/>
      <c r="D45" s="12" t="str">
        <f t="shared" si="1"/>
        <v/>
      </c>
      <c r="E45" s="11" t="str">
        <f t="shared" si="1"/>
        <v/>
      </c>
      <c r="F45" s="11" t="str">
        <f t="shared" si="1"/>
        <v/>
      </c>
      <c r="G45" s="11" t="str">
        <f t="shared" si="1"/>
        <v/>
      </c>
      <c r="H45" s="44" t="str">
        <f t="shared" si="1"/>
        <v/>
      </c>
      <c r="I45" s="16" t="str">
        <f t="shared" si="2"/>
        <v/>
      </c>
      <c r="J45" s="55"/>
      <c r="K45" s="57"/>
    </row>
    <row r="46" spans="1:14" s="21" customFormat="1" ht="22.5" customHeight="1">
      <c r="A46" s="69" t="s">
        <v>20</v>
      </c>
      <c r="B46" s="70"/>
      <c r="C46" s="70"/>
      <c r="D46" s="70"/>
      <c r="E46" s="70"/>
      <c r="F46" s="70"/>
      <c r="G46" s="70"/>
      <c r="H46" s="71"/>
      <c r="I46" s="18">
        <f>SUM(I42:I45)</f>
        <v>150000</v>
      </c>
      <c r="J46" s="20"/>
      <c r="K46" s="20"/>
      <c r="N46" s="22"/>
    </row>
    <row r="47" spans="1:14" ht="23.25" customHeight="1">
      <c r="A47" s="7"/>
      <c r="B47" s="7"/>
      <c r="C47" s="7"/>
      <c r="D47" s="7"/>
      <c r="E47" s="7"/>
      <c r="F47" s="7"/>
      <c r="G47" s="7"/>
      <c r="H47" s="23"/>
      <c r="I47" s="23"/>
    </row>
    <row r="48" spans="1:14">
      <c r="A48" s="8"/>
      <c r="B48" s="8"/>
      <c r="C48" s="8"/>
      <c r="D48" s="8"/>
      <c r="E48" s="8"/>
      <c r="F48" s="8"/>
      <c r="G48" s="8"/>
      <c r="H48" s="8"/>
      <c r="J48" s="24" t="s">
        <v>187</v>
      </c>
    </row>
    <row r="49" spans="1:14">
      <c r="A49" s="8"/>
      <c r="C49" s="24" t="s">
        <v>21</v>
      </c>
      <c r="D49" s="24"/>
      <c r="E49" s="24"/>
      <c r="F49" s="24"/>
      <c r="G49" s="8"/>
      <c r="H49" s="8"/>
      <c r="J49" s="24" t="str">
        <f>Honor_guru!P55</f>
        <v>Dibayar Lunas Tgl. 4 Februari 2026</v>
      </c>
    </row>
    <row r="50" spans="1:14">
      <c r="A50" s="8"/>
      <c r="C50" s="24" t="s">
        <v>22</v>
      </c>
      <c r="D50" s="24"/>
      <c r="E50" s="24"/>
      <c r="F50" s="24"/>
      <c r="G50" s="8"/>
      <c r="H50" s="8"/>
      <c r="J50" s="24" t="s">
        <v>23</v>
      </c>
    </row>
    <row r="51" spans="1:14">
      <c r="A51" s="8"/>
      <c r="C51" s="24"/>
      <c r="D51" s="24"/>
      <c r="E51" s="24"/>
      <c r="F51" s="24"/>
      <c r="G51" s="8"/>
      <c r="H51" s="8"/>
      <c r="J51" s="25"/>
      <c r="N51" s="26"/>
    </row>
    <row r="52" spans="1:14">
      <c r="A52" s="8"/>
      <c r="C52" s="24"/>
      <c r="D52" s="24"/>
      <c r="E52" s="24"/>
      <c r="F52" s="24"/>
      <c r="G52" s="8"/>
      <c r="H52" s="8"/>
      <c r="J52" s="25"/>
    </row>
    <row r="53" spans="1:14">
      <c r="A53" s="8"/>
      <c r="C53" s="24"/>
      <c r="D53" s="24"/>
      <c r="E53" s="24"/>
      <c r="F53" s="24"/>
      <c r="G53" s="8"/>
      <c r="H53" s="8"/>
      <c r="J53" s="25"/>
    </row>
    <row r="54" spans="1:14">
      <c r="A54" s="8"/>
      <c r="C54" s="24"/>
      <c r="D54" s="24"/>
      <c r="E54" s="24"/>
      <c r="F54" s="24"/>
      <c r="G54" s="8"/>
      <c r="H54" s="8"/>
      <c r="J54" s="25"/>
    </row>
    <row r="55" spans="1:14">
      <c r="A55" s="8"/>
      <c r="C55" s="24"/>
      <c r="D55" s="24"/>
      <c r="E55" s="24"/>
      <c r="F55" s="24"/>
      <c r="G55" s="8"/>
      <c r="H55" s="8"/>
      <c r="J55" s="25"/>
    </row>
    <row r="56" spans="1:14" ht="15" customHeight="1">
      <c r="A56" s="8"/>
      <c r="C56" s="27" t="str">
        <f>C24</f>
        <v>BADRUDDIN, S.Ag.</v>
      </c>
      <c r="D56" s="28"/>
      <c r="E56" s="28"/>
      <c r="F56" s="8"/>
      <c r="G56" s="8"/>
      <c r="J56" s="27" t="str">
        <f>J24</f>
        <v>DEDE GUNAWAN, S.Pd.</v>
      </c>
    </row>
    <row r="57" spans="1:14" ht="13.5" customHeight="1">
      <c r="A57" s="8"/>
      <c r="C57" s="43" t="str">
        <f>C25</f>
        <v>NIP. 197405082014121002</v>
      </c>
      <c r="D57" s="25"/>
      <c r="E57" s="25"/>
      <c r="F57" s="8"/>
      <c r="G57" s="8"/>
      <c r="J57" s="43" t="str">
        <f>J25</f>
        <v>NIP. 198507172020121003</v>
      </c>
    </row>
    <row r="58" spans="1:14" ht="15" customHeight="1">
      <c r="A58" s="8"/>
      <c r="C58" s="28"/>
      <c r="D58" s="28"/>
      <c r="E58" s="28"/>
      <c r="F58" s="28"/>
      <c r="G58" s="8"/>
      <c r="H58" s="8"/>
      <c r="J58" s="29"/>
    </row>
    <row r="59" spans="1:14" ht="13.5" customHeight="1"/>
    <row r="60" spans="1:14" ht="13.5" customHeight="1"/>
    <row r="61" spans="1:14" ht="13.5" customHeight="1"/>
    <row r="62" spans="1:14" ht="13.5" customHeight="1"/>
    <row r="65" spans="1:14" ht="17.25" customHeight="1">
      <c r="A65" s="76" t="str">
        <f>$A$1</f>
        <v>DAFTAR BUKTI PENERIMA PERJALANAN DINAS KE BANK (Transaksi Non Tunai)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4" ht="17.25" customHeight="1">
      <c r="A66" s="64" t="str">
        <f>Honor_guru!A73</f>
        <v>BULAN MARET 2026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4" ht="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4" ht="15" customHeight="1">
      <c r="C68" s="4" t="s">
        <v>0</v>
      </c>
      <c r="D68" s="5" t="s">
        <v>56</v>
      </c>
      <c r="F68" s="6"/>
      <c r="G68" s="7"/>
      <c r="H68" s="7"/>
      <c r="I68" s="4" t="s">
        <v>26</v>
      </c>
      <c r="J68" s="4" t="str">
        <f>J36</f>
        <v>: 07 Pengembangan Standar Pembiayaan</v>
      </c>
    </row>
    <row r="69" spans="1:14" ht="15" customHeight="1">
      <c r="C69" s="4" t="s">
        <v>2</v>
      </c>
      <c r="D69" s="4" t="str">
        <f>D37</f>
        <v>: SD NEGERI LEBAKLEUNGSIR</v>
      </c>
      <c r="F69" s="6"/>
      <c r="H69" s="8"/>
      <c r="I69" s="4" t="s">
        <v>27</v>
      </c>
      <c r="J69" s="4" t="str">
        <f>J37</f>
        <v>: Perjalanan Dinas ke bank</v>
      </c>
    </row>
    <row r="70" spans="1:14" ht="15" customHeight="1">
      <c r="C70" s="4" t="s">
        <v>3</v>
      </c>
      <c r="D70" s="4" t="str">
        <f>D38</f>
        <v>: Cikalongwetan</v>
      </c>
      <c r="F70" s="6"/>
      <c r="H70" s="8"/>
      <c r="I70" s="8" t="s">
        <v>28</v>
      </c>
      <c r="J70" s="4" t="str">
        <f>J38</f>
        <v>: 5.1.02.04.01.0003</v>
      </c>
    </row>
    <row r="71" spans="1:14" ht="15" customHeight="1">
      <c r="C71" s="4" t="s">
        <v>5</v>
      </c>
      <c r="D71" s="4" t="str">
        <f>D39</f>
        <v>: Bandung Barat</v>
      </c>
      <c r="F71" s="6"/>
      <c r="H71" s="8"/>
      <c r="I71" s="4" t="s">
        <v>7</v>
      </c>
      <c r="J71" s="4" t="str">
        <f>J39</f>
        <v>: 5</v>
      </c>
    </row>
    <row r="72" spans="1:14" ht="15" customHeight="1">
      <c r="H72" s="8"/>
      <c r="I72" s="8"/>
      <c r="J72" s="8"/>
    </row>
    <row r="73" spans="1:14" ht="41.25" customHeight="1">
      <c r="A73" s="9" t="s">
        <v>8</v>
      </c>
      <c r="B73" s="65" t="s">
        <v>9</v>
      </c>
      <c r="C73" s="66"/>
      <c r="D73" s="9" t="s">
        <v>10</v>
      </c>
      <c r="E73" s="10" t="s">
        <v>11</v>
      </c>
      <c r="F73" s="9" t="s">
        <v>45</v>
      </c>
      <c r="G73" s="9" t="s">
        <v>24</v>
      </c>
      <c r="H73" s="10" t="s">
        <v>13</v>
      </c>
      <c r="I73" s="10" t="s">
        <v>14</v>
      </c>
      <c r="J73" s="69" t="s">
        <v>17</v>
      </c>
      <c r="K73" s="71"/>
    </row>
    <row r="74" spans="1:14" ht="22.5" customHeight="1">
      <c r="A74" s="11">
        <v>1</v>
      </c>
      <c r="B74" s="12" t="str">
        <f>IF(B42="","",B42)</f>
        <v>DEDE GUNAWAN</v>
      </c>
      <c r="C74" s="13"/>
      <c r="D74" s="12" t="str">
        <f t="shared" ref="D74:E77" si="3">IF(D42="","",D42)</f>
        <v>Guru/Bendahara</v>
      </c>
      <c r="E74" s="11" t="str">
        <f t="shared" si="3"/>
        <v>III/b</v>
      </c>
      <c r="F74" s="11">
        <v>1</v>
      </c>
      <c r="G74" s="11" t="str">
        <f t="shared" ref="G74:H77" si="4">IF(G42="","",G42)</f>
        <v>Perjalanan</v>
      </c>
      <c r="H74" s="44">
        <f t="shared" si="4"/>
        <v>75000</v>
      </c>
      <c r="I74" s="16">
        <f>IFERROR(SUM(F74*H74),"")</f>
        <v>75000</v>
      </c>
      <c r="J74" s="54">
        <v>1</v>
      </c>
      <c r="K74" s="56">
        <v>2</v>
      </c>
    </row>
    <row r="75" spans="1:14" ht="22.5" customHeight="1">
      <c r="A75" s="11">
        <v>2</v>
      </c>
      <c r="B75" s="12" t="str">
        <f>IF(B43="","",B43)</f>
        <v/>
      </c>
      <c r="C75" s="13"/>
      <c r="D75" s="12" t="str">
        <f t="shared" si="3"/>
        <v/>
      </c>
      <c r="E75" s="11" t="str">
        <f t="shared" si="3"/>
        <v/>
      </c>
      <c r="F75" s="11" t="str">
        <f>IF(F43="","",F43)</f>
        <v/>
      </c>
      <c r="G75" s="11" t="str">
        <f t="shared" si="4"/>
        <v/>
      </c>
      <c r="H75" s="44" t="str">
        <f t="shared" si="4"/>
        <v/>
      </c>
      <c r="I75" s="16" t="str">
        <f t="shared" ref="I75:I77" si="5">IFERROR(SUM(F75*H75),"")</f>
        <v/>
      </c>
      <c r="J75" s="55"/>
      <c r="K75" s="57"/>
    </row>
    <row r="76" spans="1:14" ht="22.5" hidden="1" customHeight="1">
      <c r="A76" s="11">
        <v>3</v>
      </c>
      <c r="B76" s="12" t="str">
        <f>IF(B44="","",B44)</f>
        <v/>
      </c>
      <c r="C76" s="13"/>
      <c r="D76" s="12" t="str">
        <f t="shared" si="3"/>
        <v/>
      </c>
      <c r="E76" s="11" t="str">
        <f t="shared" si="3"/>
        <v/>
      </c>
      <c r="F76" s="11" t="str">
        <f>IF(F44="","",F44)</f>
        <v/>
      </c>
      <c r="G76" s="11" t="str">
        <f t="shared" si="4"/>
        <v/>
      </c>
      <c r="H76" s="44" t="str">
        <f t="shared" si="4"/>
        <v/>
      </c>
      <c r="I76" s="16" t="str">
        <f t="shared" si="5"/>
        <v/>
      </c>
      <c r="J76" s="54">
        <v>3</v>
      </c>
      <c r="K76" s="56">
        <v>4</v>
      </c>
    </row>
    <row r="77" spans="1:14" ht="22.5" hidden="1" customHeight="1">
      <c r="A77" s="11">
        <v>4</v>
      </c>
      <c r="B77" s="12" t="str">
        <f>IF(B45="","",B45)</f>
        <v/>
      </c>
      <c r="C77" s="13"/>
      <c r="D77" s="12" t="str">
        <f t="shared" si="3"/>
        <v/>
      </c>
      <c r="E77" s="11" t="str">
        <f t="shared" si="3"/>
        <v/>
      </c>
      <c r="F77" s="11" t="str">
        <f>IF(F45="","",F45)</f>
        <v/>
      </c>
      <c r="G77" s="11" t="str">
        <f t="shared" si="4"/>
        <v/>
      </c>
      <c r="H77" s="44" t="str">
        <f t="shared" si="4"/>
        <v/>
      </c>
      <c r="I77" s="16" t="str">
        <f t="shared" si="5"/>
        <v/>
      </c>
      <c r="J77" s="55"/>
      <c r="K77" s="57"/>
    </row>
    <row r="78" spans="1:14" s="21" customFormat="1" ht="22.5" customHeight="1">
      <c r="A78" s="69" t="s">
        <v>20</v>
      </c>
      <c r="B78" s="70"/>
      <c r="C78" s="70"/>
      <c r="D78" s="70"/>
      <c r="E78" s="70"/>
      <c r="F78" s="70"/>
      <c r="G78" s="70"/>
      <c r="H78" s="71"/>
      <c r="I78" s="18">
        <f>SUM(I74:I77)</f>
        <v>75000</v>
      </c>
      <c r="J78" s="20"/>
      <c r="K78" s="20"/>
      <c r="N78" s="22"/>
    </row>
    <row r="79" spans="1:14" ht="23.25" customHeight="1">
      <c r="A79" s="7"/>
      <c r="B79" s="7"/>
      <c r="C79" s="7"/>
      <c r="D79" s="7"/>
      <c r="E79" s="7"/>
      <c r="F79" s="7"/>
      <c r="G79" s="7"/>
      <c r="H79" s="23"/>
      <c r="I79" s="23"/>
    </row>
    <row r="80" spans="1:14">
      <c r="A80" s="8"/>
      <c r="B80" s="8"/>
      <c r="C80" s="8"/>
      <c r="D80" s="8"/>
      <c r="E80" s="8"/>
      <c r="F80" s="8"/>
      <c r="G80" s="8"/>
      <c r="H80" s="8"/>
      <c r="J80" s="24" t="s">
        <v>189</v>
      </c>
    </row>
    <row r="81" spans="1:14">
      <c r="A81" s="8"/>
      <c r="C81" s="24" t="s">
        <v>21</v>
      </c>
      <c r="D81" s="24"/>
      <c r="E81" s="24"/>
      <c r="F81" s="24"/>
      <c r="G81" s="8"/>
      <c r="H81" s="8"/>
      <c r="J81" s="24" t="str">
        <f>Honor_guru!P91</f>
        <v>Dibayar Lunas Tgl. 5 Maret 2026</v>
      </c>
    </row>
    <row r="82" spans="1:14">
      <c r="A82" s="8"/>
      <c r="C82" s="24" t="s">
        <v>22</v>
      </c>
      <c r="D82" s="24"/>
      <c r="E82" s="24"/>
      <c r="F82" s="24"/>
      <c r="G82" s="8"/>
      <c r="H82" s="8"/>
      <c r="J82" s="24" t="s">
        <v>23</v>
      </c>
    </row>
    <row r="83" spans="1:14">
      <c r="A83" s="8"/>
      <c r="C83" s="24"/>
      <c r="D83" s="24"/>
      <c r="E83" s="24"/>
      <c r="F83" s="24"/>
      <c r="G83" s="8"/>
      <c r="H83" s="8"/>
      <c r="J83" s="25"/>
      <c r="N83" s="26"/>
    </row>
    <row r="84" spans="1:14">
      <c r="A84" s="8"/>
      <c r="C84" s="24"/>
      <c r="D84" s="24"/>
      <c r="E84" s="24"/>
      <c r="F84" s="24"/>
      <c r="G84" s="8"/>
      <c r="H84" s="8"/>
      <c r="J84" s="25"/>
    </row>
    <row r="85" spans="1:14">
      <c r="A85" s="8"/>
      <c r="C85" s="24"/>
      <c r="D85" s="24"/>
      <c r="E85" s="24"/>
      <c r="F85" s="24"/>
      <c r="G85" s="8"/>
      <c r="H85" s="8"/>
      <c r="J85" s="25"/>
    </row>
    <row r="86" spans="1:14">
      <c r="A86" s="8"/>
      <c r="C86" s="24"/>
      <c r="D86" s="24"/>
      <c r="E86" s="24"/>
      <c r="F86" s="24"/>
      <c r="G86" s="8"/>
      <c r="H86" s="8"/>
      <c r="J86" s="25"/>
    </row>
    <row r="87" spans="1:14">
      <c r="A87" s="8"/>
      <c r="C87" s="24"/>
      <c r="D87" s="24"/>
      <c r="E87" s="24"/>
      <c r="F87" s="24"/>
      <c r="G87" s="8"/>
      <c r="H87" s="8"/>
      <c r="J87" s="25"/>
    </row>
    <row r="88" spans="1:14" ht="15" customHeight="1">
      <c r="A88" s="8"/>
      <c r="C88" s="27" t="str">
        <f>C56</f>
        <v>BADRUDDIN, S.Ag.</v>
      </c>
      <c r="D88" s="28"/>
      <c r="E88" s="28"/>
      <c r="F88" s="8"/>
      <c r="G88" s="8"/>
      <c r="J88" s="27" t="str">
        <f>J56</f>
        <v>DEDE GUNAWAN, S.Pd.</v>
      </c>
    </row>
    <row r="89" spans="1:14" ht="13.5" customHeight="1">
      <c r="A89" s="8"/>
      <c r="C89" s="43" t="str">
        <f>C57</f>
        <v>NIP. 197405082014121002</v>
      </c>
      <c r="D89" s="25"/>
      <c r="E89" s="25"/>
      <c r="F89" s="8"/>
      <c r="G89" s="8"/>
      <c r="J89" s="43" t="str">
        <f>J57</f>
        <v>NIP. 198507172020121003</v>
      </c>
    </row>
    <row r="90" spans="1:14" ht="15" customHeight="1">
      <c r="A90" s="8"/>
      <c r="C90" s="28"/>
      <c r="D90" s="28"/>
      <c r="E90" s="28"/>
      <c r="F90" s="28"/>
      <c r="G90" s="8"/>
      <c r="H90" s="8"/>
      <c r="J90" s="29"/>
    </row>
    <row r="91" spans="1:14" ht="13.5" customHeight="1"/>
    <row r="92" spans="1:14" ht="13.5" customHeight="1"/>
    <row r="93" spans="1:14" ht="13.5" customHeight="1"/>
    <row r="94" spans="1:14" ht="13.5" customHeight="1"/>
    <row r="99" spans="1:14" ht="17.25" customHeight="1">
      <c r="A99" s="76" t="str">
        <f>$A$1</f>
        <v>DAFTAR BUKTI PENERIMA PERJALANAN DINAS KE BANK (Transaksi Non Tunai)</v>
      </c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spans="1:14" ht="17.25" customHeight="1">
      <c r="A100" s="64" t="str">
        <f>Honor_guru!A109</f>
        <v>BULAN APRIL 2026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4" ht="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4" ht="15" customHeight="1">
      <c r="C102" s="4" t="s">
        <v>0</v>
      </c>
      <c r="D102" s="5" t="s">
        <v>56</v>
      </c>
      <c r="F102" s="6"/>
      <c r="G102" s="7"/>
      <c r="H102" s="7"/>
      <c r="I102" s="4" t="s">
        <v>26</v>
      </c>
      <c r="J102" s="4" t="str">
        <f>J68</f>
        <v>: 07 Pengembangan Standar Pembiayaan</v>
      </c>
    </row>
    <row r="103" spans="1:14" ht="15" customHeight="1">
      <c r="C103" s="4" t="s">
        <v>2</v>
      </c>
      <c r="D103" s="4" t="str">
        <f>D69</f>
        <v>: SD NEGERI LEBAKLEUNGSIR</v>
      </c>
      <c r="F103" s="6"/>
      <c r="H103" s="8"/>
      <c r="I103" s="4" t="s">
        <v>27</v>
      </c>
      <c r="J103" s="4" t="str">
        <f t="shared" ref="J103:J105" si="6">J69</f>
        <v>: Perjalanan Dinas ke bank</v>
      </c>
    </row>
    <row r="104" spans="1:14" ht="15" customHeight="1">
      <c r="C104" s="4" t="s">
        <v>3</v>
      </c>
      <c r="D104" s="4" t="str">
        <f t="shared" ref="D104:D105" si="7">D70</f>
        <v>: Cikalongwetan</v>
      </c>
      <c r="F104" s="6"/>
      <c r="H104" s="8"/>
      <c r="I104" s="8" t="s">
        <v>28</v>
      </c>
      <c r="J104" s="4" t="str">
        <f t="shared" si="6"/>
        <v>: 5.1.02.04.01.0003</v>
      </c>
    </row>
    <row r="105" spans="1:14" ht="15" customHeight="1">
      <c r="C105" s="4" t="s">
        <v>5</v>
      </c>
      <c r="D105" s="4" t="str">
        <f t="shared" si="7"/>
        <v>: Bandung Barat</v>
      </c>
      <c r="F105" s="6"/>
      <c r="H105" s="8"/>
      <c r="I105" s="4" t="s">
        <v>7</v>
      </c>
      <c r="J105" s="4" t="str">
        <f t="shared" si="6"/>
        <v>: 5</v>
      </c>
    </row>
    <row r="106" spans="1:14" ht="15" customHeight="1">
      <c r="H106" s="8"/>
      <c r="I106" s="8"/>
      <c r="J106" s="8"/>
    </row>
    <row r="107" spans="1:14" ht="41.25" customHeight="1">
      <c r="A107" s="9" t="s">
        <v>8</v>
      </c>
      <c r="B107" s="65" t="s">
        <v>9</v>
      </c>
      <c r="C107" s="66"/>
      <c r="D107" s="9" t="s">
        <v>10</v>
      </c>
      <c r="E107" s="10" t="s">
        <v>11</v>
      </c>
      <c r="F107" s="9" t="s">
        <v>45</v>
      </c>
      <c r="G107" s="9" t="s">
        <v>24</v>
      </c>
      <c r="H107" s="10" t="s">
        <v>13</v>
      </c>
      <c r="I107" s="10" t="s">
        <v>14</v>
      </c>
      <c r="J107" s="69" t="s">
        <v>17</v>
      </c>
      <c r="K107" s="71"/>
    </row>
    <row r="108" spans="1:14" ht="29" customHeight="1">
      <c r="A108" s="11">
        <v>1</v>
      </c>
      <c r="B108" s="12" t="str">
        <f>IF(B74="","",B74)</f>
        <v>DEDE GUNAWAN</v>
      </c>
      <c r="C108" s="13"/>
      <c r="D108" s="12" t="str">
        <f>IF(D74="","",D74)</f>
        <v>Guru/Bendahara</v>
      </c>
      <c r="E108" s="11" t="str">
        <f>IF(E74="","",E74)</f>
        <v>III/b</v>
      </c>
      <c r="F108" s="11">
        <f>IF(F74="","",F74)</f>
        <v>1</v>
      </c>
      <c r="G108" s="11" t="str">
        <f>IF(G74="","",G74)</f>
        <v>Perjalanan</v>
      </c>
      <c r="H108" s="44">
        <f>IF(H74="","",H74)</f>
        <v>75000</v>
      </c>
      <c r="I108" s="16">
        <f>IFERROR(SUM(F108*H108),"")</f>
        <v>75000</v>
      </c>
      <c r="J108" s="54">
        <v>1</v>
      </c>
      <c r="K108" s="56">
        <v>2</v>
      </c>
    </row>
    <row r="109" spans="1:14" ht="29" customHeight="1">
      <c r="A109" s="11">
        <v>2</v>
      </c>
      <c r="B109" s="12" t="str">
        <f t="shared" ref="B109:B111" si="8">IF(B75="","",B75)</f>
        <v/>
      </c>
      <c r="C109" s="13"/>
      <c r="D109" s="12" t="str">
        <f t="shared" ref="D109:H109" si="9">IF(D75="","",D75)</f>
        <v/>
      </c>
      <c r="E109" s="11" t="str">
        <f t="shared" si="9"/>
        <v/>
      </c>
      <c r="F109" s="11" t="str">
        <f t="shared" si="9"/>
        <v/>
      </c>
      <c r="G109" s="11" t="str">
        <f t="shared" si="9"/>
        <v/>
      </c>
      <c r="H109" s="44" t="str">
        <f t="shared" si="9"/>
        <v/>
      </c>
      <c r="I109" s="16" t="str">
        <f t="shared" ref="I109:I111" si="10">IFERROR(SUM(F109*H109),"")</f>
        <v/>
      </c>
      <c r="J109" s="55"/>
      <c r="K109" s="57"/>
    </row>
    <row r="110" spans="1:14" ht="22.5" hidden="1" customHeight="1">
      <c r="A110" s="11">
        <v>3</v>
      </c>
      <c r="B110" s="12" t="str">
        <f t="shared" si="8"/>
        <v/>
      </c>
      <c r="C110" s="13"/>
      <c r="D110" s="12" t="str">
        <f t="shared" ref="D110:H110" si="11">IF(D76="","",D76)</f>
        <v/>
      </c>
      <c r="E110" s="11" t="str">
        <f t="shared" si="11"/>
        <v/>
      </c>
      <c r="F110" s="11" t="str">
        <f t="shared" si="11"/>
        <v/>
      </c>
      <c r="G110" s="11" t="str">
        <f t="shared" si="11"/>
        <v/>
      </c>
      <c r="H110" s="44" t="str">
        <f t="shared" si="11"/>
        <v/>
      </c>
      <c r="I110" s="16" t="str">
        <f t="shared" si="10"/>
        <v/>
      </c>
      <c r="J110" s="54">
        <v>3</v>
      </c>
      <c r="K110" s="56">
        <v>4</v>
      </c>
    </row>
    <row r="111" spans="1:14" ht="22.5" hidden="1" customHeight="1">
      <c r="A111" s="11">
        <v>4</v>
      </c>
      <c r="B111" s="12" t="str">
        <f t="shared" si="8"/>
        <v/>
      </c>
      <c r="C111" s="13"/>
      <c r="D111" s="12" t="str">
        <f t="shared" ref="D111:H111" si="12">IF(D77="","",D77)</f>
        <v/>
      </c>
      <c r="E111" s="11" t="str">
        <f t="shared" si="12"/>
        <v/>
      </c>
      <c r="F111" s="11" t="str">
        <f t="shared" si="12"/>
        <v/>
      </c>
      <c r="G111" s="11" t="str">
        <f t="shared" si="12"/>
        <v/>
      </c>
      <c r="H111" s="44" t="str">
        <f t="shared" si="12"/>
        <v/>
      </c>
      <c r="I111" s="16" t="str">
        <f t="shared" si="10"/>
        <v/>
      </c>
      <c r="J111" s="55"/>
      <c r="K111" s="57"/>
    </row>
    <row r="112" spans="1:14" s="21" customFormat="1" ht="22.5" customHeight="1">
      <c r="A112" s="69" t="s">
        <v>20</v>
      </c>
      <c r="B112" s="70"/>
      <c r="C112" s="70"/>
      <c r="D112" s="70"/>
      <c r="E112" s="70"/>
      <c r="F112" s="70"/>
      <c r="G112" s="70"/>
      <c r="H112" s="71"/>
      <c r="I112" s="18">
        <f>SUM(I108:I111)</f>
        <v>75000</v>
      </c>
      <c r="J112" s="20"/>
      <c r="K112" s="20"/>
      <c r="N112" s="22"/>
    </row>
    <row r="113" spans="1:14" ht="23.25" customHeight="1">
      <c r="A113" s="7"/>
      <c r="B113" s="7"/>
      <c r="C113" s="7"/>
      <c r="D113" s="7"/>
      <c r="E113" s="7"/>
      <c r="F113" s="7"/>
      <c r="G113" s="7"/>
      <c r="H113" s="23"/>
      <c r="I113" s="23"/>
    </row>
    <row r="114" spans="1:14">
      <c r="A114" s="8"/>
      <c r="B114" s="8"/>
      <c r="C114" s="8"/>
      <c r="D114" s="8"/>
      <c r="E114" s="8"/>
      <c r="F114" s="8"/>
      <c r="G114" s="8"/>
      <c r="H114" s="8"/>
      <c r="J114" s="24" t="s">
        <v>190</v>
      </c>
    </row>
    <row r="115" spans="1:14">
      <c r="A115" s="8"/>
      <c r="C115" s="24" t="s">
        <v>21</v>
      </c>
      <c r="D115" s="24"/>
      <c r="E115" s="24"/>
      <c r="F115" s="24"/>
      <c r="G115" s="8"/>
      <c r="H115" s="8"/>
      <c r="J115" s="24" t="str">
        <f>Honor_guru!P127</f>
        <v>Dibayar Lunas Tgl. 7 April 2026</v>
      </c>
    </row>
    <row r="116" spans="1:14">
      <c r="A116" s="8"/>
      <c r="C116" s="24" t="s">
        <v>22</v>
      </c>
      <c r="D116" s="24"/>
      <c r="E116" s="24"/>
      <c r="F116" s="24"/>
      <c r="G116" s="8"/>
      <c r="H116" s="8"/>
      <c r="J116" s="24" t="s">
        <v>23</v>
      </c>
    </row>
    <row r="117" spans="1:14">
      <c r="A117" s="8"/>
      <c r="C117" s="24"/>
      <c r="D117" s="24"/>
      <c r="E117" s="24"/>
      <c r="F117" s="24"/>
      <c r="G117" s="8"/>
      <c r="H117" s="8"/>
      <c r="J117" s="25"/>
      <c r="N117" s="26"/>
    </row>
    <row r="118" spans="1:14">
      <c r="A118" s="8"/>
      <c r="C118" s="24"/>
      <c r="D118" s="24"/>
      <c r="E118" s="24"/>
      <c r="F118" s="24"/>
      <c r="G118" s="8"/>
      <c r="H118" s="8"/>
      <c r="J118" s="25"/>
    </row>
    <row r="119" spans="1:14">
      <c r="A119" s="8"/>
      <c r="C119" s="24"/>
      <c r="D119" s="24"/>
      <c r="E119" s="24"/>
      <c r="F119" s="24"/>
      <c r="G119" s="8"/>
      <c r="H119" s="8"/>
      <c r="J119" s="25"/>
    </row>
    <row r="120" spans="1:14">
      <c r="A120" s="8"/>
      <c r="C120" s="24"/>
      <c r="D120" s="24"/>
      <c r="E120" s="24"/>
      <c r="F120" s="24"/>
      <c r="G120" s="8"/>
      <c r="H120" s="8"/>
      <c r="J120" s="25"/>
    </row>
    <row r="121" spans="1:14">
      <c r="A121" s="8"/>
      <c r="C121" s="24"/>
      <c r="D121" s="24"/>
      <c r="E121" s="24"/>
      <c r="F121" s="24"/>
      <c r="G121" s="8"/>
      <c r="H121" s="8"/>
      <c r="J121" s="25"/>
    </row>
    <row r="122" spans="1:14" ht="15" customHeight="1">
      <c r="A122" s="8"/>
      <c r="C122" s="27" t="str">
        <f>Honor_guru!C134</f>
        <v>BADRUDDIN, S.Ag.</v>
      </c>
      <c r="D122" s="28"/>
      <c r="E122" s="28"/>
      <c r="F122" s="8"/>
      <c r="G122" s="8"/>
      <c r="J122" s="27" t="str">
        <f>J88</f>
        <v>DEDE GUNAWAN, S.Pd.</v>
      </c>
    </row>
    <row r="123" spans="1:14" ht="13.5" customHeight="1">
      <c r="A123" s="8"/>
      <c r="C123" s="43" t="str">
        <f>Honor_guru!C135</f>
        <v>NIP. 197405082014121002</v>
      </c>
      <c r="D123" s="25"/>
      <c r="E123" s="25"/>
      <c r="F123" s="8"/>
      <c r="G123" s="8"/>
      <c r="J123" s="43" t="str">
        <f>J89</f>
        <v>NIP. 198507172020121003</v>
      </c>
    </row>
    <row r="124" spans="1:14" ht="15" customHeight="1">
      <c r="A124" s="8"/>
      <c r="C124" s="28"/>
      <c r="D124" s="28"/>
      <c r="E124" s="28"/>
      <c r="F124" s="28"/>
      <c r="G124" s="8"/>
      <c r="H124" s="8"/>
      <c r="J124" s="29"/>
    </row>
    <row r="125" spans="1:14" ht="13.5" customHeight="1"/>
    <row r="126" spans="1:14" ht="13.5" customHeight="1"/>
    <row r="127" spans="1:14" ht="13.5" customHeight="1"/>
    <row r="128" spans="1:14" ht="13.5" customHeight="1"/>
    <row r="130" spans="1:14" ht="17.25" customHeight="1">
      <c r="A130" s="76" t="str">
        <f>$A$1</f>
        <v>DAFTAR BUKTI PENERIMA PERJALANAN DINAS KE BANK (Transaksi Non Tunai)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4" ht="17.25" customHeight="1">
      <c r="A131" s="64" t="str">
        <f>Honor_guru!A145</f>
        <v>BULAN MEI 2026</v>
      </c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4" ht="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4" ht="15" customHeight="1">
      <c r="C133" s="4" t="s">
        <v>0</v>
      </c>
      <c r="D133" s="5" t="s">
        <v>56</v>
      </c>
      <c r="F133" s="6"/>
      <c r="G133" s="7"/>
      <c r="H133" s="7"/>
      <c r="I133" s="4" t="s">
        <v>26</v>
      </c>
      <c r="J133" s="4" t="str">
        <f>J102</f>
        <v>: 07 Pengembangan Standar Pembiayaan</v>
      </c>
    </row>
    <row r="134" spans="1:14" ht="15" customHeight="1">
      <c r="C134" s="4" t="s">
        <v>2</v>
      </c>
      <c r="D134" s="4" t="str">
        <f>D103</f>
        <v>: SD NEGERI LEBAKLEUNGSIR</v>
      </c>
      <c r="F134" s="6"/>
      <c r="H134" s="8"/>
      <c r="I134" s="4" t="s">
        <v>27</v>
      </c>
      <c r="J134" s="4" t="str">
        <f>J103</f>
        <v>: Perjalanan Dinas ke bank</v>
      </c>
    </row>
    <row r="135" spans="1:14" ht="15" customHeight="1">
      <c r="C135" s="4" t="s">
        <v>3</v>
      </c>
      <c r="D135" s="4" t="str">
        <f>D104</f>
        <v>: Cikalongwetan</v>
      </c>
      <c r="F135" s="6"/>
      <c r="H135" s="8"/>
      <c r="I135" s="8" t="s">
        <v>28</v>
      </c>
      <c r="J135" s="4" t="str">
        <f>J104</f>
        <v>: 5.1.02.04.01.0003</v>
      </c>
    </row>
    <row r="136" spans="1:14" ht="15" customHeight="1">
      <c r="C136" s="4" t="s">
        <v>5</v>
      </c>
      <c r="D136" s="4" t="str">
        <f>D105</f>
        <v>: Bandung Barat</v>
      </c>
      <c r="F136" s="6"/>
      <c r="H136" s="8"/>
      <c r="I136" s="4" t="s">
        <v>7</v>
      </c>
      <c r="J136" s="4" t="str">
        <f>J105</f>
        <v>: 5</v>
      </c>
    </row>
    <row r="137" spans="1:14" ht="15" customHeight="1">
      <c r="H137" s="8"/>
      <c r="I137" s="8"/>
      <c r="J137" s="8"/>
    </row>
    <row r="138" spans="1:14" ht="41.25" customHeight="1">
      <c r="A138" s="9" t="s">
        <v>8</v>
      </c>
      <c r="B138" s="65" t="s">
        <v>9</v>
      </c>
      <c r="C138" s="66"/>
      <c r="D138" s="9" t="s">
        <v>10</v>
      </c>
      <c r="E138" s="10" t="s">
        <v>11</v>
      </c>
      <c r="F138" s="9" t="s">
        <v>45</v>
      </c>
      <c r="G138" s="9" t="s">
        <v>24</v>
      </c>
      <c r="H138" s="10" t="s">
        <v>13</v>
      </c>
      <c r="I138" s="10" t="s">
        <v>14</v>
      </c>
      <c r="J138" s="69" t="s">
        <v>17</v>
      </c>
      <c r="K138" s="71"/>
    </row>
    <row r="139" spans="1:14" ht="30.5" customHeight="1">
      <c r="A139" s="11">
        <v>1</v>
      </c>
      <c r="B139" s="12" t="str">
        <f>IF(B108="","",B108)</f>
        <v>DEDE GUNAWAN</v>
      </c>
      <c r="C139" s="13"/>
      <c r="D139" s="12" t="str">
        <f t="shared" ref="D139:H142" si="13">IF(D108="","",D108)</f>
        <v>Guru/Bendahara</v>
      </c>
      <c r="E139" s="11" t="str">
        <f t="shared" si="13"/>
        <v>III/b</v>
      </c>
      <c r="F139" s="11">
        <f t="shared" si="13"/>
        <v>1</v>
      </c>
      <c r="G139" s="11" t="str">
        <f t="shared" si="13"/>
        <v>Perjalanan</v>
      </c>
      <c r="H139" s="44">
        <f t="shared" si="13"/>
        <v>75000</v>
      </c>
      <c r="I139" s="16">
        <f>IFERROR(SUM(F139*H139),"")</f>
        <v>75000</v>
      </c>
      <c r="J139" s="54">
        <v>1</v>
      </c>
      <c r="K139" s="56">
        <v>2</v>
      </c>
    </row>
    <row r="140" spans="1:14" ht="30.5" customHeight="1">
      <c r="A140" s="11">
        <v>2</v>
      </c>
      <c r="B140" s="12" t="str">
        <f>IF(B109="","",B109)</f>
        <v/>
      </c>
      <c r="C140" s="13"/>
      <c r="D140" s="12" t="str">
        <f t="shared" si="13"/>
        <v/>
      </c>
      <c r="E140" s="11" t="str">
        <f t="shared" si="13"/>
        <v/>
      </c>
      <c r="F140" s="11" t="str">
        <f t="shared" si="13"/>
        <v/>
      </c>
      <c r="G140" s="11" t="str">
        <f t="shared" si="13"/>
        <v/>
      </c>
      <c r="H140" s="44" t="str">
        <f t="shared" si="13"/>
        <v/>
      </c>
      <c r="I140" s="16" t="str">
        <f t="shared" ref="I140:I142" si="14">IFERROR(SUM(F140*H140),"")</f>
        <v/>
      </c>
      <c r="J140" s="55"/>
      <c r="K140" s="57"/>
    </row>
    <row r="141" spans="1:14" ht="22.5" hidden="1" customHeight="1">
      <c r="A141" s="11">
        <v>3</v>
      </c>
      <c r="B141" s="12" t="str">
        <f>IF(B110="","",B110)</f>
        <v/>
      </c>
      <c r="C141" s="13"/>
      <c r="D141" s="12" t="str">
        <f t="shared" si="13"/>
        <v/>
      </c>
      <c r="E141" s="11" t="str">
        <f t="shared" si="13"/>
        <v/>
      </c>
      <c r="F141" s="11" t="str">
        <f t="shared" si="13"/>
        <v/>
      </c>
      <c r="G141" s="11" t="str">
        <f t="shared" si="13"/>
        <v/>
      </c>
      <c r="H141" s="44" t="str">
        <f t="shared" si="13"/>
        <v/>
      </c>
      <c r="I141" s="16" t="str">
        <f t="shared" si="14"/>
        <v/>
      </c>
      <c r="J141" s="54">
        <v>3</v>
      </c>
      <c r="K141" s="56">
        <v>4</v>
      </c>
    </row>
    <row r="142" spans="1:14" ht="22.5" hidden="1" customHeight="1">
      <c r="A142" s="11">
        <v>4</v>
      </c>
      <c r="B142" s="12" t="str">
        <f>IF(B111="","",B111)</f>
        <v/>
      </c>
      <c r="C142" s="13"/>
      <c r="D142" s="12" t="str">
        <f t="shared" si="13"/>
        <v/>
      </c>
      <c r="E142" s="11" t="str">
        <f t="shared" si="13"/>
        <v/>
      </c>
      <c r="F142" s="11" t="str">
        <f t="shared" si="13"/>
        <v/>
      </c>
      <c r="G142" s="11" t="str">
        <f t="shared" si="13"/>
        <v/>
      </c>
      <c r="H142" s="44" t="str">
        <f t="shared" si="13"/>
        <v/>
      </c>
      <c r="I142" s="16" t="str">
        <f t="shared" si="14"/>
        <v/>
      </c>
      <c r="J142" s="55"/>
      <c r="K142" s="57"/>
    </row>
    <row r="143" spans="1:14" s="21" customFormat="1" ht="22.5" customHeight="1">
      <c r="A143" s="69" t="s">
        <v>20</v>
      </c>
      <c r="B143" s="70"/>
      <c r="C143" s="70"/>
      <c r="D143" s="70"/>
      <c r="E143" s="70"/>
      <c r="F143" s="70"/>
      <c r="G143" s="70"/>
      <c r="H143" s="71"/>
      <c r="I143" s="18">
        <f>SUM(I139:I142)</f>
        <v>75000</v>
      </c>
      <c r="J143" s="20"/>
      <c r="K143" s="20"/>
      <c r="N143" s="22"/>
    </row>
    <row r="144" spans="1:14" ht="23.25" customHeight="1">
      <c r="A144" s="7"/>
      <c r="B144" s="7"/>
      <c r="C144" s="7"/>
      <c r="D144" s="7"/>
      <c r="E144" s="7"/>
      <c r="F144" s="7"/>
      <c r="G144" s="7"/>
      <c r="H144" s="23"/>
      <c r="I144" s="23"/>
    </row>
    <row r="145" spans="1:14">
      <c r="A145" s="8"/>
      <c r="B145" s="8"/>
      <c r="C145" s="8"/>
      <c r="D145" s="8"/>
      <c r="E145" s="8"/>
      <c r="F145" s="8"/>
      <c r="G145" s="8"/>
      <c r="H145" s="8"/>
      <c r="J145" s="24" t="s">
        <v>191</v>
      </c>
    </row>
    <row r="146" spans="1:14">
      <c r="A146" s="8"/>
      <c r="C146" s="24" t="s">
        <v>21</v>
      </c>
      <c r="D146" s="24"/>
      <c r="E146" s="24"/>
      <c r="F146" s="24"/>
      <c r="G146" s="8"/>
      <c r="H146" s="8"/>
      <c r="J146" s="24" t="str">
        <f>Honor_guru!P163</f>
        <v>Dibayar Lunas Tgl. 5 Mei 2026</v>
      </c>
    </row>
    <row r="147" spans="1:14">
      <c r="A147" s="8"/>
      <c r="C147" s="24" t="s">
        <v>22</v>
      </c>
      <c r="D147" s="24"/>
      <c r="E147" s="24"/>
      <c r="F147" s="24"/>
      <c r="G147" s="8"/>
      <c r="H147" s="8"/>
      <c r="J147" s="24" t="s">
        <v>23</v>
      </c>
    </row>
    <row r="148" spans="1:14">
      <c r="A148" s="8"/>
      <c r="C148" s="24"/>
      <c r="D148" s="24"/>
      <c r="E148" s="24"/>
      <c r="F148" s="24"/>
      <c r="G148" s="8"/>
      <c r="H148" s="8"/>
      <c r="J148" s="25"/>
      <c r="N148" s="26"/>
    </row>
    <row r="149" spans="1:14">
      <c r="A149" s="8"/>
      <c r="C149" s="24"/>
      <c r="D149" s="24"/>
      <c r="E149" s="24"/>
      <c r="F149" s="24"/>
      <c r="G149" s="8"/>
      <c r="H149" s="8"/>
      <c r="J149" s="25"/>
    </row>
    <row r="150" spans="1:14">
      <c r="A150" s="8"/>
      <c r="C150" s="24"/>
      <c r="D150" s="24"/>
      <c r="E150" s="24"/>
      <c r="F150" s="24"/>
      <c r="G150" s="8"/>
      <c r="H150" s="8"/>
      <c r="J150" s="25"/>
    </row>
    <row r="151" spans="1:14">
      <c r="A151" s="8"/>
      <c r="C151" s="24"/>
      <c r="D151" s="24"/>
      <c r="E151" s="24"/>
      <c r="F151" s="24"/>
      <c r="G151" s="8"/>
      <c r="H151" s="8"/>
      <c r="J151" s="25"/>
    </row>
    <row r="152" spans="1:14">
      <c r="A152" s="8"/>
      <c r="C152" s="24"/>
      <c r="D152" s="24"/>
      <c r="E152" s="24"/>
      <c r="F152" s="24"/>
      <c r="G152" s="8"/>
      <c r="H152" s="8"/>
      <c r="J152" s="25"/>
    </row>
    <row r="153" spans="1:14" ht="15" customHeight="1">
      <c r="A153" s="8"/>
      <c r="C153" s="27" t="str">
        <f>C122</f>
        <v>BADRUDDIN, S.Ag.</v>
      </c>
      <c r="D153" s="28"/>
      <c r="E153" s="28"/>
      <c r="F153" s="8"/>
      <c r="G153" s="8"/>
      <c r="J153" s="27" t="str">
        <f>J122</f>
        <v>DEDE GUNAWAN, S.Pd.</v>
      </c>
    </row>
    <row r="154" spans="1:14" ht="13.5" customHeight="1">
      <c r="A154" s="8"/>
      <c r="C154" s="43" t="str">
        <f>C123</f>
        <v>NIP. 197405082014121002</v>
      </c>
      <c r="D154" s="25"/>
      <c r="E154" s="25"/>
      <c r="F154" s="8"/>
      <c r="G154" s="8"/>
      <c r="J154" s="43" t="str">
        <f>J123</f>
        <v>NIP. 198507172020121003</v>
      </c>
    </row>
    <row r="155" spans="1:14" ht="15" customHeight="1">
      <c r="A155" s="8"/>
      <c r="C155" s="28"/>
      <c r="D155" s="28"/>
      <c r="E155" s="28"/>
      <c r="F155" s="28"/>
      <c r="G155" s="8"/>
      <c r="H155" s="8"/>
      <c r="J155" s="29"/>
    </row>
    <row r="156" spans="1:14" ht="13.5" customHeight="1"/>
    <row r="157" spans="1:14" ht="13.5" customHeight="1"/>
    <row r="158" spans="1:14" ht="13.5" customHeight="1"/>
    <row r="159" spans="1:14" ht="13.5" customHeight="1"/>
    <row r="162" spans="1:14" ht="17.25" customHeight="1">
      <c r="A162" s="76" t="str">
        <f>$A$1</f>
        <v>DAFTAR BUKTI PENERIMA PERJALANAN DINAS KE BANK (Transaksi Non Tunai)</v>
      </c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4" ht="17.25" customHeight="1">
      <c r="A163" s="64" t="str">
        <f>Honor_guru!A181</f>
        <v>BULAN JUNI 2026</v>
      </c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4" ht="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4" ht="15" customHeight="1">
      <c r="C165" s="4" t="s">
        <v>0</v>
      </c>
      <c r="D165" s="5" t="s">
        <v>56</v>
      </c>
      <c r="F165" s="6"/>
      <c r="G165" s="7"/>
      <c r="H165" s="7"/>
      <c r="I165" s="4" t="s">
        <v>26</v>
      </c>
      <c r="J165" s="4" t="str">
        <f>J133</f>
        <v>: 07 Pengembangan Standar Pembiayaan</v>
      </c>
    </row>
    <row r="166" spans="1:14" ht="15" customHeight="1">
      <c r="C166" s="4" t="s">
        <v>2</v>
      </c>
      <c r="D166" s="4" t="str">
        <f>D134</f>
        <v>: SD NEGERI LEBAKLEUNGSIR</v>
      </c>
      <c r="F166" s="6"/>
      <c r="H166" s="8"/>
      <c r="I166" s="4" t="s">
        <v>27</v>
      </c>
      <c r="J166" s="4" t="str">
        <f>J134</f>
        <v>: Perjalanan Dinas ke bank</v>
      </c>
    </row>
    <row r="167" spans="1:14" ht="15" customHeight="1">
      <c r="C167" s="4" t="s">
        <v>3</v>
      </c>
      <c r="D167" s="4" t="str">
        <f>D135</f>
        <v>: Cikalongwetan</v>
      </c>
      <c r="F167" s="6"/>
      <c r="H167" s="8"/>
      <c r="I167" s="8" t="s">
        <v>28</v>
      </c>
      <c r="J167" s="4" t="str">
        <f>J135</f>
        <v>: 5.1.02.04.01.0003</v>
      </c>
    </row>
    <row r="168" spans="1:14" ht="15" customHeight="1">
      <c r="C168" s="4" t="s">
        <v>5</v>
      </c>
      <c r="D168" s="4" t="str">
        <f>D136</f>
        <v>: Bandung Barat</v>
      </c>
      <c r="F168" s="6"/>
      <c r="H168" s="8"/>
      <c r="I168" s="4" t="s">
        <v>7</v>
      </c>
      <c r="J168" s="4" t="str">
        <f>J136</f>
        <v>: 5</v>
      </c>
    </row>
    <row r="169" spans="1:14" ht="15" customHeight="1">
      <c r="H169" s="8"/>
      <c r="I169" s="8"/>
      <c r="J169" s="8"/>
    </row>
    <row r="170" spans="1:14" ht="41.25" customHeight="1">
      <c r="A170" s="9" t="s">
        <v>8</v>
      </c>
      <c r="B170" s="65" t="s">
        <v>9</v>
      </c>
      <c r="C170" s="66"/>
      <c r="D170" s="9" t="s">
        <v>10</v>
      </c>
      <c r="E170" s="10" t="s">
        <v>11</v>
      </c>
      <c r="F170" s="9" t="s">
        <v>45</v>
      </c>
      <c r="G170" s="9" t="s">
        <v>24</v>
      </c>
      <c r="H170" s="10" t="s">
        <v>13</v>
      </c>
      <c r="I170" s="10" t="s">
        <v>14</v>
      </c>
      <c r="J170" s="69" t="s">
        <v>17</v>
      </c>
      <c r="K170" s="71"/>
    </row>
    <row r="171" spans="1:14" ht="30.5" customHeight="1">
      <c r="A171" s="11">
        <v>1</v>
      </c>
      <c r="B171" s="12" t="str">
        <f>IF(B139="","",B139)</f>
        <v>DEDE GUNAWAN</v>
      </c>
      <c r="C171" s="13"/>
      <c r="D171" s="12" t="str">
        <f t="shared" ref="D171:H174" si="15">IF(D139="","",D139)</f>
        <v>Guru/Bendahara</v>
      </c>
      <c r="E171" s="11" t="str">
        <f t="shared" si="15"/>
        <v>III/b</v>
      </c>
      <c r="F171" s="11">
        <f t="shared" si="15"/>
        <v>1</v>
      </c>
      <c r="G171" s="11" t="str">
        <f t="shared" si="15"/>
        <v>Perjalanan</v>
      </c>
      <c r="H171" s="44">
        <f t="shared" si="15"/>
        <v>75000</v>
      </c>
      <c r="I171" s="16">
        <f>IFERROR(SUM(F171*H171),"")</f>
        <v>75000</v>
      </c>
      <c r="J171" s="54">
        <v>1</v>
      </c>
      <c r="K171" s="56">
        <v>2</v>
      </c>
    </row>
    <row r="172" spans="1:14" ht="30.5" customHeight="1">
      <c r="A172" s="11">
        <v>2</v>
      </c>
      <c r="B172" s="12" t="str">
        <f>IF(B140="","",B140)</f>
        <v/>
      </c>
      <c r="C172" s="13"/>
      <c r="D172" s="12" t="str">
        <f t="shared" si="15"/>
        <v/>
      </c>
      <c r="E172" s="11" t="str">
        <f t="shared" si="15"/>
        <v/>
      </c>
      <c r="F172" s="11" t="str">
        <f t="shared" si="15"/>
        <v/>
      </c>
      <c r="G172" s="11" t="str">
        <f t="shared" si="15"/>
        <v/>
      </c>
      <c r="H172" s="44" t="str">
        <f t="shared" si="15"/>
        <v/>
      </c>
      <c r="I172" s="16" t="str">
        <f t="shared" ref="I172:I174" si="16">IFERROR(SUM(F172*H172),"")</f>
        <v/>
      </c>
      <c r="J172" s="55"/>
      <c r="K172" s="57"/>
    </row>
    <row r="173" spans="1:14" ht="22.5" hidden="1" customHeight="1">
      <c r="A173" s="11">
        <v>3</v>
      </c>
      <c r="B173" s="12" t="str">
        <f>IF(B141="","",B141)</f>
        <v/>
      </c>
      <c r="C173" s="13"/>
      <c r="D173" s="12" t="str">
        <f t="shared" si="15"/>
        <v/>
      </c>
      <c r="E173" s="11" t="str">
        <f t="shared" si="15"/>
        <v/>
      </c>
      <c r="F173" s="11" t="str">
        <f t="shared" si="15"/>
        <v/>
      </c>
      <c r="G173" s="11" t="str">
        <f t="shared" si="15"/>
        <v/>
      </c>
      <c r="H173" s="44" t="str">
        <f t="shared" si="15"/>
        <v/>
      </c>
      <c r="I173" s="16" t="str">
        <f t="shared" si="16"/>
        <v/>
      </c>
      <c r="J173" s="54">
        <v>3</v>
      </c>
      <c r="K173" s="56">
        <v>4</v>
      </c>
    </row>
    <row r="174" spans="1:14" ht="22.5" hidden="1" customHeight="1">
      <c r="A174" s="11">
        <v>4</v>
      </c>
      <c r="B174" s="12" t="str">
        <f>IF(B142="","",B142)</f>
        <v/>
      </c>
      <c r="C174" s="13"/>
      <c r="D174" s="12" t="str">
        <f t="shared" si="15"/>
        <v/>
      </c>
      <c r="E174" s="11" t="str">
        <f t="shared" si="15"/>
        <v/>
      </c>
      <c r="F174" s="11" t="str">
        <f t="shared" si="15"/>
        <v/>
      </c>
      <c r="G174" s="11" t="str">
        <f t="shared" si="15"/>
        <v/>
      </c>
      <c r="H174" s="44" t="str">
        <f t="shared" si="15"/>
        <v/>
      </c>
      <c r="I174" s="16" t="str">
        <f t="shared" si="16"/>
        <v/>
      </c>
      <c r="J174" s="55"/>
      <c r="K174" s="57"/>
    </row>
    <row r="175" spans="1:14" s="21" customFormat="1" ht="22.5" customHeight="1">
      <c r="A175" s="69" t="s">
        <v>20</v>
      </c>
      <c r="B175" s="70"/>
      <c r="C175" s="70"/>
      <c r="D175" s="70"/>
      <c r="E175" s="70"/>
      <c r="F175" s="70"/>
      <c r="G175" s="70"/>
      <c r="H175" s="71"/>
      <c r="I175" s="18">
        <f>SUM(I171:I174)</f>
        <v>75000</v>
      </c>
      <c r="J175" s="20"/>
      <c r="K175" s="20"/>
      <c r="N175" s="22"/>
    </row>
    <row r="176" spans="1:14" ht="23.25" customHeight="1">
      <c r="A176" s="7"/>
      <c r="B176" s="7"/>
      <c r="C176" s="7"/>
      <c r="D176" s="7"/>
      <c r="E176" s="7"/>
      <c r="F176" s="7"/>
      <c r="G176" s="7"/>
      <c r="H176" s="23"/>
      <c r="I176" s="23"/>
    </row>
    <row r="177" spans="1:14">
      <c r="A177" s="8"/>
      <c r="B177" s="8"/>
      <c r="C177" s="8"/>
      <c r="D177" s="8"/>
      <c r="E177" s="8"/>
      <c r="F177" s="8"/>
      <c r="G177" s="8"/>
      <c r="H177" s="8"/>
      <c r="J177" s="24" t="s">
        <v>193</v>
      </c>
    </row>
    <row r="178" spans="1:14">
      <c r="A178" s="8"/>
      <c r="C178" s="24" t="s">
        <v>21</v>
      </c>
      <c r="D178" s="24"/>
      <c r="E178" s="24"/>
      <c r="F178" s="24"/>
      <c r="G178" s="8"/>
      <c r="H178" s="8"/>
      <c r="J178" s="24" t="str">
        <f>Honor_guru!P199</f>
        <v>Dibayar Lunas Tgl. 3 Juni 2026</v>
      </c>
    </row>
    <row r="179" spans="1:14">
      <c r="A179" s="8"/>
      <c r="C179" s="24" t="s">
        <v>22</v>
      </c>
      <c r="D179" s="24"/>
      <c r="E179" s="24"/>
      <c r="F179" s="24"/>
      <c r="G179" s="8"/>
      <c r="H179" s="8"/>
      <c r="J179" s="24" t="s">
        <v>23</v>
      </c>
    </row>
    <row r="180" spans="1:14">
      <c r="A180" s="8"/>
      <c r="C180" s="24"/>
      <c r="D180" s="24"/>
      <c r="E180" s="24"/>
      <c r="F180" s="24"/>
      <c r="G180" s="8"/>
      <c r="H180" s="8"/>
      <c r="J180" s="25"/>
      <c r="N180" s="26"/>
    </row>
    <row r="181" spans="1:14">
      <c r="A181" s="8"/>
      <c r="C181" s="24"/>
      <c r="D181" s="24"/>
      <c r="E181" s="24"/>
      <c r="F181" s="24"/>
      <c r="G181" s="8"/>
      <c r="H181" s="8"/>
      <c r="J181" s="25"/>
    </row>
    <row r="182" spans="1:14">
      <c r="A182" s="8"/>
      <c r="C182" s="24"/>
      <c r="D182" s="24"/>
      <c r="E182" s="24"/>
      <c r="F182" s="24"/>
      <c r="G182" s="8"/>
      <c r="H182" s="8"/>
      <c r="J182" s="25"/>
    </row>
    <row r="183" spans="1:14">
      <c r="A183" s="8"/>
      <c r="C183" s="24"/>
      <c r="D183" s="24"/>
      <c r="E183" s="24"/>
      <c r="F183" s="24"/>
      <c r="G183" s="8"/>
      <c r="H183" s="8"/>
      <c r="J183" s="25"/>
    </row>
    <row r="184" spans="1:14">
      <c r="A184" s="8"/>
      <c r="C184" s="24"/>
      <c r="D184" s="24"/>
      <c r="E184" s="24"/>
      <c r="F184" s="24"/>
      <c r="G184" s="8"/>
      <c r="H184" s="8"/>
      <c r="J184" s="25"/>
    </row>
    <row r="185" spans="1:14" ht="15" customHeight="1">
      <c r="A185" s="8"/>
      <c r="C185" s="27" t="str">
        <f>C153</f>
        <v>BADRUDDIN, S.Ag.</v>
      </c>
      <c r="D185" s="28"/>
      <c r="E185" s="28"/>
      <c r="F185" s="8"/>
      <c r="G185" s="8"/>
      <c r="J185" s="27" t="str">
        <f>J153</f>
        <v>DEDE GUNAWAN, S.Pd.</v>
      </c>
    </row>
    <row r="186" spans="1:14" ht="13.5" customHeight="1">
      <c r="A186" s="8"/>
      <c r="C186" s="43" t="str">
        <f>C154</f>
        <v>NIP. 197405082014121002</v>
      </c>
      <c r="D186" s="25"/>
      <c r="E186" s="25"/>
      <c r="F186" s="8"/>
      <c r="G186" s="8"/>
      <c r="J186" s="43" t="str">
        <f>J154</f>
        <v>NIP. 198507172020121003</v>
      </c>
    </row>
    <row r="187" spans="1:14" ht="15" customHeight="1">
      <c r="A187" s="8"/>
      <c r="C187" s="28"/>
      <c r="D187" s="28"/>
      <c r="E187" s="28"/>
      <c r="F187" s="28"/>
      <c r="G187" s="8"/>
      <c r="H187" s="8"/>
      <c r="J187" s="29"/>
    </row>
    <row r="188" spans="1:14" ht="13.5" customHeight="1"/>
    <row r="189" spans="1:14" ht="13.5" customHeight="1"/>
    <row r="190" spans="1:14" ht="13.5" customHeight="1"/>
    <row r="191" spans="1:14" ht="13.5" customHeight="1"/>
    <row r="194" spans="1:14" ht="17.25" customHeight="1">
      <c r="A194" s="76" t="str">
        <f>$A$1</f>
        <v>DAFTAR BUKTI PENERIMA PERJALANAN DINAS KE BANK (Transaksi Non Tunai)</v>
      </c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spans="1:14" ht="17.25" customHeight="1">
      <c r="A195" s="64" t="str">
        <f>Honor_penjaga!A254</f>
        <v>BULAN AGUSTUS 2025</v>
      </c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4" ht="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4" ht="15" customHeight="1">
      <c r="C197" s="4" t="s">
        <v>0</v>
      </c>
      <c r="D197" s="5" t="s">
        <v>56</v>
      </c>
      <c r="F197" s="6"/>
      <c r="G197" s="7"/>
      <c r="H197" s="7"/>
      <c r="I197" s="4" t="s">
        <v>26</v>
      </c>
      <c r="J197" s="4" t="str">
        <f>J165</f>
        <v>: 07 Pengembangan Standar Pembiayaan</v>
      </c>
    </row>
    <row r="198" spans="1:14" ht="15" customHeight="1">
      <c r="C198" s="4" t="s">
        <v>2</v>
      </c>
      <c r="D198" s="4" t="str">
        <f>D166</f>
        <v>: SD NEGERI LEBAKLEUNGSIR</v>
      </c>
      <c r="F198" s="6"/>
      <c r="H198" s="8"/>
      <c r="I198" s="4" t="s">
        <v>27</v>
      </c>
      <c r="J198" s="4" t="str">
        <f>J166</f>
        <v>: Perjalanan Dinas ke bank</v>
      </c>
    </row>
    <row r="199" spans="1:14" ht="15" customHeight="1">
      <c r="C199" s="4" t="s">
        <v>3</v>
      </c>
      <c r="D199" s="4" t="str">
        <f>D167</f>
        <v>: Cikalongwetan</v>
      </c>
      <c r="F199" s="6"/>
      <c r="H199" s="8"/>
      <c r="I199" s="8" t="s">
        <v>28</v>
      </c>
      <c r="J199" s="4" t="str">
        <f>J167</f>
        <v>: 5.1.02.04.01.0003</v>
      </c>
    </row>
    <row r="200" spans="1:14" ht="15" customHeight="1">
      <c r="C200" s="4" t="s">
        <v>5</v>
      </c>
      <c r="D200" s="4" t="str">
        <f>D168</f>
        <v>: Bandung Barat</v>
      </c>
      <c r="F200" s="6"/>
      <c r="H200" s="8"/>
      <c r="I200" s="4" t="s">
        <v>7</v>
      </c>
      <c r="J200" s="4" t="str">
        <f>J168</f>
        <v>: 5</v>
      </c>
    </row>
    <row r="201" spans="1:14" ht="15" customHeight="1">
      <c r="H201" s="8"/>
      <c r="I201" s="8"/>
      <c r="J201" s="8"/>
    </row>
    <row r="202" spans="1:14" ht="41.25" customHeight="1">
      <c r="A202" s="9" t="s">
        <v>8</v>
      </c>
      <c r="B202" s="65" t="s">
        <v>9</v>
      </c>
      <c r="C202" s="66"/>
      <c r="D202" s="9" t="s">
        <v>10</v>
      </c>
      <c r="E202" s="10" t="s">
        <v>11</v>
      </c>
      <c r="F202" s="9" t="s">
        <v>45</v>
      </c>
      <c r="G202" s="9" t="s">
        <v>24</v>
      </c>
      <c r="H202" s="10" t="s">
        <v>13</v>
      </c>
      <c r="I202" s="10" t="s">
        <v>14</v>
      </c>
      <c r="J202" s="69" t="s">
        <v>17</v>
      </c>
      <c r="K202" s="71"/>
    </row>
    <row r="203" spans="1:14" ht="22.5" customHeight="1">
      <c r="A203" s="11">
        <v>1</v>
      </c>
      <c r="B203" s="12" t="s">
        <v>38</v>
      </c>
      <c r="C203" s="13"/>
      <c r="D203" s="12" t="str">
        <f>IF(D171="","",D171)</f>
        <v>Guru/Bendahara</v>
      </c>
      <c r="E203" s="11" t="s">
        <v>101</v>
      </c>
      <c r="F203" s="11">
        <f t="shared" ref="F203:H206" si="17">IF(F171="","",F171)</f>
        <v>1</v>
      </c>
      <c r="G203" s="11" t="str">
        <f t="shared" si="17"/>
        <v>Perjalanan</v>
      </c>
      <c r="H203" s="44">
        <f t="shared" si="17"/>
        <v>75000</v>
      </c>
      <c r="I203" s="16">
        <f>IFERROR(SUM(F203*H203),"")</f>
        <v>75000</v>
      </c>
      <c r="J203" s="54">
        <v>1</v>
      </c>
      <c r="K203" s="56">
        <v>2</v>
      </c>
    </row>
    <row r="204" spans="1:14" ht="22.5" customHeight="1">
      <c r="A204" s="11">
        <v>2</v>
      </c>
      <c r="B204" s="12" t="str">
        <f>IF(B172="","",B172)</f>
        <v/>
      </c>
      <c r="C204" s="13"/>
      <c r="D204" s="12" t="str">
        <f>IF(D172="","",D172)</f>
        <v/>
      </c>
      <c r="E204" s="11" t="str">
        <f>IF(E172="","",E172)</f>
        <v/>
      </c>
      <c r="F204" s="11" t="str">
        <f t="shared" si="17"/>
        <v/>
      </c>
      <c r="G204" s="11" t="str">
        <f t="shared" si="17"/>
        <v/>
      </c>
      <c r="H204" s="44" t="str">
        <f t="shared" si="17"/>
        <v/>
      </c>
      <c r="I204" s="16" t="str">
        <f t="shared" ref="I204:I206" si="18">IFERROR(SUM(F204*H204),"")</f>
        <v/>
      </c>
      <c r="J204" s="55"/>
      <c r="K204" s="57"/>
    </row>
    <row r="205" spans="1:14" ht="22.5" hidden="1" customHeight="1">
      <c r="A205" s="11">
        <v>3</v>
      </c>
      <c r="B205" s="12" t="str">
        <f>IF(B173="","",B173)</f>
        <v/>
      </c>
      <c r="C205" s="13"/>
      <c r="D205" s="12" t="str">
        <f>IF(D173="","",D173)</f>
        <v/>
      </c>
      <c r="E205" s="11" t="str">
        <f>IF(E173="","",E173)</f>
        <v/>
      </c>
      <c r="F205" s="11" t="str">
        <f t="shared" si="17"/>
        <v/>
      </c>
      <c r="G205" s="11" t="str">
        <f t="shared" si="17"/>
        <v/>
      </c>
      <c r="H205" s="44" t="str">
        <f t="shared" si="17"/>
        <v/>
      </c>
      <c r="I205" s="16" t="str">
        <f t="shared" si="18"/>
        <v/>
      </c>
      <c r="J205" s="54">
        <v>3</v>
      </c>
      <c r="K205" s="56">
        <v>4</v>
      </c>
    </row>
    <row r="206" spans="1:14" ht="22.5" hidden="1" customHeight="1">
      <c r="A206" s="11">
        <v>4</v>
      </c>
      <c r="B206" s="12" t="str">
        <f>IF(B174="","",B174)</f>
        <v/>
      </c>
      <c r="C206" s="13"/>
      <c r="D206" s="12" t="str">
        <f>IF(D174="","",D174)</f>
        <v/>
      </c>
      <c r="E206" s="11" t="str">
        <f>IF(E174="","",E174)</f>
        <v/>
      </c>
      <c r="F206" s="11" t="str">
        <f t="shared" si="17"/>
        <v/>
      </c>
      <c r="G206" s="11" t="str">
        <f t="shared" si="17"/>
        <v/>
      </c>
      <c r="H206" s="44" t="str">
        <f t="shared" si="17"/>
        <v/>
      </c>
      <c r="I206" s="16" t="str">
        <f t="shared" si="18"/>
        <v/>
      </c>
      <c r="J206" s="55"/>
      <c r="K206" s="57"/>
    </row>
    <row r="207" spans="1:14" s="21" customFormat="1" ht="22.5" customHeight="1">
      <c r="A207" s="69" t="s">
        <v>20</v>
      </c>
      <c r="B207" s="70"/>
      <c r="C207" s="70"/>
      <c r="D207" s="70"/>
      <c r="E207" s="70"/>
      <c r="F207" s="70"/>
      <c r="G207" s="70"/>
      <c r="H207" s="71"/>
      <c r="I207" s="18">
        <f>SUM(I203:I206)</f>
        <v>75000</v>
      </c>
      <c r="J207" s="20"/>
      <c r="K207" s="20"/>
      <c r="N207" s="22"/>
    </row>
    <row r="208" spans="1:14" ht="23.25" customHeight="1">
      <c r="A208" s="7"/>
      <c r="B208" s="7"/>
      <c r="C208" s="7"/>
      <c r="D208" s="7"/>
      <c r="E208" s="7"/>
      <c r="F208" s="7"/>
      <c r="G208" s="7"/>
      <c r="H208" s="23"/>
      <c r="I208" s="23"/>
    </row>
    <row r="209" spans="1:14">
      <c r="A209" s="8"/>
      <c r="B209" s="8"/>
      <c r="C209" s="8"/>
      <c r="D209" s="8"/>
      <c r="E209" s="8"/>
      <c r="F209" s="8"/>
      <c r="G209" s="8"/>
      <c r="H209" s="8"/>
      <c r="J209" s="24" t="s">
        <v>158</v>
      </c>
    </row>
    <row r="210" spans="1:14">
      <c r="A210" s="8"/>
      <c r="C210" s="24" t="s">
        <v>21</v>
      </c>
      <c r="D210" s="24"/>
      <c r="E210" s="24"/>
      <c r="F210" s="24"/>
      <c r="G210" s="8"/>
      <c r="H210" s="8"/>
      <c r="J210" s="24" t="str">
        <f>Honor_guru!P235</f>
        <v>Dibayar Lunas Tgl. 11 Agustus 2025</v>
      </c>
    </row>
    <row r="211" spans="1:14">
      <c r="A211" s="8"/>
      <c r="C211" s="24" t="s">
        <v>22</v>
      </c>
      <c r="D211" s="24"/>
      <c r="E211" s="24"/>
      <c r="F211" s="24"/>
      <c r="G211" s="8"/>
      <c r="H211" s="8"/>
      <c r="J211" s="24" t="s">
        <v>23</v>
      </c>
    </row>
    <row r="212" spans="1:14">
      <c r="A212" s="8"/>
      <c r="C212" s="24"/>
      <c r="D212" s="24"/>
      <c r="E212" s="24"/>
      <c r="F212" s="24"/>
      <c r="G212" s="8"/>
      <c r="H212" s="8"/>
      <c r="J212" s="25"/>
      <c r="N212" s="26"/>
    </row>
    <row r="213" spans="1:14">
      <c r="A213" s="8"/>
      <c r="C213" s="24"/>
      <c r="D213" s="24"/>
      <c r="E213" s="24"/>
      <c r="F213" s="24"/>
      <c r="G213" s="8"/>
      <c r="H213" s="8"/>
      <c r="J213" s="25"/>
    </row>
    <row r="214" spans="1:14">
      <c r="A214" s="8"/>
      <c r="C214" s="24"/>
      <c r="D214" s="24"/>
      <c r="E214" s="24"/>
      <c r="F214" s="24"/>
      <c r="G214" s="8"/>
      <c r="H214" s="8"/>
      <c r="J214" s="25"/>
    </row>
    <row r="215" spans="1:14">
      <c r="A215" s="8"/>
      <c r="C215" s="24"/>
      <c r="D215" s="24"/>
      <c r="E215" s="24"/>
      <c r="F215" s="24"/>
      <c r="G215" s="8"/>
      <c r="H215" s="8"/>
      <c r="J215" s="25"/>
    </row>
    <row r="216" spans="1:14">
      <c r="A216" s="8"/>
      <c r="C216" s="24"/>
      <c r="D216" s="24"/>
      <c r="E216" s="24"/>
      <c r="F216" s="24"/>
      <c r="G216" s="8"/>
      <c r="H216" s="8"/>
      <c r="J216" s="25"/>
    </row>
    <row r="217" spans="1:14" ht="15" customHeight="1">
      <c r="A217" s="8"/>
      <c r="C217" s="27" t="str">
        <f>C185</f>
        <v>BADRUDDIN, S.Ag.</v>
      </c>
      <c r="D217" s="28"/>
      <c r="E217" s="28"/>
      <c r="F217" s="8"/>
      <c r="G217" s="8"/>
      <c r="J217" s="27" t="str">
        <f>Honor_guru!P242</f>
        <v>DEDE GUNAWAN, S.Pd</v>
      </c>
    </row>
    <row r="218" spans="1:14" ht="13.5" customHeight="1">
      <c r="A218" s="8"/>
      <c r="C218" s="43" t="str">
        <f>C186</f>
        <v>NIP. 197405082014121002</v>
      </c>
      <c r="D218" s="25"/>
      <c r="E218" s="25"/>
      <c r="F218" s="8"/>
      <c r="G218" s="8"/>
      <c r="J218" s="27" t="str">
        <f>Honor_guru!P243</f>
        <v>NIP. 198507172020121003</v>
      </c>
    </row>
    <row r="219" spans="1:14" ht="15" customHeight="1">
      <c r="A219" s="8"/>
      <c r="C219" s="28"/>
      <c r="D219" s="28"/>
      <c r="E219" s="28"/>
      <c r="F219" s="28"/>
      <c r="G219" s="8"/>
      <c r="H219" s="8"/>
      <c r="J219" s="29"/>
    </row>
    <row r="220" spans="1:14" ht="13.5" customHeight="1"/>
    <row r="221" spans="1:14" ht="13.5" customHeight="1"/>
    <row r="222" spans="1:14" ht="13.5" customHeight="1"/>
    <row r="223" spans="1:14" ht="13.5" customHeight="1"/>
    <row r="228" spans="1:11" ht="17.25" customHeight="1">
      <c r="A228" s="76" t="str">
        <f>$A$1</f>
        <v>DAFTAR BUKTI PENERIMA PERJALANAN DINAS KE BANK (Transaksi Non Tunai)</v>
      </c>
      <c r="B228" s="76"/>
      <c r="C228" s="76"/>
      <c r="D228" s="76"/>
      <c r="E228" s="76"/>
      <c r="F228" s="76"/>
      <c r="G228" s="76"/>
      <c r="H228" s="76"/>
      <c r="I228" s="76"/>
      <c r="J228" s="76"/>
      <c r="K228" s="76"/>
    </row>
    <row r="229" spans="1:11" ht="17.25" customHeight="1">
      <c r="A229" s="64" t="str">
        <f>Honor_guru!A257</f>
        <v>BULAN AGUSTUS 2025</v>
      </c>
      <c r="B229" s="64"/>
      <c r="C229" s="64"/>
      <c r="D229" s="64"/>
      <c r="E229" s="64"/>
      <c r="F229" s="64"/>
      <c r="G229" s="64"/>
      <c r="H229" s="64"/>
      <c r="I229" s="64"/>
      <c r="J229" s="64"/>
      <c r="K229" s="64"/>
    </row>
    <row r="230" spans="1:11" ht="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" customHeight="1">
      <c r="C231" s="4" t="s">
        <v>0</v>
      </c>
      <c r="D231" s="5" t="s">
        <v>56</v>
      </c>
      <c r="F231" s="6"/>
      <c r="G231" s="7"/>
      <c r="H231" s="7"/>
      <c r="I231" s="4" t="s">
        <v>26</v>
      </c>
      <c r="J231" s="4" t="str">
        <f>J197</f>
        <v>: 07 Pengembangan Standar Pembiayaan</v>
      </c>
    </row>
    <row r="232" spans="1:11" ht="15" customHeight="1">
      <c r="C232" s="4" t="s">
        <v>2</v>
      </c>
      <c r="D232" s="4" t="str">
        <f>D198</f>
        <v>: SD NEGERI LEBAKLEUNGSIR</v>
      </c>
      <c r="F232" s="6"/>
      <c r="H232" s="8"/>
      <c r="I232" s="4" t="s">
        <v>27</v>
      </c>
      <c r="J232" s="4" t="str">
        <f t="shared" ref="J232:J234" si="19">J198</f>
        <v>: Perjalanan Dinas ke bank</v>
      </c>
    </row>
    <row r="233" spans="1:11" ht="15" customHeight="1">
      <c r="C233" s="4" t="s">
        <v>3</v>
      </c>
      <c r="D233" s="4" t="str">
        <f t="shared" ref="D233:D234" si="20">D199</f>
        <v>: Cikalongwetan</v>
      </c>
      <c r="F233" s="6"/>
      <c r="H233" s="8"/>
      <c r="I233" s="8" t="s">
        <v>28</v>
      </c>
      <c r="J233" s="4" t="str">
        <f t="shared" si="19"/>
        <v>: 5.1.02.04.01.0003</v>
      </c>
    </row>
    <row r="234" spans="1:11" ht="15" customHeight="1">
      <c r="C234" s="4" t="s">
        <v>5</v>
      </c>
      <c r="D234" s="4" t="str">
        <f t="shared" si="20"/>
        <v>: Bandung Barat</v>
      </c>
      <c r="F234" s="6"/>
      <c r="H234" s="8"/>
      <c r="I234" s="4" t="s">
        <v>7</v>
      </c>
      <c r="J234" s="4" t="str">
        <f t="shared" si="19"/>
        <v>: 5</v>
      </c>
    </row>
    <row r="235" spans="1:11" ht="15" customHeight="1">
      <c r="H235" s="8"/>
      <c r="I235" s="8"/>
      <c r="J235" s="8"/>
    </row>
    <row r="236" spans="1:11" ht="41.25" customHeight="1">
      <c r="A236" s="9" t="s">
        <v>8</v>
      </c>
      <c r="B236" s="65" t="s">
        <v>9</v>
      </c>
      <c r="C236" s="66"/>
      <c r="D236" s="9" t="s">
        <v>10</v>
      </c>
      <c r="E236" s="10" t="s">
        <v>11</v>
      </c>
      <c r="F236" s="9" t="s">
        <v>45</v>
      </c>
      <c r="G236" s="9" t="s">
        <v>24</v>
      </c>
      <c r="H236" s="10" t="s">
        <v>13</v>
      </c>
      <c r="I236" s="10" t="s">
        <v>14</v>
      </c>
      <c r="J236" s="69" t="s">
        <v>17</v>
      </c>
      <c r="K236" s="71"/>
    </row>
    <row r="237" spans="1:11" ht="22.5" customHeight="1">
      <c r="A237" s="11">
        <v>1</v>
      </c>
      <c r="B237" s="12" t="s">
        <v>38</v>
      </c>
      <c r="C237" s="13"/>
      <c r="D237" s="12" t="str">
        <f>IF(D203="","",D203)</f>
        <v>Guru/Bendahara</v>
      </c>
      <c r="E237" s="11" t="s">
        <v>101</v>
      </c>
      <c r="F237" s="11">
        <v>1</v>
      </c>
      <c r="G237" s="11" t="str">
        <f>IF(G203="","",G203)</f>
        <v>Perjalanan</v>
      </c>
      <c r="H237" s="44">
        <f>IF(H203="","",H203)</f>
        <v>75000</v>
      </c>
      <c r="I237" s="16">
        <f>IFERROR(SUM(F237*H237),"")</f>
        <v>75000</v>
      </c>
      <c r="J237" s="54">
        <v>1</v>
      </c>
      <c r="K237" s="56">
        <v>2</v>
      </c>
    </row>
    <row r="238" spans="1:11" ht="22.5" customHeight="1">
      <c r="A238" s="11">
        <v>2</v>
      </c>
      <c r="B238" s="12" t="str">
        <f t="shared" ref="B238:B240" si="21">IF(B204="","",B204)</f>
        <v/>
      </c>
      <c r="C238" s="13"/>
      <c r="D238" s="12" t="str">
        <f t="shared" ref="D238:H238" si="22">IF(D204="","",D204)</f>
        <v/>
      </c>
      <c r="E238" s="11" t="str">
        <f t="shared" si="22"/>
        <v/>
      </c>
      <c r="F238" s="11"/>
      <c r="G238" s="11" t="str">
        <f t="shared" si="22"/>
        <v/>
      </c>
      <c r="H238" s="44" t="str">
        <f t="shared" si="22"/>
        <v/>
      </c>
      <c r="I238" s="16" t="str">
        <f t="shared" ref="I238:I240" si="23">IFERROR(SUM(F238*H238),"")</f>
        <v/>
      </c>
      <c r="J238" s="55"/>
      <c r="K238" s="57"/>
    </row>
    <row r="239" spans="1:11" ht="22.5" hidden="1" customHeight="1">
      <c r="A239" s="11">
        <v>3</v>
      </c>
      <c r="B239" s="12" t="str">
        <f t="shared" si="21"/>
        <v/>
      </c>
      <c r="C239" s="13"/>
      <c r="D239" s="12" t="str">
        <f t="shared" ref="D239:H239" si="24">IF(D205="","",D205)</f>
        <v/>
      </c>
      <c r="E239" s="11" t="str">
        <f t="shared" si="24"/>
        <v/>
      </c>
      <c r="F239" s="11" t="str">
        <f t="shared" si="24"/>
        <v/>
      </c>
      <c r="G239" s="11" t="str">
        <f t="shared" si="24"/>
        <v/>
      </c>
      <c r="H239" s="44" t="str">
        <f t="shared" si="24"/>
        <v/>
      </c>
      <c r="I239" s="16" t="str">
        <f t="shared" si="23"/>
        <v/>
      </c>
      <c r="J239" s="54">
        <v>3</v>
      </c>
      <c r="K239" s="56">
        <v>4</v>
      </c>
    </row>
    <row r="240" spans="1:11" ht="22.5" hidden="1" customHeight="1">
      <c r="A240" s="11">
        <v>4</v>
      </c>
      <c r="B240" s="12" t="str">
        <f t="shared" si="21"/>
        <v/>
      </c>
      <c r="C240" s="13"/>
      <c r="D240" s="12" t="str">
        <f t="shared" ref="D240:H240" si="25">IF(D206="","",D206)</f>
        <v/>
      </c>
      <c r="E240" s="11" t="str">
        <f t="shared" si="25"/>
        <v/>
      </c>
      <c r="F240" s="11" t="str">
        <f t="shared" si="25"/>
        <v/>
      </c>
      <c r="G240" s="11" t="str">
        <f t="shared" si="25"/>
        <v/>
      </c>
      <c r="H240" s="44" t="str">
        <f t="shared" si="25"/>
        <v/>
      </c>
      <c r="I240" s="16" t="str">
        <f t="shared" si="23"/>
        <v/>
      </c>
      <c r="J240" s="55"/>
      <c r="K240" s="57"/>
    </row>
    <row r="241" spans="1:14" s="21" customFormat="1" ht="22.5" customHeight="1">
      <c r="A241" s="69" t="s">
        <v>20</v>
      </c>
      <c r="B241" s="70"/>
      <c r="C241" s="70"/>
      <c r="D241" s="70"/>
      <c r="E241" s="70"/>
      <c r="F241" s="70"/>
      <c r="G241" s="70"/>
      <c r="H241" s="71"/>
      <c r="I241" s="18">
        <f>SUM(I237:I240)</f>
        <v>75000</v>
      </c>
      <c r="J241" s="20"/>
      <c r="K241" s="20"/>
      <c r="N241" s="22"/>
    </row>
    <row r="242" spans="1:14" ht="23.25" customHeight="1">
      <c r="A242" s="7"/>
      <c r="B242" s="7"/>
      <c r="C242" s="7"/>
      <c r="D242" s="7"/>
      <c r="E242" s="7"/>
      <c r="F242" s="7"/>
      <c r="G242" s="7"/>
      <c r="H242" s="23"/>
      <c r="I242" s="23"/>
    </row>
    <row r="243" spans="1:14">
      <c r="A243" s="8"/>
      <c r="B243" s="8"/>
      <c r="C243" s="8"/>
      <c r="D243" s="8"/>
      <c r="E243" s="8"/>
      <c r="F243" s="8"/>
      <c r="G243" s="8"/>
      <c r="H243" s="8"/>
      <c r="J243" s="24" t="s">
        <v>159</v>
      </c>
    </row>
    <row r="244" spans="1:14">
      <c r="A244" s="8"/>
      <c r="C244" s="24" t="s">
        <v>21</v>
      </c>
      <c r="D244" s="24"/>
      <c r="E244" s="24"/>
      <c r="F244" s="24"/>
      <c r="G244" s="8"/>
      <c r="H244" s="8"/>
      <c r="J244" s="24" t="s">
        <v>160</v>
      </c>
    </row>
    <row r="245" spans="1:14">
      <c r="A245" s="8"/>
      <c r="C245" s="24" t="s">
        <v>22</v>
      </c>
      <c r="D245" s="24"/>
      <c r="E245" s="24"/>
      <c r="F245" s="24"/>
      <c r="G245" s="8"/>
      <c r="H245" s="8"/>
      <c r="J245" s="24" t="s">
        <v>23</v>
      </c>
    </row>
    <row r="246" spans="1:14">
      <c r="A246" s="8"/>
      <c r="C246" s="24"/>
      <c r="D246" s="24"/>
      <c r="E246" s="24"/>
      <c r="F246" s="24"/>
      <c r="G246" s="8"/>
      <c r="H246" s="8"/>
      <c r="J246" s="25"/>
      <c r="N246" s="26"/>
    </row>
    <row r="247" spans="1:14">
      <c r="A247" s="8"/>
      <c r="C247" s="24"/>
      <c r="D247" s="24"/>
      <c r="E247" s="24"/>
      <c r="F247" s="24"/>
      <c r="G247" s="8"/>
      <c r="H247" s="8"/>
      <c r="J247" s="25"/>
    </row>
    <row r="248" spans="1:14">
      <c r="A248" s="8"/>
      <c r="C248" s="24"/>
      <c r="D248" s="24"/>
      <c r="E248" s="24"/>
      <c r="F248" s="24"/>
      <c r="G248" s="8"/>
      <c r="H248" s="8"/>
      <c r="J248" s="25"/>
    </row>
    <row r="249" spans="1:14">
      <c r="A249" s="8"/>
      <c r="C249" s="24"/>
      <c r="D249" s="24"/>
      <c r="E249" s="24"/>
      <c r="F249" s="24"/>
      <c r="G249" s="8"/>
      <c r="H249" s="8"/>
      <c r="J249" s="25"/>
    </row>
    <row r="250" spans="1:14">
      <c r="A250" s="8"/>
      <c r="C250" s="24"/>
      <c r="D250" s="24"/>
      <c r="E250" s="24"/>
      <c r="F250" s="24"/>
      <c r="G250" s="8"/>
      <c r="H250" s="8"/>
      <c r="J250" s="25"/>
    </row>
    <row r="251" spans="1:14" ht="15" customHeight="1">
      <c r="A251" s="8"/>
      <c r="C251" s="27" t="str">
        <f>C217</f>
        <v>BADRUDDIN, S.Ag.</v>
      </c>
      <c r="D251" s="28"/>
      <c r="E251" s="28"/>
      <c r="F251" s="8"/>
      <c r="G251" s="8"/>
      <c r="J251" s="27" t="str">
        <f>J217</f>
        <v>DEDE GUNAWAN, S.Pd</v>
      </c>
    </row>
    <row r="252" spans="1:14" ht="13.5" customHeight="1">
      <c r="A252" s="8"/>
      <c r="C252" s="43" t="str">
        <f>C218</f>
        <v>NIP. 197405082014121002</v>
      </c>
      <c r="D252" s="25"/>
      <c r="E252" s="25"/>
      <c r="F252" s="8"/>
      <c r="G252" s="8"/>
      <c r="J252" s="43" t="str">
        <f>J218</f>
        <v>NIP. 198507172020121003</v>
      </c>
    </row>
    <row r="253" spans="1:14" ht="15" customHeight="1">
      <c r="A253" s="8"/>
      <c r="C253" s="28"/>
      <c r="D253" s="28"/>
      <c r="E253" s="28"/>
      <c r="F253" s="28"/>
      <c r="G253" s="8"/>
      <c r="H253" s="8"/>
      <c r="J253" s="29"/>
    </row>
    <row r="254" spans="1:14" ht="13.5" customHeight="1"/>
    <row r="255" spans="1:14" ht="13.5" customHeight="1"/>
    <row r="256" spans="1:14" ht="13.5" customHeight="1"/>
    <row r="257" spans="1:11" ht="13.5" customHeight="1"/>
    <row r="262" spans="1:11" ht="17.25" customHeight="1">
      <c r="A262" s="76" t="str">
        <f>$A$1</f>
        <v>DAFTAR BUKTI PENERIMA PERJALANAN DINAS KE BANK (Transaksi Non Tunai)</v>
      </c>
      <c r="B262" s="76"/>
      <c r="C262" s="76"/>
      <c r="D262" s="76"/>
      <c r="E262" s="76"/>
      <c r="F262" s="76"/>
      <c r="G262" s="76"/>
      <c r="H262" s="76"/>
      <c r="I262" s="76"/>
      <c r="J262" s="76"/>
      <c r="K262" s="76"/>
    </row>
    <row r="263" spans="1:11" ht="17.25" customHeight="1">
      <c r="A263" s="64" t="s">
        <v>78</v>
      </c>
      <c r="B263" s="64"/>
      <c r="C263" s="64"/>
      <c r="D263" s="64"/>
      <c r="E263" s="64"/>
      <c r="F263" s="64"/>
      <c r="G263" s="64"/>
      <c r="H263" s="64"/>
      <c r="I263" s="64"/>
      <c r="J263" s="64"/>
      <c r="K263" s="64"/>
    </row>
    <row r="264" spans="1:11" ht="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" customHeight="1">
      <c r="C265" s="4" t="s">
        <v>0</v>
      </c>
      <c r="D265" s="5" t="s">
        <v>56</v>
      </c>
      <c r="F265" s="6"/>
      <c r="G265" s="7"/>
      <c r="H265" s="7"/>
      <c r="I265" s="4" t="s">
        <v>26</v>
      </c>
      <c r="J265" s="4" t="str">
        <f>J231</f>
        <v>: 07 Pengembangan Standar Pembiayaan</v>
      </c>
    </row>
    <row r="266" spans="1:11" ht="15" customHeight="1">
      <c r="C266" s="4" t="s">
        <v>2</v>
      </c>
      <c r="D266" s="4" t="str">
        <f>D232</f>
        <v>: SD NEGERI LEBAKLEUNGSIR</v>
      </c>
      <c r="F266" s="6"/>
      <c r="H266" s="8"/>
      <c r="I266" s="4" t="s">
        <v>27</v>
      </c>
      <c r="J266" s="4" t="str">
        <f t="shared" ref="J266:J268" si="26">J232</f>
        <v>: Perjalanan Dinas ke bank</v>
      </c>
    </row>
    <row r="267" spans="1:11" ht="15" customHeight="1">
      <c r="C267" s="4" t="s">
        <v>3</v>
      </c>
      <c r="D267" s="4" t="str">
        <f t="shared" ref="D267:D268" si="27">D233</f>
        <v>: Cikalongwetan</v>
      </c>
      <c r="F267" s="6"/>
      <c r="H267" s="8"/>
      <c r="I267" s="8" t="s">
        <v>28</v>
      </c>
      <c r="J267" s="4" t="str">
        <f t="shared" si="26"/>
        <v>: 5.1.02.04.01.0003</v>
      </c>
    </row>
    <row r="268" spans="1:11" ht="15" customHeight="1">
      <c r="C268" s="4" t="s">
        <v>5</v>
      </c>
      <c r="D268" s="4" t="str">
        <f t="shared" si="27"/>
        <v>: Bandung Barat</v>
      </c>
      <c r="F268" s="6"/>
      <c r="H268" s="8"/>
      <c r="I268" s="4" t="s">
        <v>7</v>
      </c>
      <c r="J268" s="4" t="str">
        <f t="shared" si="26"/>
        <v>: 5</v>
      </c>
    </row>
    <row r="269" spans="1:11" ht="15" customHeight="1">
      <c r="H269" s="8"/>
      <c r="I269" s="8"/>
      <c r="J269" s="8"/>
    </row>
    <row r="270" spans="1:11" ht="41.25" customHeight="1">
      <c r="A270" s="9" t="s">
        <v>8</v>
      </c>
      <c r="B270" s="65" t="s">
        <v>9</v>
      </c>
      <c r="C270" s="66"/>
      <c r="D270" s="9" t="s">
        <v>10</v>
      </c>
      <c r="E270" s="10" t="s">
        <v>11</v>
      </c>
      <c r="F270" s="9" t="s">
        <v>45</v>
      </c>
      <c r="G270" s="9" t="s">
        <v>24</v>
      </c>
      <c r="H270" s="10" t="s">
        <v>13</v>
      </c>
      <c r="I270" s="10" t="s">
        <v>14</v>
      </c>
      <c r="J270" s="69" t="s">
        <v>17</v>
      </c>
      <c r="K270" s="71"/>
    </row>
    <row r="271" spans="1:11" ht="22.5" customHeight="1">
      <c r="A271" s="11">
        <v>1</v>
      </c>
      <c r="B271" s="12" t="s">
        <v>38</v>
      </c>
      <c r="C271" s="13"/>
      <c r="D271" s="12" t="str">
        <f>IF(D237="","",D237)</f>
        <v>Guru/Bendahara</v>
      </c>
      <c r="E271" s="11" t="s">
        <v>101</v>
      </c>
      <c r="F271" s="11">
        <v>1</v>
      </c>
      <c r="G271" s="11" t="str">
        <f>IF(G237="","",G237)</f>
        <v>Perjalanan</v>
      </c>
      <c r="H271" s="44">
        <f>IF(H237="","",H237)</f>
        <v>75000</v>
      </c>
      <c r="I271" s="16">
        <f>IFERROR(SUM(F271*H271),"")</f>
        <v>75000</v>
      </c>
      <c r="J271" s="54">
        <v>1</v>
      </c>
      <c r="K271" s="56">
        <v>2</v>
      </c>
    </row>
    <row r="272" spans="1:11" ht="22.5" customHeight="1">
      <c r="A272" s="11">
        <v>2</v>
      </c>
      <c r="B272" s="12" t="str">
        <f t="shared" ref="B272:B274" si="28">IF(B238="","",B238)</f>
        <v/>
      </c>
      <c r="C272" s="13"/>
      <c r="D272" s="12" t="str">
        <f t="shared" ref="D272:H272" si="29">IF(D238="","",D238)</f>
        <v/>
      </c>
      <c r="E272" s="11" t="str">
        <f t="shared" si="29"/>
        <v/>
      </c>
      <c r="F272" s="11" t="str">
        <f t="shared" si="29"/>
        <v/>
      </c>
      <c r="G272" s="11" t="str">
        <f t="shared" si="29"/>
        <v/>
      </c>
      <c r="H272" s="44" t="str">
        <f t="shared" si="29"/>
        <v/>
      </c>
      <c r="I272" s="16" t="str">
        <f t="shared" ref="I272:I274" si="30">IFERROR(SUM(F272*H272),"")</f>
        <v/>
      </c>
      <c r="J272" s="55"/>
      <c r="K272" s="57"/>
    </row>
    <row r="273" spans="1:14" ht="22.5" hidden="1" customHeight="1">
      <c r="A273" s="11">
        <v>3</v>
      </c>
      <c r="B273" s="12" t="str">
        <f t="shared" si="28"/>
        <v/>
      </c>
      <c r="C273" s="13"/>
      <c r="D273" s="12" t="str">
        <f t="shared" ref="D273:H273" si="31">IF(D239="","",D239)</f>
        <v/>
      </c>
      <c r="E273" s="11" t="str">
        <f t="shared" si="31"/>
        <v/>
      </c>
      <c r="F273" s="11" t="str">
        <f t="shared" si="31"/>
        <v/>
      </c>
      <c r="G273" s="11" t="str">
        <f t="shared" si="31"/>
        <v/>
      </c>
      <c r="H273" s="44" t="str">
        <f t="shared" si="31"/>
        <v/>
      </c>
      <c r="I273" s="16" t="str">
        <f t="shared" si="30"/>
        <v/>
      </c>
      <c r="J273" s="54">
        <v>3</v>
      </c>
      <c r="K273" s="56">
        <v>4</v>
      </c>
    </row>
    <row r="274" spans="1:14" ht="22.5" hidden="1" customHeight="1">
      <c r="A274" s="11">
        <v>4</v>
      </c>
      <c r="B274" s="12" t="str">
        <f t="shared" si="28"/>
        <v/>
      </c>
      <c r="C274" s="13"/>
      <c r="D274" s="12" t="str">
        <f t="shared" ref="D274:H274" si="32">IF(D240="","",D240)</f>
        <v/>
      </c>
      <c r="E274" s="11" t="str">
        <f t="shared" si="32"/>
        <v/>
      </c>
      <c r="F274" s="11" t="str">
        <f t="shared" si="32"/>
        <v/>
      </c>
      <c r="G274" s="11" t="str">
        <f t="shared" si="32"/>
        <v/>
      </c>
      <c r="H274" s="44" t="str">
        <f t="shared" si="32"/>
        <v/>
      </c>
      <c r="I274" s="16" t="str">
        <f t="shared" si="30"/>
        <v/>
      </c>
      <c r="J274" s="55"/>
      <c r="K274" s="57"/>
    </row>
    <row r="275" spans="1:14" s="21" customFormat="1" ht="22.5" customHeight="1">
      <c r="A275" s="69" t="s">
        <v>20</v>
      </c>
      <c r="B275" s="70"/>
      <c r="C275" s="70"/>
      <c r="D275" s="70"/>
      <c r="E275" s="70"/>
      <c r="F275" s="70"/>
      <c r="G275" s="70"/>
      <c r="H275" s="71"/>
      <c r="I275" s="18">
        <f>SUM(I271:I274)</f>
        <v>75000</v>
      </c>
      <c r="J275" s="20"/>
      <c r="K275" s="20"/>
      <c r="N275" s="22"/>
    </row>
    <row r="276" spans="1:14" ht="23.25" customHeight="1">
      <c r="A276" s="7"/>
      <c r="B276" s="7"/>
      <c r="C276" s="7"/>
      <c r="D276" s="7"/>
      <c r="E276" s="7"/>
      <c r="F276" s="7"/>
      <c r="G276" s="7"/>
      <c r="H276" s="23"/>
      <c r="I276" s="23"/>
    </row>
    <row r="277" spans="1:14">
      <c r="A277" s="8"/>
      <c r="B277" s="8"/>
      <c r="C277" s="8"/>
      <c r="D277" s="8"/>
      <c r="E277" s="8"/>
      <c r="F277" s="8"/>
      <c r="G277" s="8"/>
      <c r="H277" s="8"/>
      <c r="J277" s="24" t="s">
        <v>102</v>
      </c>
    </row>
    <row r="278" spans="1:14">
      <c r="A278" s="8"/>
      <c r="C278" s="24" t="s">
        <v>21</v>
      </c>
      <c r="D278" s="24"/>
      <c r="E278" s="24"/>
      <c r="F278" s="24"/>
      <c r="G278" s="8"/>
      <c r="H278" s="8"/>
      <c r="J278" s="24" t="str">
        <f>Honor_penjaga!O308</f>
        <v>Dibayar Lunas Tgl. 03 September 2024</v>
      </c>
    </row>
    <row r="279" spans="1:14">
      <c r="A279" s="8"/>
      <c r="C279" s="24" t="s">
        <v>22</v>
      </c>
      <c r="D279" s="24"/>
      <c r="E279" s="24"/>
      <c r="F279" s="24"/>
      <c r="G279" s="8"/>
      <c r="H279" s="8"/>
      <c r="J279" s="24" t="s">
        <v>23</v>
      </c>
    </row>
    <row r="280" spans="1:14">
      <c r="A280" s="8"/>
      <c r="C280" s="24"/>
      <c r="D280" s="24"/>
      <c r="E280" s="24"/>
      <c r="F280" s="24"/>
      <c r="G280" s="8"/>
      <c r="H280" s="8"/>
      <c r="J280" s="25"/>
      <c r="N280" s="26"/>
    </row>
    <row r="281" spans="1:14">
      <c r="A281" s="8"/>
      <c r="C281" s="24"/>
      <c r="D281" s="24"/>
      <c r="E281" s="24"/>
      <c r="F281" s="24"/>
      <c r="G281" s="8"/>
      <c r="H281" s="8"/>
      <c r="J281" s="25"/>
    </row>
    <row r="282" spans="1:14">
      <c r="A282" s="8"/>
      <c r="C282" s="24"/>
      <c r="D282" s="24"/>
      <c r="E282" s="24"/>
      <c r="F282" s="24"/>
      <c r="G282" s="8"/>
      <c r="H282" s="8"/>
      <c r="J282" s="25"/>
    </row>
    <row r="283" spans="1:14">
      <c r="A283" s="8"/>
      <c r="C283" s="24"/>
      <c r="D283" s="24"/>
      <c r="E283" s="24"/>
      <c r="F283" s="24"/>
      <c r="G283" s="8"/>
      <c r="H283" s="8"/>
      <c r="J283" s="25"/>
    </row>
    <row r="284" spans="1:14">
      <c r="A284" s="8"/>
      <c r="C284" s="24"/>
      <c r="D284" s="24"/>
      <c r="E284" s="24"/>
      <c r="F284" s="24"/>
      <c r="G284" s="8"/>
      <c r="H284" s="8"/>
      <c r="J284" s="25"/>
    </row>
    <row r="285" spans="1:14" ht="15" customHeight="1">
      <c r="A285" s="8"/>
      <c r="C285" s="27" t="str">
        <f>C251</f>
        <v>BADRUDDIN, S.Ag.</v>
      </c>
      <c r="D285" s="28"/>
      <c r="E285" s="28"/>
      <c r="F285" s="8"/>
      <c r="G285" s="8"/>
      <c r="J285" s="27" t="str">
        <f>J251</f>
        <v>DEDE GUNAWAN, S.Pd</v>
      </c>
    </row>
    <row r="286" spans="1:14" ht="13.5" customHeight="1">
      <c r="A286" s="8"/>
      <c r="C286" s="43" t="str">
        <f>C252</f>
        <v>NIP. 197405082014121002</v>
      </c>
      <c r="D286" s="25"/>
      <c r="E286" s="25"/>
      <c r="F286" s="8"/>
      <c r="G286" s="8"/>
      <c r="J286" s="43" t="str">
        <f>J252</f>
        <v>NIP. 198507172020121003</v>
      </c>
    </row>
    <row r="287" spans="1:14" ht="15" customHeight="1">
      <c r="A287" s="8"/>
      <c r="C287" s="28"/>
      <c r="D287" s="28"/>
      <c r="E287" s="28"/>
      <c r="F287" s="28"/>
      <c r="G287" s="8"/>
      <c r="H287" s="8"/>
      <c r="J287" s="29"/>
    </row>
    <row r="288" spans="1:14" ht="13.5" customHeight="1"/>
    <row r="289" spans="1:11" ht="13.5" customHeight="1"/>
    <row r="290" spans="1:11" ht="13.5" customHeight="1"/>
    <row r="291" spans="1:11" ht="13.5" customHeight="1"/>
    <row r="296" spans="1:11" ht="17.25" customHeight="1">
      <c r="A296" s="76" t="str">
        <f>$A$1</f>
        <v>DAFTAR BUKTI PENERIMA PERJALANAN DINAS KE BANK (Transaksi Non Tunai)</v>
      </c>
      <c r="B296" s="76"/>
      <c r="C296" s="76"/>
      <c r="D296" s="76"/>
      <c r="E296" s="76"/>
      <c r="F296" s="76"/>
      <c r="G296" s="76"/>
      <c r="H296" s="76"/>
      <c r="I296" s="76"/>
      <c r="J296" s="76"/>
      <c r="K296" s="76"/>
    </row>
    <row r="297" spans="1:11" ht="17.25" customHeight="1">
      <c r="A297" s="64" t="s">
        <v>80</v>
      </c>
      <c r="B297" s="64"/>
      <c r="C297" s="64"/>
      <c r="D297" s="64"/>
      <c r="E297" s="64"/>
      <c r="F297" s="64"/>
      <c r="G297" s="64"/>
      <c r="H297" s="64"/>
      <c r="I297" s="64"/>
      <c r="J297" s="64"/>
      <c r="K297" s="64"/>
    </row>
    <row r="298" spans="1:11" ht="1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" customHeight="1">
      <c r="C299" s="4" t="s">
        <v>0</v>
      </c>
      <c r="D299" s="5" t="s">
        <v>56</v>
      </c>
      <c r="F299" s="6"/>
      <c r="G299" s="7"/>
      <c r="H299" s="7"/>
      <c r="I299" s="4" t="s">
        <v>26</v>
      </c>
      <c r="J299" s="4" t="str">
        <f>J265</f>
        <v>: 07 Pengembangan Standar Pembiayaan</v>
      </c>
    </row>
    <row r="300" spans="1:11" ht="15" customHeight="1">
      <c r="C300" s="4" t="s">
        <v>2</v>
      </c>
      <c r="D300" s="4" t="str">
        <f>D266</f>
        <v>: SD NEGERI LEBAKLEUNGSIR</v>
      </c>
      <c r="F300" s="6"/>
      <c r="H300" s="8"/>
      <c r="I300" s="4" t="s">
        <v>27</v>
      </c>
      <c r="J300" s="4" t="str">
        <f t="shared" ref="J300:J302" si="33">J266</f>
        <v>: Perjalanan Dinas ke bank</v>
      </c>
    </row>
    <row r="301" spans="1:11" ht="15" customHeight="1">
      <c r="C301" s="4" t="s">
        <v>3</v>
      </c>
      <c r="D301" s="4" t="str">
        <f t="shared" ref="D301:D302" si="34">D267</f>
        <v>: Cikalongwetan</v>
      </c>
      <c r="F301" s="6"/>
      <c r="H301" s="8"/>
      <c r="I301" s="8" t="s">
        <v>28</v>
      </c>
      <c r="J301" s="4" t="str">
        <f t="shared" si="33"/>
        <v>: 5.1.02.04.01.0003</v>
      </c>
    </row>
    <row r="302" spans="1:11" ht="15" customHeight="1">
      <c r="C302" s="4" t="s">
        <v>5</v>
      </c>
      <c r="D302" s="4" t="str">
        <f t="shared" si="34"/>
        <v>: Bandung Barat</v>
      </c>
      <c r="F302" s="6"/>
      <c r="H302" s="8"/>
      <c r="I302" s="4" t="s">
        <v>7</v>
      </c>
      <c r="J302" s="4" t="str">
        <f t="shared" si="33"/>
        <v>: 5</v>
      </c>
    </row>
    <row r="303" spans="1:11" ht="15" customHeight="1">
      <c r="H303" s="8"/>
      <c r="I303" s="8"/>
      <c r="J303" s="8"/>
    </row>
    <row r="304" spans="1:11" ht="41.25" customHeight="1">
      <c r="A304" s="9" t="s">
        <v>8</v>
      </c>
      <c r="B304" s="65" t="s">
        <v>9</v>
      </c>
      <c r="C304" s="66"/>
      <c r="D304" s="9" t="s">
        <v>10</v>
      </c>
      <c r="E304" s="10" t="s">
        <v>11</v>
      </c>
      <c r="F304" s="9" t="s">
        <v>45</v>
      </c>
      <c r="G304" s="9" t="s">
        <v>24</v>
      </c>
      <c r="H304" s="10" t="s">
        <v>13</v>
      </c>
      <c r="I304" s="10" t="s">
        <v>14</v>
      </c>
      <c r="J304" s="69" t="s">
        <v>17</v>
      </c>
      <c r="K304" s="71"/>
    </row>
    <row r="305" spans="1:14" ht="22.5" customHeight="1">
      <c r="A305" s="11">
        <v>1</v>
      </c>
      <c r="B305" s="12" t="s">
        <v>38</v>
      </c>
      <c r="C305" s="13"/>
      <c r="D305" s="12" t="str">
        <f>IF(D271="","",D271)</f>
        <v>Guru/Bendahara</v>
      </c>
      <c r="E305" s="11" t="s">
        <v>101</v>
      </c>
      <c r="F305" s="11">
        <f>IF(F271="","",F271)</f>
        <v>1</v>
      </c>
      <c r="G305" s="11" t="str">
        <f>IF(G271="","",G271)</f>
        <v>Perjalanan</v>
      </c>
      <c r="H305" s="44">
        <f>IF(H271="","",H271)</f>
        <v>75000</v>
      </c>
      <c r="I305" s="16">
        <f>IFERROR(SUM(F305*H305),"")</f>
        <v>75000</v>
      </c>
      <c r="J305" s="54">
        <v>1</v>
      </c>
      <c r="K305" s="56">
        <v>2</v>
      </c>
    </row>
    <row r="306" spans="1:14" ht="22.5" customHeight="1">
      <c r="A306" s="11">
        <v>2</v>
      </c>
      <c r="B306" s="12" t="str">
        <f t="shared" ref="B306:B308" si="35">IF(B272="","",B272)</f>
        <v/>
      </c>
      <c r="C306" s="13"/>
      <c r="D306" s="12" t="str">
        <f t="shared" ref="D306:H306" si="36">IF(D272="","",D272)</f>
        <v/>
      </c>
      <c r="E306" s="11" t="str">
        <f t="shared" si="36"/>
        <v/>
      </c>
      <c r="F306" s="11" t="str">
        <f t="shared" si="36"/>
        <v/>
      </c>
      <c r="G306" s="11" t="str">
        <f t="shared" si="36"/>
        <v/>
      </c>
      <c r="H306" s="44" t="str">
        <f t="shared" si="36"/>
        <v/>
      </c>
      <c r="I306" s="16" t="str">
        <f t="shared" ref="I306:I308" si="37">IFERROR(SUM(F306*H306),"")</f>
        <v/>
      </c>
      <c r="J306" s="55"/>
      <c r="K306" s="57"/>
    </row>
    <row r="307" spans="1:14" ht="22.5" hidden="1" customHeight="1">
      <c r="A307" s="11">
        <v>3</v>
      </c>
      <c r="B307" s="12" t="str">
        <f t="shared" si="35"/>
        <v/>
      </c>
      <c r="C307" s="13"/>
      <c r="D307" s="12" t="str">
        <f t="shared" ref="D307:H307" si="38">IF(D273="","",D273)</f>
        <v/>
      </c>
      <c r="E307" s="11" t="str">
        <f t="shared" si="38"/>
        <v/>
      </c>
      <c r="F307" s="11" t="str">
        <f t="shared" si="38"/>
        <v/>
      </c>
      <c r="G307" s="11" t="str">
        <f t="shared" si="38"/>
        <v/>
      </c>
      <c r="H307" s="44" t="str">
        <f t="shared" si="38"/>
        <v/>
      </c>
      <c r="I307" s="16" t="str">
        <f t="shared" si="37"/>
        <v/>
      </c>
      <c r="J307" s="54">
        <v>3</v>
      </c>
      <c r="K307" s="56">
        <v>4</v>
      </c>
    </row>
    <row r="308" spans="1:14" ht="22.5" hidden="1" customHeight="1">
      <c r="A308" s="11">
        <v>4</v>
      </c>
      <c r="B308" s="12" t="str">
        <f t="shared" si="35"/>
        <v/>
      </c>
      <c r="C308" s="13"/>
      <c r="D308" s="12" t="str">
        <f t="shared" ref="D308:H308" si="39">IF(D274="","",D274)</f>
        <v/>
      </c>
      <c r="E308" s="11" t="str">
        <f t="shared" si="39"/>
        <v/>
      </c>
      <c r="F308" s="11" t="str">
        <f t="shared" si="39"/>
        <v/>
      </c>
      <c r="G308" s="11" t="str">
        <f t="shared" si="39"/>
        <v/>
      </c>
      <c r="H308" s="44" t="str">
        <f t="shared" si="39"/>
        <v/>
      </c>
      <c r="I308" s="16" t="str">
        <f t="shared" si="37"/>
        <v/>
      </c>
      <c r="J308" s="55"/>
      <c r="K308" s="57"/>
    </row>
    <row r="309" spans="1:14" s="21" customFormat="1" ht="22.5" customHeight="1">
      <c r="A309" s="69" t="s">
        <v>20</v>
      </c>
      <c r="B309" s="70"/>
      <c r="C309" s="70"/>
      <c r="D309" s="70"/>
      <c r="E309" s="70"/>
      <c r="F309" s="70"/>
      <c r="G309" s="70"/>
      <c r="H309" s="71"/>
      <c r="I309" s="18">
        <f>SUM(I305:I308)</f>
        <v>75000</v>
      </c>
      <c r="J309" s="20"/>
      <c r="K309" s="20"/>
      <c r="N309" s="22"/>
    </row>
    <row r="310" spans="1:14" ht="23.25" customHeight="1">
      <c r="A310" s="7"/>
      <c r="B310" s="7"/>
      <c r="C310" s="7"/>
      <c r="D310" s="7"/>
      <c r="E310" s="7"/>
      <c r="F310" s="7"/>
      <c r="G310" s="7"/>
      <c r="H310" s="23"/>
      <c r="I310" s="23"/>
    </row>
    <row r="311" spans="1:14">
      <c r="A311" s="8"/>
      <c r="B311" s="8"/>
      <c r="C311" s="8"/>
      <c r="D311" s="8"/>
      <c r="E311" s="8"/>
      <c r="F311" s="8"/>
      <c r="G311" s="8"/>
      <c r="H311" s="8"/>
      <c r="J311" s="24" t="s">
        <v>81</v>
      </c>
    </row>
    <row r="312" spans="1:14">
      <c r="A312" s="8"/>
      <c r="C312" s="24" t="s">
        <v>21</v>
      </c>
      <c r="D312" s="24"/>
      <c r="E312" s="24"/>
      <c r="F312" s="24"/>
      <c r="G312" s="8"/>
      <c r="H312" s="8"/>
      <c r="J312" s="24" t="str">
        <f>Honor_penjaga!O344</f>
        <v>Dibayar Lunas Tgl. 01 Oktober 2024</v>
      </c>
    </row>
    <row r="313" spans="1:14">
      <c r="A313" s="8"/>
      <c r="C313" s="24" t="s">
        <v>22</v>
      </c>
      <c r="D313" s="24"/>
      <c r="E313" s="24"/>
      <c r="F313" s="24"/>
      <c r="G313" s="8"/>
      <c r="H313" s="8"/>
      <c r="J313" s="24" t="s">
        <v>23</v>
      </c>
    </row>
    <row r="314" spans="1:14">
      <c r="A314" s="8"/>
      <c r="C314" s="24"/>
      <c r="D314" s="24"/>
      <c r="E314" s="24"/>
      <c r="F314" s="24"/>
      <c r="G314" s="8"/>
      <c r="H314" s="8"/>
      <c r="J314" s="25"/>
      <c r="N314" s="26"/>
    </row>
    <row r="315" spans="1:14">
      <c r="A315" s="8"/>
      <c r="C315" s="24"/>
      <c r="D315" s="24"/>
      <c r="E315" s="24"/>
      <c r="F315" s="24"/>
      <c r="G315" s="8"/>
      <c r="H315" s="8"/>
      <c r="J315" s="25"/>
    </row>
    <row r="316" spans="1:14">
      <c r="A316" s="8"/>
      <c r="C316" s="24"/>
      <c r="D316" s="24"/>
      <c r="E316" s="24"/>
      <c r="F316" s="24"/>
      <c r="G316" s="8"/>
      <c r="H316" s="8"/>
      <c r="J316" s="25"/>
    </row>
    <row r="317" spans="1:14">
      <c r="A317" s="8"/>
      <c r="C317" s="24"/>
      <c r="D317" s="24"/>
      <c r="E317" s="24"/>
      <c r="F317" s="24"/>
      <c r="G317" s="8"/>
      <c r="H317" s="8"/>
      <c r="J317" s="25"/>
    </row>
    <row r="318" spans="1:14">
      <c r="A318" s="8"/>
      <c r="C318" s="24"/>
      <c r="D318" s="24"/>
      <c r="E318" s="24"/>
      <c r="F318" s="24"/>
      <c r="G318" s="8"/>
      <c r="H318" s="8"/>
      <c r="J318" s="25"/>
    </row>
    <row r="319" spans="1:14" ht="15" customHeight="1">
      <c r="A319" s="8"/>
      <c r="C319" s="27" t="str">
        <f>C285</f>
        <v>BADRUDDIN, S.Ag.</v>
      </c>
      <c r="D319" s="28"/>
      <c r="E319" s="28"/>
      <c r="F319" s="8"/>
      <c r="G319" s="8"/>
      <c r="J319" s="27" t="str">
        <f>J285</f>
        <v>DEDE GUNAWAN, S.Pd</v>
      </c>
    </row>
    <row r="320" spans="1:14" ht="13.5" customHeight="1">
      <c r="A320" s="8"/>
      <c r="C320" s="43" t="str">
        <f>C286</f>
        <v>NIP. 197405082014121002</v>
      </c>
      <c r="D320" s="25"/>
      <c r="E320" s="25"/>
      <c r="F320" s="8"/>
      <c r="G320" s="8"/>
      <c r="J320" s="43" t="str">
        <f>J286</f>
        <v>NIP. 198507172020121003</v>
      </c>
    </row>
    <row r="321" spans="1:11" ht="15" customHeight="1">
      <c r="A321" s="8"/>
      <c r="C321" s="28"/>
      <c r="D321" s="28"/>
      <c r="E321" s="28"/>
      <c r="F321" s="28"/>
      <c r="G321" s="8"/>
      <c r="H321" s="8"/>
      <c r="J321" s="29"/>
    </row>
    <row r="322" spans="1:11" ht="13.5" customHeight="1"/>
    <row r="323" spans="1:11" ht="13.5" customHeight="1"/>
    <row r="324" spans="1:11" ht="13.5" customHeight="1"/>
    <row r="325" spans="1:11" ht="13.5" customHeight="1"/>
    <row r="330" spans="1:11" ht="17.25" customHeight="1">
      <c r="A330" s="76" t="str">
        <f>$A$1</f>
        <v>DAFTAR BUKTI PENERIMA PERJALANAN DINAS KE BANK (Transaksi Non Tunai)</v>
      </c>
      <c r="B330" s="76"/>
      <c r="C330" s="76"/>
      <c r="D330" s="76"/>
      <c r="E330" s="76"/>
      <c r="F330" s="76"/>
      <c r="G330" s="76"/>
      <c r="H330" s="76"/>
      <c r="I330" s="76"/>
      <c r="J330" s="76"/>
      <c r="K330" s="76"/>
    </row>
    <row r="331" spans="1:11" ht="17.25" customHeight="1">
      <c r="A331" s="64" t="s">
        <v>82</v>
      </c>
      <c r="B331" s="64"/>
      <c r="C331" s="64"/>
      <c r="D331" s="64"/>
      <c r="E331" s="64"/>
      <c r="F331" s="64"/>
      <c r="G331" s="64"/>
      <c r="H331" s="64"/>
      <c r="I331" s="64"/>
      <c r="J331" s="64"/>
      <c r="K331" s="64"/>
    </row>
    <row r="332" spans="1:11" ht="1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" customHeight="1">
      <c r="C333" s="4" t="s">
        <v>0</v>
      </c>
      <c r="D333" s="5" t="s">
        <v>56</v>
      </c>
      <c r="F333" s="6"/>
      <c r="G333" s="7"/>
      <c r="H333" s="7"/>
      <c r="I333" s="4" t="s">
        <v>26</v>
      </c>
      <c r="J333" s="4" t="str">
        <f>J299</f>
        <v>: 07 Pengembangan Standar Pembiayaan</v>
      </c>
    </row>
    <row r="334" spans="1:11" ht="15" customHeight="1">
      <c r="C334" s="4" t="s">
        <v>2</v>
      </c>
      <c r="D334" s="4" t="str">
        <f>D300</f>
        <v>: SD NEGERI LEBAKLEUNGSIR</v>
      </c>
      <c r="F334" s="6"/>
      <c r="H334" s="8"/>
      <c r="I334" s="4" t="s">
        <v>27</v>
      </c>
      <c r="J334" s="4" t="str">
        <f t="shared" ref="J334:J336" si="40">J300</f>
        <v>: Perjalanan Dinas ke bank</v>
      </c>
    </row>
    <row r="335" spans="1:11" ht="15" customHeight="1">
      <c r="C335" s="4" t="s">
        <v>3</v>
      </c>
      <c r="D335" s="4" t="str">
        <f t="shared" ref="D335:D336" si="41">D301</f>
        <v>: Cikalongwetan</v>
      </c>
      <c r="F335" s="6"/>
      <c r="H335" s="8"/>
      <c r="I335" s="8" t="s">
        <v>28</v>
      </c>
      <c r="J335" s="4" t="str">
        <f t="shared" si="40"/>
        <v>: 5.1.02.04.01.0003</v>
      </c>
    </row>
    <row r="336" spans="1:11" ht="15" customHeight="1">
      <c r="C336" s="4" t="s">
        <v>5</v>
      </c>
      <c r="D336" s="4" t="str">
        <f t="shared" si="41"/>
        <v>: Bandung Barat</v>
      </c>
      <c r="F336" s="6"/>
      <c r="H336" s="8"/>
      <c r="I336" s="4" t="s">
        <v>7</v>
      </c>
      <c r="J336" s="4" t="str">
        <f t="shared" si="40"/>
        <v>: 5</v>
      </c>
    </row>
    <row r="337" spans="1:14" ht="15" customHeight="1">
      <c r="H337" s="8"/>
      <c r="I337" s="8"/>
      <c r="J337" s="8"/>
    </row>
    <row r="338" spans="1:14" ht="41.25" customHeight="1">
      <c r="A338" s="9" t="s">
        <v>8</v>
      </c>
      <c r="B338" s="65" t="s">
        <v>9</v>
      </c>
      <c r="C338" s="66"/>
      <c r="D338" s="9" t="s">
        <v>10</v>
      </c>
      <c r="E338" s="10" t="s">
        <v>11</v>
      </c>
      <c r="F338" s="9" t="s">
        <v>45</v>
      </c>
      <c r="G338" s="9" t="s">
        <v>24</v>
      </c>
      <c r="H338" s="10" t="s">
        <v>13</v>
      </c>
      <c r="I338" s="10" t="s">
        <v>14</v>
      </c>
      <c r="J338" s="69" t="s">
        <v>17</v>
      </c>
      <c r="K338" s="71"/>
    </row>
    <row r="339" spans="1:14" ht="22.5" customHeight="1">
      <c r="A339" s="11">
        <v>1</v>
      </c>
      <c r="B339" s="12" t="s">
        <v>38</v>
      </c>
      <c r="C339" s="13"/>
      <c r="D339" s="12" t="str">
        <f>IF(D305="","",D305)</f>
        <v>Guru/Bendahara</v>
      </c>
      <c r="E339" s="11" t="s">
        <v>101</v>
      </c>
      <c r="F339" s="11">
        <f>IF(F305="","",F305)</f>
        <v>1</v>
      </c>
      <c r="G339" s="11" t="str">
        <f>IF(G305="","",G305)</f>
        <v>Perjalanan</v>
      </c>
      <c r="H339" s="44">
        <f>IF(H305="","",H305)</f>
        <v>75000</v>
      </c>
      <c r="I339" s="16">
        <f>IFERROR(SUM(F339*H339),"")</f>
        <v>75000</v>
      </c>
      <c r="J339" s="54">
        <v>1</v>
      </c>
      <c r="K339" s="56">
        <v>2</v>
      </c>
    </row>
    <row r="340" spans="1:14" ht="22.5" customHeight="1">
      <c r="A340" s="11">
        <v>2</v>
      </c>
      <c r="B340" s="12" t="str">
        <f t="shared" ref="B340:B342" si="42">IF(B306="","",B306)</f>
        <v/>
      </c>
      <c r="C340" s="13"/>
      <c r="D340" s="12" t="str">
        <f t="shared" ref="D340:H340" si="43">IF(D306="","",D306)</f>
        <v/>
      </c>
      <c r="E340" s="11" t="str">
        <f t="shared" si="43"/>
        <v/>
      </c>
      <c r="F340" s="11" t="str">
        <f t="shared" si="43"/>
        <v/>
      </c>
      <c r="G340" s="11" t="str">
        <f t="shared" si="43"/>
        <v/>
      </c>
      <c r="H340" s="44" t="str">
        <f t="shared" si="43"/>
        <v/>
      </c>
      <c r="I340" s="16" t="str">
        <f t="shared" ref="I340:I342" si="44">IFERROR(SUM(F340*H340),"")</f>
        <v/>
      </c>
      <c r="J340" s="55"/>
      <c r="K340" s="57"/>
    </row>
    <row r="341" spans="1:14" ht="22.5" hidden="1" customHeight="1">
      <c r="A341" s="11">
        <v>3</v>
      </c>
      <c r="B341" s="12" t="str">
        <f t="shared" si="42"/>
        <v/>
      </c>
      <c r="C341" s="13"/>
      <c r="D341" s="12" t="str">
        <f t="shared" ref="D341:H341" si="45">IF(D307="","",D307)</f>
        <v/>
      </c>
      <c r="E341" s="11" t="str">
        <f t="shared" si="45"/>
        <v/>
      </c>
      <c r="F341" s="11" t="str">
        <f t="shared" si="45"/>
        <v/>
      </c>
      <c r="G341" s="11" t="str">
        <f t="shared" si="45"/>
        <v/>
      </c>
      <c r="H341" s="44" t="str">
        <f t="shared" si="45"/>
        <v/>
      </c>
      <c r="I341" s="16" t="str">
        <f t="shared" si="44"/>
        <v/>
      </c>
      <c r="J341" s="54">
        <v>3</v>
      </c>
      <c r="K341" s="56">
        <v>4</v>
      </c>
    </row>
    <row r="342" spans="1:14" ht="22.5" hidden="1" customHeight="1">
      <c r="A342" s="11">
        <v>4</v>
      </c>
      <c r="B342" s="12" t="str">
        <f t="shared" si="42"/>
        <v/>
      </c>
      <c r="C342" s="13"/>
      <c r="D342" s="12" t="str">
        <f t="shared" ref="D342:H342" si="46">IF(D308="","",D308)</f>
        <v/>
      </c>
      <c r="E342" s="11" t="str">
        <f t="shared" si="46"/>
        <v/>
      </c>
      <c r="F342" s="11" t="str">
        <f t="shared" si="46"/>
        <v/>
      </c>
      <c r="G342" s="11" t="str">
        <f t="shared" si="46"/>
        <v/>
      </c>
      <c r="H342" s="44" t="str">
        <f t="shared" si="46"/>
        <v/>
      </c>
      <c r="I342" s="16" t="str">
        <f t="shared" si="44"/>
        <v/>
      </c>
      <c r="J342" s="55"/>
      <c r="K342" s="57"/>
    </row>
    <row r="343" spans="1:14" s="21" customFormat="1" ht="22.5" customHeight="1">
      <c r="A343" s="69" t="s">
        <v>20</v>
      </c>
      <c r="B343" s="70"/>
      <c r="C343" s="70"/>
      <c r="D343" s="70"/>
      <c r="E343" s="70"/>
      <c r="F343" s="70"/>
      <c r="G343" s="70"/>
      <c r="H343" s="71"/>
      <c r="I343" s="18">
        <f>SUM(I339:I342)</f>
        <v>75000</v>
      </c>
      <c r="J343" s="20"/>
      <c r="K343" s="20"/>
      <c r="N343" s="22"/>
    </row>
    <row r="344" spans="1:14" ht="23.25" customHeight="1">
      <c r="A344" s="7"/>
      <c r="B344" s="7"/>
      <c r="C344" s="7"/>
      <c r="D344" s="7"/>
      <c r="E344" s="7"/>
      <c r="F344" s="7"/>
      <c r="G344" s="7"/>
      <c r="H344" s="23"/>
      <c r="I344" s="23"/>
    </row>
    <row r="345" spans="1:14">
      <c r="A345" s="8"/>
      <c r="B345" s="8"/>
      <c r="C345" s="8"/>
      <c r="D345" s="8"/>
      <c r="E345" s="8"/>
      <c r="F345" s="8"/>
      <c r="G345" s="8"/>
      <c r="H345" s="8"/>
      <c r="J345" s="24" t="s">
        <v>103</v>
      </c>
    </row>
    <row r="346" spans="1:14">
      <c r="A346" s="8"/>
      <c r="C346" s="24" t="s">
        <v>21</v>
      </c>
      <c r="D346" s="24"/>
      <c r="E346" s="24"/>
      <c r="F346" s="24"/>
      <c r="G346" s="8"/>
      <c r="H346" s="8"/>
      <c r="J346" s="24" t="str">
        <f>Honor_penjaga!O380</f>
        <v>Dibayar Lunas Tgl. 05 November 2024</v>
      </c>
    </row>
    <row r="347" spans="1:14">
      <c r="A347" s="8"/>
      <c r="C347" s="24" t="s">
        <v>22</v>
      </c>
      <c r="D347" s="24"/>
      <c r="E347" s="24"/>
      <c r="F347" s="24"/>
      <c r="G347" s="8"/>
      <c r="H347" s="8"/>
      <c r="J347" s="24" t="s">
        <v>23</v>
      </c>
    </row>
    <row r="348" spans="1:14">
      <c r="A348" s="8"/>
      <c r="C348" s="24"/>
      <c r="D348" s="24"/>
      <c r="E348" s="24"/>
      <c r="F348" s="24"/>
      <c r="G348" s="8"/>
      <c r="H348" s="8"/>
      <c r="J348" s="25"/>
      <c r="N348" s="26"/>
    </row>
    <row r="349" spans="1:14">
      <c r="A349" s="8"/>
      <c r="C349" s="24"/>
      <c r="D349" s="24"/>
      <c r="E349" s="24"/>
      <c r="F349" s="24"/>
      <c r="G349" s="8"/>
      <c r="H349" s="8"/>
      <c r="J349" s="25"/>
    </row>
    <row r="350" spans="1:14">
      <c r="A350" s="8"/>
      <c r="C350" s="24"/>
      <c r="D350" s="24"/>
      <c r="E350" s="24"/>
      <c r="F350" s="24"/>
      <c r="G350" s="8"/>
      <c r="H350" s="8"/>
      <c r="J350" s="25"/>
    </row>
    <row r="351" spans="1:14">
      <c r="A351" s="8"/>
      <c r="C351" s="24"/>
      <c r="D351" s="24"/>
      <c r="E351" s="24"/>
      <c r="F351" s="24"/>
      <c r="G351" s="8"/>
      <c r="H351" s="8"/>
      <c r="J351" s="25"/>
    </row>
    <row r="352" spans="1:14">
      <c r="A352" s="8"/>
      <c r="C352" s="24"/>
      <c r="D352" s="24"/>
      <c r="E352" s="24"/>
      <c r="F352" s="24"/>
      <c r="G352" s="8"/>
      <c r="H352" s="8"/>
      <c r="J352" s="25"/>
    </row>
    <row r="353" spans="1:11" ht="15" customHeight="1">
      <c r="A353" s="8"/>
      <c r="C353" s="27" t="str">
        <f>C319</f>
        <v>BADRUDDIN, S.Ag.</v>
      </c>
      <c r="D353" s="28"/>
      <c r="E353" s="28"/>
      <c r="F353" s="8"/>
      <c r="G353" s="8"/>
      <c r="J353" s="27" t="str">
        <f>J319</f>
        <v>DEDE GUNAWAN, S.Pd</v>
      </c>
    </row>
    <row r="354" spans="1:11" ht="13.5" customHeight="1">
      <c r="A354" s="8"/>
      <c r="C354" s="43" t="str">
        <f>C320</f>
        <v>NIP. 197405082014121002</v>
      </c>
      <c r="D354" s="25"/>
      <c r="E354" s="25"/>
      <c r="F354" s="8"/>
      <c r="G354" s="8"/>
      <c r="J354" s="43" t="str">
        <f>J320</f>
        <v>NIP. 198507172020121003</v>
      </c>
    </row>
    <row r="355" spans="1:11" ht="15" customHeight="1">
      <c r="A355" s="8"/>
      <c r="C355" s="28"/>
      <c r="D355" s="28"/>
      <c r="E355" s="28"/>
      <c r="F355" s="28"/>
      <c r="G355" s="8"/>
      <c r="H355" s="8"/>
      <c r="J355" s="29"/>
    </row>
    <row r="356" spans="1:11" ht="13.5" customHeight="1"/>
    <row r="357" spans="1:11" ht="13.5" customHeight="1"/>
    <row r="358" spans="1:11" ht="13.5" customHeight="1"/>
    <row r="359" spans="1:11" ht="13.5" customHeight="1"/>
    <row r="364" spans="1:11" ht="17.25" customHeight="1">
      <c r="A364" s="76" t="str">
        <f>$A$1</f>
        <v>DAFTAR BUKTI PENERIMA PERJALANAN DINAS KE BANK (Transaksi Non Tunai)</v>
      </c>
      <c r="B364" s="76"/>
      <c r="C364" s="76"/>
      <c r="D364" s="76"/>
      <c r="E364" s="76"/>
      <c r="F364" s="76"/>
      <c r="G364" s="76"/>
      <c r="H364" s="76"/>
      <c r="I364" s="76"/>
      <c r="J364" s="76"/>
      <c r="K364" s="76"/>
    </row>
    <row r="365" spans="1:11" ht="17.25" customHeight="1">
      <c r="A365" s="64" t="s">
        <v>84</v>
      </c>
      <c r="B365" s="64"/>
      <c r="C365" s="64"/>
      <c r="D365" s="64"/>
      <c r="E365" s="64"/>
      <c r="F365" s="64"/>
      <c r="G365" s="64"/>
      <c r="H365" s="64"/>
      <c r="I365" s="64"/>
      <c r="J365" s="64"/>
      <c r="K365" s="64"/>
    </row>
    <row r="366" spans="1:11" ht="1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" customHeight="1">
      <c r="C367" s="4" t="s">
        <v>0</v>
      </c>
      <c r="D367" s="5" t="s">
        <v>56</v>
      </c>
      <c r="F367" s="6"/>
      <c r="G367" s="7"/>
      <c r="H367" s="7"/>
      <c r="I367" s="4" t="s">
        <v>26</v>
      </c>
      <c r="J367" s="4" t="str">
        <f>J333</f>
        <v>: 07 Pengembangan Standar Pembiayaan</v>
      </c>
    </row>
    <row r="368" spans="1:11" ht="15" customHeight="1">
      <c r="C368" s="4" t="s">
        <v>2</v>
      </c>
      <c r="D368" s="4" t="str">
        <f>D334</f>
        <v>: SD NEGERI LEBAKLEUNGSIR</v>
      </c>
      <c r="F368" s="6"/>
      <c r="H368" s="8"/>
      <c r="I368" s="4" t="s">
        <v>27</v>
      </c>
      <c r="J368" s="4" t="str">
        <f t="shared" ref="J368:J370" si="47">J334</f>
        <v>: Perjalanan Dinas ke bank</v>
      </c>
    </row>
    <row r="369" spans="1:14" ht="15" customHeight="1">
      <c r="C369" s="4" t="s">
        <v>3</v>
      </c>
      <c r="D369" s="4" t="str">
        <f t="shared" ref="D369:D370" si="48">D335</f>
        <v>: Cikalongwetan</v>
      </c>
      <c r="F369" s="6"/>
      <c r="H369" s="8"/>
      <c r="I369" s="8" t="s">
        <v>28</v>
      </c>
      <c r="J369" s="4" t="str">
        <f t="shared" si="47"/>
        <v>: 5.1.02.04.01.0003</v>
      </c>
    </row>
    <row r="370" spans="1:14" ht="15" customHeight="1">
      <c r="C370" s="4" t="s">
        <v>5</v>
      </c>
      <c r="D370" s="4" t="str">
        <f t="shared" si="48"/>
        <v>: Bandung Barat</v>
      </c>
      <c r="F370" s="6"/>
      <c r="H370" s="8"/>
      <c r="I370" s="4" t="s">
        <v>7</v>
      </c>
      <c r="J370" s="4" t="str">
        <f t="shared" si="47"/>
        <v>: 5</v>
      </c>
    </row>
    <row r="371" spans="1:14" ht="15" customHeight="1">
      <c r="H371" s="8"/>
      <c r="I371" s="8"/>
      <c r="J371" s="8"/>
    </row>
    <row r="372" spans="1:14" ht="41.25" customHeight="1">
      <c r="A372" s="9" t="s">
        <v>8</v>
      </c>
      <c r="B372" s="65" t="s">
        <v>9</v>
      </c>
      <c r="C372" s="66"/>
      <c r="D372" s="9" t="s">
        <v>10</v>
      </c>
      <c r="E372" s="10" t="s">
        <v>11</v>
      </c>
      <c r="F372" s="9" t="s">
        <v>45</v>
      </c>
      <c r="G372" s="9" t="s">
        <v>24</v>
      </c>
      <c r="H372" s="10" t="s">
        <v>13</v>
      </c>
      <c r="I372" s="10" t="s">
        <v>14</v>
      </c>
      <c r="J372" s="69" t="s">
        <v>17</v>
      </c>
      <c r="K372" s="71"/>
    </row>
    <row r="373" spans="1:14" ht="22.5" customHeight="1">
      <c r="A373" s="11">
        <v>1</v>
      </c>
      <c r="B373" s="12" t="s">
        <v>38</v>
      </c>
      <c r="C373" s="13"/>
      <c r="D373" s="12" t="str">
        <f>IF(D339="","",D339)</f>
        <v>Guru/Bendahara</v>
      </c>
      <c r="E373" s="11" t="s">
        <v>101</v>
      </c>
      <c r="F373" s="11">
        <f>IF(F339="","",F339)</f>
        <v>1</v>
      </c>
      <c r="G373" s="11" t="str">
        <f>IF(G339="","",G339)</f>
        <v>Perjalanan</v>
      </c>
      <c r="H373" s="44">
        <f>IF(H339="","",H339)</f>
        <v>75000</v>
      </c>
      <c r="I373" s="16">
        <f>IFERROR(SUM(F373*H373),"")</f>
        <v>75000</v>
      </c>
      <c r="J373" s="54">
        <v>1</v>
      </c>
      <c r="K373" s="56">
        <v>2</v>
      </c>
    </row>
    <row r="374" spans="1:14" ht="22.5" customHeight="1">
      <c r="A374" s="11">
        <v>2</v>
      </c>
      <c r="B374" s="12" t="str">
        <f t="shared" ref="B374:B376" si="49">IF(B340="","",B340)</f>
        <v/>
      </c>
      <c r="C374" s="13"/>
      <c r="D374" s="12" t="str">
        <f t="shared" ref="D374:H374" si="50">IF(D340="","",D340)</f>
        <v/>
      </c>
      <c r="E374" s="11" t="str">
        <f t="shared" si="50"/>
        <v/>
      </c>
      <c r="F374" s="11" t="str">
        <f t="shared" si="50"/>
        <v/>
      </c>
      <c r="G374" s="11" t="str">
        <f t="shared" si="50"/>
        <v/>
      </c>
      <c r="H374" s="44" t="str">
        <f t="shared" si="50"/>
        <v/>
      </c>
      <c r="I374" s="16" t="str">
        <f t="shared" ref="I374:I376" si="51">IFERROR(SUM(F374*H374),"")</f>
        <v/>
      </c>
      <c r="J374" s="55"/>
      <c r="K374" s="57"/>
    </row>
    <row r="375" spans="1:14" ht="22.5" hidden="1" customHeight="1">
      <c r="A375" s="11">
        <v>3</v>
      </c>
      <c r="B375" s="12" t="str">
        <f t="shared" si="49"/>
        <v/>
      </c>
      <c r="C375" s="13"/>
      <c r="D375" s="12" t="str">
        <f t="shared" ref="D375:H375" si="52">IF(D341="","",D341)</f>
        <v/>
      </c>
      <c r="E375" s="11" t="str">
        <f t="shared" si="52"/>
        <v/>
      </c>
      <c r="F375" s="11" t="str">
        <f t="shared" si="52"/>
        <v/>
      </c>
      <c r="G375" s="11" t="str">
        <f t="shared" si="52"/>
        <v/>
      </c>
      <c r="H375" s="44" t="str">
        <f t="shared" si="52"/>
        <v/>
      </c>
      <c r="I375" s="16" t="str">
        <f t="shared" si="51"/>
        <v/>
      </c>
      <c r="J375" s="54">
        <v>3</v>
      </c>
      <c r="K375" s="56">
        <v>4</v>
      </c>
    </row>
    <row r="376" spans="1:14" ht="22.5" hidden="1" customHeight="1">
      <c r="A376" s="11">
        <v>4</v>
      </c>
      <c r="B376" s="12" t="str">
        <f t="shared" si="49"/>
        <v/>
      </c>
      <c r="C376" s="13"/>
      <c r="D376" s="12" t="str">
        <f t="shared" ref="D376:H376" si="53">IF(D342="","",D342)</f>
        <v/>
      </c>
      <c r="E376" s="11" t="str">
        <f t="shared" si="53"/>
        <v/>
      </c>
      <c r="F376" s="11" t="str">
        <f t="shared" si="53"/>
        <v/>
      </c>
      <c r="G376" s="11" t="str">
        <f t="shared" si="53"/>
        <v/>
      </c>
      <c r="H376" s="44" t="str">
        <f t="shared" si="53"/>
        <v/>
      </c>
      <c r="I376" s="16" t="str">
        <f t="shared" si="51"/>
        <v/>
      </c>
      <c r="J376" s="55"/>
      <c r="K376" s="57"/>
    </row>
    <row r="377" spans="1:14" s="21" customFormat="1" ht="22.5" customHeight="1">
      <c r="A377" s="69" t="s">
        <v>20</v>
      </c>
      <c r="B377" s="70"/>
      <c r="C377" s="70"/>
      <c r="D377" s="70"/>
      <c r="E377" s="70"/>
      <c r="F377" s="70"/>
      <c r="G377" s="70"/>
      <c r="H377" s="71"/>
      <c r="I377" s="18">
        <f>SUM(I373:I376)</f>
        <v>75000</v>
      </c>
      <c r="J377" s="20"/>
      <c r="K377" s="20"/>
      <c r="N377" s="22"/>
    </row>
    <row r="378" spans="1:14" ht="23.25" customHeight="1">
      <c r="A378" s="7"/>
      <c r="B378" s="7"/>
      <c r="C378" s="7"/>
      <c r="D378" s="7"/>
      <c r="E378" s="7"/>
      <c r="F378" s="7"/>
      <c r="G378" s="7"/>
      <c r="H378" s="23"/>
      <c r="I378" s="23"/>
    </row>
    <row r="379" spans="1:14">
      <c r="A379" s="8"/>
      <c r="B379" s="8"/>
      <c r="C379" s="8"/>
      <c r="D379" s="8"/>
      <c r="E379" s="8"/>
      <c r="F379" s="8"/>
      <c r="G379" s="8"/>
      <c r="H379" s="8"/>
      <c r="J379" s="24" t="s">
        <v>104</v>
      </c>
    </row>
    <row r="380" spans="1:14">
      <c r="A380" s="8"/>
      <c r="C380" s="24" t="s">
        <v>21</v>
      </c>
      <c r="D380" s="24"/>
      <c r="E380" s="24"/>
      <c r="F380" s="24"/>
      <c r="G380" s="8"/>
      <c r="H380" s="8"/>
      <c r="J380" s="24" t="str">
        <f>Honor_penjaga!O416</f>
        <v>Dibayar Lunas Tgl. 04 Desember 2024</v>
      </c>
    </row>
    <row r="381" spans="1:14">
      <c r="A381" s="8"/>
      <c r="C381" s="24" t="s">
        <v>22</v>
      </c>
      <c r="D381" s="24"/>
      <c r="E381" s="24"/>
      <c r="F381" s="24"/>
      <c r="G381" s="8"/>
      <c r="H381" s="8"/>
      <c r="J381" s="24" t="s">
        <v>23</v>
      </c>
    </row>
    <row r="382" spans="1:14">
      <c r="A382" s="8"/>
      <c r="C382" s="24"/>
      <c r="D382" s="24"/>
      <c r="E382" s="24"/>
      <c r="F382" s="24"/>
      <c r="G382" s="8"/>
      <c r="H382" s="8"/>
      <c r="J382" s="25"/>
      <c r="N382" s="26"/>
    </row>
    <row r="383" spans="1:14">
      <c r="A383" s="8"/>
      <c r="C383" s="24"/>
      <c r="D383" s="24"/>
      <c r="E383" s="24"/>
      <c r="F383" s="24"/>
      <c r="G383" s="8"/>
      <c r="H383" s="8"/>
      <c r="J383" s="25"/>
    </row>
    <row r="384" spans="1:14">
      <c r="A384" s="8"/>
      <c r="C384" s="24"/>
      <c r="D384" s="24"/>
      <c r="E384" s="24"/>
      <c r="F384" s="24"/>
      <c r="G384" s="8"/>
      <c r="H384" s="8"/>
      <c r="J384" s="25"/>
    </row>
    <row r="385" spans="1:10">
      <c r="A385" s="8"/>
      <c r="C385" s="24"/>
      <c r="D385" s="24"/>
      <c r="E385" s="24"/>
      <c r="F385" s="24"/>
      <c r="G385" s="8"/>
      <c r="H385" s="8"/>
      <c r="J385" s="25"/>
    </row>
    <row r="386" spans="1:10">
      <c r="A386" s="8"/>
      <c r="C386" s="24"/>
      <c r="D386" s="24"/>
      <c r="E386" s="24"/>
      <c r="F386" s="24"/>
      <c r="G386" s="8"/>
      <c r="H386" s="8"/>
      <c r="J386" s="25"/>
    </row>
    <row r="387" spans="1:10" ht="15" customHeight="1">
      <c r="A387" s="8"/>
      <c r="C387" s="27" t="str">
        <f>C353</f>
        <v>BADRUDDIN, S.Ag.</v>
      </c>
      <c r="D387" s="28"/>
      <c r="E387" s="28"/>
      <c r="F387" s="8"/>
      <c r="G387" s="8"/>
      <c r="J387" s="27" t="str">
        <f>J353</f>
        <v>DEDE GUNAWAN, S.Pd</v>
      </c>
    </row>
    <row r="388" spans="1:10" ht="13.5" customHeight="1">
      <c r="A388" s="8"/>
      <c r="C388" s="43" t="str">
        <f>C354</f>
        <v>NIP. 197405082014121002</v>
      </c>
      <c r="D388" s="25"/>
      <c r="E388" s="25"/>
      <c r="F388" s="8"/>
      <c r="G388" s="8"/>
      <c r="J388" s="43" t="str">
        <f>J354</f>
        <v>NIP. 198507172020121003</v>
      </c>
    </row>
    <row r="389" spans="1:10" ht="15" customHeight="1">
      <c r="A389" s="8"/>
      <c r="C389" s="28"/>
      <c r="D389" s="28"/>
      <c r="E389" s="28"/>
      <c r="F389" s="28"/>
      <c r="G389" s="8"/>
      <c r="H389" s="8"/>
      <c r="J389" s="29"/>
    </row>
    <row r="390" spans="1:10" ht="13.5" customHeight="1"/>
    <row r="391" spans="1:10" ht="13.5" customHeight="1"/>
    <row r="392" spans="1:10" ht="13.5" customHeight="1"/>
    <row r="393" spans="1:10" ht="13.5" customHeight="1"/>
  </sheetData>
  <mergeCells count="108">
    <mergeCell ref="A162:K162"/>
    <mergeCell ref="A163:K163"/>
    <mergeCell ref="B170:C170"/>
    <mergeCell ref="J170:K170"/>
    <mergeCell ref="J171:J172"/>
    <mergeCell ref="K171:K172"/>
    <mergeCell ref="A1:K1"/>
    <mergeCell ref="A2:K2"/>
    <mergeCell ref="B9:C9"/>
    <mergeCell ref="J9:K9"/>
    <mergeCell ref="A14:H14"/>
    <mergeCell ref="J10:J11"/>
    <mergeCell ref="K10:K11"/>
    <mergeCell ref="J12:J13"/>
    <mergeCell ref="K12:K13"/>
    <mergeCell ref="A33:K33"/>
    <mergeCell ref="A34:K34"/>
    <mergeCell ref="B41:C41"/>
    <mergeCell ref="J41:K41"/>
    <mergeCell ref="J42:J43"/>
    <mergeCell ref="K42:K43"/>
    <mergeCell ref="J44:J45"/>
    <mergeCell ref="K44:K45"/>
    <mergeCell ref="A46:H46"/>
    <mergeCell ref="J237:J238"/>
    <mergeCell ref="K237:K238"/>
    <mergeCell ref="J205:J206"/>
    <mergeCell ref="K205:K206"/>
    <mergeCell ref="A207:H207"/>
    <mergeCell ref="A228:K228"/>
    <mergeCell ref="A229:K229"/>
    <mergeCell ref="B236:C236"/>
    <mergeCell ref="J236:K236"/>
    <mergeCell ref="A65:K65"/>
    <mergeCell ref="A66:K66"/>
    <mergeCell ref="B73:C73"/>
    <mergeCell ref="J73:K73"/>
    <mergeCell ref="J74:J75"/>
    <mergeCell ref="K74:K75"/>
    <mergeCell ref="J76:J77"/>
    <mergeCell ref="K76:K77"/>
    <mergeCell ref="A78:H78"/>
    <mergeCell ref="A99:K99"/>
    <mergeCell ref="A100:K100"/>
    <mergeCell ref="B107:C107"/>
    <mergeCell ref="J107:K107"/>
    <mergeCell ref="J108:J109"/>
    <mergeCell ref="K108:K109"/>
    <mergeCell ref="J110:J111"/>
    <mergeCell ref="K110:K111"/>
    <mergeCell ref="A112:H112"/>
    <mergeCell ref="A130:K130"/>
    <mergeCell ref="A131:K131"/>
    <mergeCell ref="B138:C138"/>
    <mergeCell ref="J138:K138"/>
    <mergeCell ref="J139:J140"/>
    <mergeCell ref="K139:K140"/>
    <mergeCell ref="J141:J142"/>
    <mergeCell ref="K141:K142"/>
    <mergeCell ref="A143:H143"/>
    <mergeCell ref="J173:J174"/>
    <mergeCell ref="K173:K174"/>
    <mergeCell ref="A175:H175"/>
    <mergeCell ref="A194:K194"/>
    <mergeCell ref="A195:K195"/>
    <mergeCell ref="B202:C202"/>
    <mergeCell ref="J202:K202"/>
    <mergeCell ref="J203:J204"/>
    <mergeCell ref="K203:K204"/>
    <mergeCell ref="J239:J240"/>
    <mergeCell ref="K239:K240"/>
    <mergeCell ref="A241:H241"/>
    <mergeCell ref="A262:K262"/>
    <mergeCell ref="A263:K263"/>
    <mergeCell ref="B270:C270"/>
    <mergeCell ref="J270:K270"/>
    <mergeCell ref="J271:J272"/>
    <mergeCell ref="K271:K272"/>
    <mergeCell ref="J273:J274"/>
    <mergeCell ref="K273:K274"/>
    <mergeCell ref="A275:H275"/>
    <mergeCell ref="A296:K296"/>
    <mergeCell ref="A297:K297"/>
    <mergeCell ref="B304:C304"/>
    <mergeCell ref="J304:K304"/>
    <mergeCell ref="J305:J306"/>
    <mergeCell ref="K305:K306"/>
    <mergeCell ref="K375:K376"/>
    <mergeCell ref="A377:H377"/>
    <mergeCell ref="J307:J308"/>
    <mergeCell ref="K307:K308"/>
    <mergeCell ref="A309:H309"/>
    <mergeCell ref="A330:K330"/>
    <mergeCell ref="A331:K331"/>
    <mergeCell ref="B338:C338"/>
    <mergeCell ref="J338:K338"/>
    <mergeCell ref="J339:J340"/>
    <mergeCell ref="K339:K340"/>
    <mergeCell ref="J341:J342"/>
    <mergeCell ref="K341:K342"/>
    <mergeCell ref="A343:H343"/>
    <mergeCell ref="A364:K364"/>
    <mergeCell ref="A365:K365"/>
    <mergeCell ref="B372:C372"/>
    <mergeCell ref="J372:K372"/>
    <mergeCell ref="J373:J374"/>
    <mergeCell ref="K373:K374"/>
    <mergeCell ref="J375:J376"/>
  </mergeCells>
  <pageMargins left="1.06" right="0.99" top="1.1599999999999999" bottom="0.53" header="0.31496062992125984" footer="0.31496062992125984"/>
  <pageSetup paperSize="14" fitToHeight="0"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F30F-FC53-4F81-8B0A-EEA81218E8CE}">
  <sheetPr>
    <tabColor rgb="FF00B0F0"/>
    <pageSetUpPr fitToPage="1"/>
  </sheetPr>
  <dimension ref="A1:N392"/>
  <sheetViews>
    <sheetView showGridLines="0" topLeftCell="A153" zoomScale="90" zoomScaleNormal="90" zoomScaleSheetLayoutView="80" workbookViewId="0">
      <selection activeCell="F170" sqref="F170"/>
    </sheetView>
  </sheetViews>
  <sheetFormatPr defaultRowHeight="11.5"/>
  <cols>
    <col min="1" max="1" width="4.453125" style="1" customWidth="1"/>
    <col min="2" max="2" width="7.453125" style="1" customWidth="1"/>
    <col min="3" max="3" width="21.81640625" style="1" customWidth="1"/>
    <col min="4" max="4" width="19.1796875" style="1" customWidth="1"/>
    <col min="5" max="5" width="7.81640625" style="1" customWidth="1"/>
    <col min="6" max="6" width="5.54296875" style="1" customWidth="1"/>
    <col min="7" max="7" width="14" style="1" customWidth="1"/>
    <col min="8" max="8" width="11.453125" style="1" customWidth="1"/>
    <col min="9" max="9" width="17" style="1" customWidth="1"/>
    <col min="10" max="10" width="15.453125" style="1" customWidth="1"/>
    <col min="11" max="11" width="16" style="1" customWidth="1"/>
    <col min="12" max="12" width="5.54296875" style="1" customWidth="1"/>
    <col min="13" max="13" width="15.26953125" style="1" customWidth="1"/>
    <col min="14" max="14" width="35.26953125" style="2" customWidth="1"/>
    <col min="15" max="15" width="10.26953125" style="1" customWidth="1"/>
    <col min="16" max="16" width="12.54296875" style="1" customWidth="1"/>
    <col min="17" max="17" width="16" style="1" customWidth="1"/>
    <col min="18" max="18" width="16.54296875" style="1" customWidth="1"/>
    <col min="19" max="19" width="21.81640625" style="1" customWidth="1"/>
    <col min="20" max="250" width="8.7265625" style="1"/>
    <col min="251" max="251" width="7.81640625" style="1" customWidth="1"/>
    <col min="252" max="252" width="8.54296875" style="1" customWidth="1"/>
    <col min="253" max="253" width="20.1796875" style="1" customWidth="1"/>
    <col min="254" max="254" width="16.453125" style="1" customWidth="1"/>
    <col min="255" max="255" width="22.26953125" style="1" customWidth="1"/>
    <col min="256" max="256" width="17.81640625" style="1" customWidth="1"/>
    <col min="257" max="257" width="22.81640625" style="1" customWidth="1"/>
    <col min="258" max="258" width="25.453125" style="1" customWidth="1"/>
    <col min="259" max="260" width="6.7265625" style="1" customWidth="1"/>
    <col min="261" max="261" width="26.453125" style="1" customWidth="1"/>
    <col min="262" max="262" width="18.54296875" style="1" customWidth="1"/>
    <col min="263" max="263" width="29.81640625" style="1" customWidth="1"/>
    <col min="264" max="264" width="23.54296875" style="1" customWidth="1"/>
    <col min="265" max="265" width="31.453125" style="1" customWidth="1"/>
    <col min="266" max="506" width="8.7265625" style="1"/>
    <col min="507" max="507" width="7.81640625" style="1" customWidth="1"/>
    <col min="508" max="508" width="8.54296875" style="1" customWidth="1"/>
    <col min="509" max="509" width="20.1796875" style="1" customWidth="1"/>
    <col min="510" max="510" width="16.453125" style="1" customWidth="1"/>
    <col min="511" max="511" width="22.26953125" style="1" customWidth="1"/>
    <col min="512" max="512" width="17.81640625" style="1" customWidth="1"/>
    <col min="513" max="513" width="22.81640625" style="1" customWidth="1"/>
    <col min="514" max="514" width="25.453125" style="1" customWidth="1"/>
    <col min="515" max="516" width="6.7265625" style="1" customWidth="1"/>
    <col min="517" max="517" width="26.453125" style="1" customWidth="1"/>
    <col min="518" max="518" width="18.54296875" style="1" customWidth="1"/>
    <col min="519" max="519" width="29.81640625" style="1" customWidth="1"/>
    <col min="520" max="520" width="23.54296875" style="1" customWidth="1"/>
    <col min="521" max="521" width="31.453125" style="1" customWidth="1"/>
    <col min="522" max="762" width="8.7265625" style="1"/>
    <col min="763" max="763" width="7.81640625" style="1" customWidth="1"/>
    <col min="764" max="764" width="8.54296875" style="1" customWidth="1"/>
    <col min="765" max="765" width="20.1796875" style="1" customWidth="1"/>
    <col min="766" max="766" width="16.453125" style="1" customWidth="1"/>
    <col min="767" max="767" width="22.26953125" style="1" customWidth="1"/>
    <col min="768" max="768" width="17.81640625" style="1" customWidth="1"/>
    <col min="769" max="769" width="22.81640625" style="1" customWidth="1"/>
    <col min="770" max="770" width="25.453125" style="1" customWidth="1"/>
    <col min="771" max="772" width="6.7265625" style="1" customWidth="1"/>
    <col min="773" max="773" width="26.453125" style="1" customWidth="1"/>
    <col min="774" max="774" width="18.54296875" style="1" customWidth="1"/>
    <col min="775" max="775" width="29.81640625" style="1" customWidth="1"/>
    <col min="776" max="776" width="23.54296875" style="1" customWidth="1"/>
    <col min="777" max="777" width="31.453125" style="1" customWidth="1"/>
    <col min="778" max="1018" width="8.7265625" style="1"/>
    <col min="1019" max="1019" width="7.81640625" style="1" customWidth="1"/>
    <col min="1020" max="1020" width="8.54296875" style="1" customWidth="1"/>
    <col min="1021" max="1021" width="20.1796875" style="1" customWidth="1"/>
    <col min="1022" max="1022" width="16.453125" style="1" customWidth="1"/>
    <col min="1023" max="1023" width="22.26953125" style="1" customWidth="1"/>
    <col min="1024" max="1024" width="17.81640625" style="1" customWidth="1"/>
    <col min="1025" max="1025" width="22.81640625" style="1" customWidth="1"/>
    <col min="1026" max="1026" width="25.453125" style="1" customWidth="1"/>
    <col min="1027" max="1028" width="6.7265625" style="1" customWidth="1"/>
    <col min="1029" max="1029" width="26.453125" style="1" customWidth="1"/>
    <col min="1030" max="1030" width="18.54296875" style="1" customWidth="1"/>
    <col min="1031" max="1031" width="29.81640625" style="1" customWidth="1"/>
    <col min="1032" max="1032" width="23.54296875" style="1" customWidth="1"/>
    <col min="1033" max="1033" width="31.453125" style="1" customWidth="1"/>
    <col min="1034" max="1274" width="8.7265625" style="1"/>
    <col min="1275" max="1275" width="7.81640625" style="1" customWidth="1"/>
    <col min="1276" max="1276" width="8.54296875" style="1" customWidth="1"/>
    <col min="1277" max="1277" width="20.1796875" style="1" customWidth="1"/>
    <col min="1278" max="1278" width="16.453125" style="1" customWidth="1"/>
    <col min="1279" max="1279" width="22.26953125" style="1" customWidth="1"/>
    <col min="1280" max="1280" width="17.81640625" style="1" customWidth="1"/>
    <col min="1281" max="1281" width="22.81640625" style="1" customWidth="1"/>
    <col min="1282" max="1282" width="25.453125" style="1" customWidth="1"/>
    <col min="1283" max="1284" width="6.7265625" style="1" customWidth="1"/>
    <col min="1285" max="1285" width="26.453125" style="1" customWidth="1"/>
    <col min="1286" max="1286" width="18.54296875" style="1" customWidth="1"/>
    <col min="1287" max="1287" width="29.81640625" style="1" customWidth="1"/>
    <col min="1288" max="1288" width="23.54296875" style="1" customWidth="1"/>
    <col min="1289" max="1289" width="31.453125" style="1" customWidth="1"/>
    <col min="1290" max="1530" width="8.7265625" style="1"/>
    <col min="1531" max="1531" width="7.81640625" style="1" customWidth="1"/>
    <col min="1532" max="1532" width="8.54296875" style="1" customWidth="1"/>
    <col min="1533" max="1533" width="20.1796875" style="1" customWidth="1"/>
    <col min="1534" max="1534" width="16.453125" style="1" customWidth="1"/>
    <col min="1535" max="1535" width="22.26953125" style="1" customWidth="1"/>
    <col min="1536" max="1536" width="17.81640625" style="1" customWidth="1"/>
    <col min="1537" max="1537" width="22.81640625" style="1" customWidth="1"/>
    <col min="1538" max="1538" width="25.453125" style="1" customWidth="1"/>
    <col min="1539" max="1540" width="6.7265625" style="1" customWidth="1"/>
    <col min="1541" max="1541" width="26.453125" style="1" customWidth="1"/>
    <col min="1542" max="1542" width="18.54296875" style="1" customWidth="1"/>
    <col min="1543" max="1543" width="29.81640625" style="1" customWidth="1"/>
    <col min="1544" max="1544" width="23.54296875" style="1" customWidth="1"/>
    <col min="1545" max="1545" width="31.453125" style="1" customWidth="1"/>
    <col min="1546" max="1786" width="8.7265625" style="1"/>
    <col min="1787" max="1787" width="7.81640625" style="1" customWidth="1"/>
    <col min="1788" max="1788" width="8.54296875" style="1" customWidth="1"/>
    <col min="1789" max="1789" width="20.1796875" style="1" customWidth="1"/>
    <col min="1790" max="1790" width="16.453125" style="1" customWidth="1"/>
    <col min="1791" max="1791" width="22.26953125" style="1" customWidth="1"/>
    <col min="1792" max="1792" width="17.81640625" style="1" customWidth="1"/>
    <col min="1793" max="1793" width="22.81640625" style="1" customWidth="1"/>
    <col min="1794" max="1794" width="25.453125" style="1" customWidth="1"/>
    <col min="1795" max="1796" width="6.7265625" style="1" customWidth="1"/>
    <col min="1797" max="1797" width="26.453125" style="1" customWidth="1"/>
    <col min="1798" max="1798" width="18.54296875" style="1" customWidth="1"/>
    <col min="1799" max="1799" width="29.81640625" style="1" customWidth="1"/>
    <col min="1800" max="1800" width="23.54296875" style="1" customWidth="1"/>
    <col min="1801" max="1801" width="31.453125" style="1" customWidth="1"/>
    <col min="1802" max="2042" width="8.7265625" style="1"/>
    <col min="2043" max="2043" width="7.81640625" style="1" customWidth="1"/>
    <col min="2044" max="2044" width="8.54296875" style="1" customWidth="1"/>
    <col min="2045" max="2045" width="20.1796875" style="1" customWidth="1"/>
    <col min="2046" max="2046" width="16.453125" style="1" customWidth="1"/>
    <col min="2047" max="2047" width="22.26953125" style="1" customWidth="1"/>
    <col min="2048" max="2048" width="17.81640625" style="1" customWidth="1"/>
    <col min="2049" max="2049" width="22.81640625" style="1" customWidth="1"/>
    <col min="2050" max="2050" width="25.453125" style="1" customWidth="1"/>
    <col min="2051" max="2052" width="6.7265625" style="1" customWidth="1"/>
    <col min="2053" max="2053" width="26.453125" style="1" customWidth="1"/>
    <col min="2054" max="2054" width="18.54296875" style="1" customWidth="1"/>
    <col min="2055" max="2055" width="29.81640625" style="1" customWidth="1"/>
    <col min="2056" max="2056" width="23.54296875" style="1" customWidth="1"/>
    <col min="2057" max="2057" width="31.453125" style="1" customWidth="1"/>
    <col min="2058" max="2298" width="8.7265625" style="1"/>
    <col min="2299" max="2299" width="7.81640625" style="1" customWidth="1"/>
    <col min="2300" max="2300" width="8.54296875" style="1" customWidth="1"/>
    <col min="2301" max="2301" width="20.1796875" style="1" customWidth="1"/>
    <col min="2302" max="2302" width="16.453125" style="1" customWidth="1"/>
    <col min="2303" max="2303" width="22.26953125" style="1" customWidth="1"/>
    <col min="2304" max="2304" width="17.81640625" style="1" customWidth="1"/>
    <col min="2305" max="2305" width="22.81640625" style="1" customWidth="1"/>
    <col min="2306" max="2306" width="25.453125" style="1" customWidth="1"/>
    <col min="2307" max="2308" width="6.7265625" style="1" customWidth="1"/>
    <col min="2309" max="2309" width="26.453125" style="1" customWidth="1"/>
    <col min="2310" max="2310" width="18.54296875" style="1" customWidth="1"/>
    <col min="2311" max="2311" width="29.81640625" style="1" customWidth="1"/>
    <col min="2312" max="2312" width="23.54296875" style="1" customWidth="1"/>
    <col min="2313" max="2313" width="31.453125" style="1" customWidth="1"/>
    <col min="2314" max="2554" width="8.7265625" style="1"/>
    <col min="2555" max="2555" width="7.81640625" style="1" customWidth="1"/>
    <col min="2556" max="2556" width="8.54296875" style="1" customWidth="1"/>
    <col min="2557" max="2557" width="20.1796875" style="1" customWidth="1"/>
    <col min="2558" max="2558" width="16.453125" style="1" customWidth="1"/>
    <col min="2559" max="2559" width="22.26953125" style="1" customWidth="1"/>
    <col min="2560" max="2560" width="17.81640625" style="1" customWidth="1"/>
    <col min="2561" max="2561" width="22.81640625" style="1" customWidth="1"/>
    <col min="2562" max="2562" width="25.453125" style="1" customWidth="1"/>
    <col min="2563" max="2564" width="6.7265625" style="1" customWidth="1"/>
    <col min="2565" max="2565" width="26.453125" style="1" customWidth="1"/>
    <col min="2566" max="2566" width="18.54296875" style="1" customWidth="1"/>
    <col min="2567" max="2567" width="29.81640625" style="1" customWidth="1"/>
    <col min="2568" max="2568" width="23.54296875" style="1" customWidth="1"/>
    <col min="2569" max="2569" width="31.453125" style="1" customWidth="1"/>
    <col min="2570" max="2810" width="8.7265625" style="1"/>
    <col min="2811" max="2811" width="7.81640625" style="1" customWidth="1"/>
    <col min="2812" max="2812" width="8.54296875" style="1" customWidth="1"/>
    <col min="2813" max="2813" width="20.1796875" style="1" customWidth="1"/>
    <col min="2814" max="2814" width="16.453125" style="1" customWidth="1"/>
    <col min="2815" max="2815" width="22.26953125" style="1" customWidth="1"/>
    <col min="2816" max="2816" width="17.81640625" style="1" customWidth="1"/>
    <col min="2817" max="2817" width="22.81640625" style="1" customWidth="1"/>
    <col min="2818" max="2818" width="25.453125" style="1" customWidth="1"/>
    <col min="2819" max="2820" width="6.7265625" style="1" customWidth="1"/>
    <col min="2821" max="2821" width="26.453125" style="1" customWidth="1"/>
    <col min="2822" max="2822" width="18.54296875" style="1" customWidth="1"/>
    <col min="2823" max="2823" width="29.81640625" style="1" customWidth="1"/>
    <col min="2824" max="2824" width="23.54296875" style="1" customWidth="1"/>
    <col min="2825" max="2825" width="31.453125" style="1" customWidth="1"/>
    <col min="2826" max="3066" width="8.7265625" style="1"/>
    <col min="3067" max="3067" width="7.81640625" style="1" customWidth="1"/>
    <col min="3068" max="3068" width="8.54296875" style="1" customWidth="1"/>
    <col min="3069" max="3069" width="20.1796875" style="1" customWidth="1"/>
    <col min="3070" max="3070" width="16.453125" style="1" customWidth="1"/>
    <col min="3071" max="3071" width="22.26953125" style="1" customWidth="1"/>
    <col min="3072" max="3072" width="17.81640625" style="1" customWidth="1"/>
    <col min="3073" max="3073" width="22.81640625" style="1" customWidth="1"/>
    <col min="3074" max="3074" width="25.453125" style="1" customWidth="1"/>
    <col min="3075" max="3076" width="6.7265625" style="1" customWidth="1"/>
    <col min="3077" max="3077" width="26.453125" style="1" customWidth="1"/>
    <col min="3078" max="3078" width="18.54296875" style="1" customWidth="1"/>
    <col min="3079" max="3079" width="29.81640625" style="1" customWidth="1"/>
    <col min="3080" max="3080" width="23.54296875" style="1" customWidth="1"/>
    <col min="3081" max="3081" width="31.453125" style="1" customWidth="1"/>
    <col min="3082" max="3322" width="8.7265625" style="1"/>
    <col min="3323" max="3323" width="7.81640625" style="1" customWidth="1"/>
    <col min="3324" max="3324" width="8.54296875" style="1" customWidth="1"/>
    <col min="3325" max="3325" width="20.1796875" style="1" customWidth="1"/>
    <col min="3326" max="3326" width="16.453125" style="1" customWidth="1"/>
    <col min="3327" max="3327" width="22.26953125" style="1" customWidth="1"/>
    <col min="3328" max="3328" width="17.81640625" style="1" customWidth="1"/>
    <col min="3329" max="3329" width="22.81640625" style="1" customWidth="1"/>
    <col min="3330" max="3330" width="25.453125" style="1" customWidth="1"/>
    <col min="3331" max="3332" width="6.7265625" style="1" customWidth="1"/>
    <col min="3333" max="3333" width="26.453125" style="1" customWidth="1"/>
    <col min="3334" max="3334" width="18.54296875" style="1" customWidth="1"/>
    <col min="3335" max="3335" width="29.81640625" style="1" customWidth="1"/>
    <col min="3336" max="3336" width="23.54296875" style="1" customWidth="1"/>
    <col min="3337" max="3337" width="31.453125" style="1" customWidth="1"/>
    <col min="3338" max="3578" width="8.7265625" style="1"/>
    <col min="3579" max="3579" width="7.81640625" style="1" customWidth="1"/>
    <col min="3580" max="3580" width="8.54296875" style="1" customWidth="1"/>
    <col min="3581" max="3581" width="20.1796875" style="1" customWidth="1"/>
    <col min="3582" max="3582" width="16.453125" style="1" customWidth="1"/>
    <col min="3583" max="3583" width="22.26953125" style="1" customWidth="1"/>
    <col min="3584" max="3584" width="17.81640625" style="1" customWidth="1"/>
    <col min="3585" max="3585" width="22.81640625" style="1" customWidth="1"/>
    <col min="3586" max="3586" width="25.453125" style="1" customWidth="1"/>
    <col min="3587" max="3588" width="6.7265625" style="1" customWidth="1"/>
    <col min="3589" max="3589" width="26.453125" style="1" customWidth="1"/>
    <col min="3590" max="3590" width="18.54296875" style="1" customWidth="1"/>
    <col min="3591" max="3591" width="29.81640625" style="1" customWidth="1"/>
    <col min="3592" max="3592" width="23.54296875" style="1" customWidth="1"/>
    <col min="3593" max="3593" width="31.453125" style="1" customWidth="1"/>
    <col min="3594" max="3834" width="8.7265625" style="1"/>
    <col min="3835" max="3835" width="7.81640625" style="1" customWidth="1"/>
    <col min="3836" max="3836" width="8.54296875" style="1" customWidth="1"/>
    <col min="3837" max="3837" width="20.1796875" style="1" customWidth="1"/>
    <col min="3838" max="3838" width="16.453125" style="1" customWidth="1"/>
    <col min="3839" max="3839" width="22.26953125" style="1" customWidth="1"/>
    <col min="3840" max="3840" width="17.81640625" style="1" customWidth="1"/>
    <col min="3841" max="3841" width="22.81640625" style="1" customWidth="1"/>
    <col min="3842" max="3842" width="25.453125" style="1" customWidth="1"/>
    <col min="3843" max="3844" width="6.7265625" style="1" customWidth="1"/>
    <col min="3845" max="3845" width="26.453125" style="1" customWidth="1"/>
    <col min="3846" max="3846" width="18.54296875" style="1" customWidth="1"/>
    <col min="3847" max="3847" width="29.81640625" style="1" customWidth="1"/>
    <col min="3848" max="3848" width="23.54296875" style="1" customWidth="1"/>
    <col min="3849" max="3849" width="31.453125" style="1" customWidth="1"/>
    <col min="3850" max="4090" width="8.7265625" style="1"/>
    <col min="4091" max="4091" width="7.81640625" style="1" customWidth="1"/>
    <col min="4092" max="4092" width="8.54296875" style="1" customWidth="1"/>
    <col min="4093" max="4093" width="20.1796875" style="1" customWidth="1"/>
    <col min="4094" max="4094" width="16.453125" style="1" customWidth="1"/>
    <col min="4095" max="4095" width="22.26953125" style="1" customWidth="1"/>
    <col min="4096" max="4096" width="17.81640625" style="1" customWidth="1"/>
    <col min="4097" max="4097" width="22.81640625" style="1" customWidth="1"/>
    <col min="4098" max="4098" width="25.453125" style="1" customWidth="1"/>
    <col min="4099" max="4100" width="6.7265625" style="1" customWidth="1"/>
    <col min="4101" max="4101" width="26.453125" style="1" customWidth="1"/>
    <col min="4102" max="4102" width="18.54296875" style="1" customWidth="1"/>
    <col min="4103" max="4103" width="29.81640625" style="1" customWidth="1"/>
    <col min="4104" max="4104" width="23.54296875" style="1" customWidth="1"/>
    <col min="4105" max="4105" width="31.453125" style="1" customWidth="1"/>
    <col min="4106" max="4346" width="8.7265625" style="1"/>
    <col min="4347" max="4347" width="7.81640625" style="1" customWidth="1"/>
    <col min="4348" max="4348" width="8.54296875" style="1" customWidth="1"/>
    <col min="4349" max="4349" width="20.1796875" style="1" customWidth="1"/>
    <col min="4350" max="4350" width="16.453125" style="1" customWidth="1"/>
    <col min="4351" max="4351" width="22.26953125" style="1" customWidth="1"/>
    <col min="4352" max="4352" width="17.81640625" style="1" customWidth="1"/>
    <col min="4353" max="4353" width="22.81640625" style="1" customWidth="1"/>
    <col min="4354" max="4354" width="25.453125" style="1" customWidth="1"/>
    <col min="4355" max="4356" width="6.7265625" style="1" customWidth="1"/>
    <col min="4357" max="4357" width="26.453125" style="1" customWidth="1"/>
    <col min="4358" max="4358" width="18.54296875" style="1" customWidth="1"/>
    <col min="4359" max="4359" width="29.81640625" style="1" customWidth="1"/>
    <col min="4360" max="4360" width="23.54296875" style="1" customWidth="1"/>
    <col min="4361" max="4361" width="31.453125" style="1" customWidth="1"/>
    <col min="4362" max="4602" width="8.7265625" style="1"/>
    <col min="4603" max="4603" width="7.81640625" style="1" customWidth="1"/>
    <col min="4604" max="4604" width="8.54296875" style="1" customWidth="1"/>
    <col min="4605" max="4605" width="20.1796875" style="1" customWidth="1"/>
    <col min="4606" max="4606" width="16.453125" style="1" customWidth="1"/>
    <col min="4607" max="4607" width="22.26953125" style="1" customWidth="1"/>
    <col min="4608" max="4608" width="17.81640625" style="1" customWidth="1"/>
    <col min="4609" max="4609" width="22.81640625" style="1" customWidth="1"/>
    <col min="4610" max="4610" width="25.453125" style="1" customWidth="1"/>
    <col min="4611" max="4612" width="6.7265625" style="1" customWidth="1"/>
    <col min="4613" max="4613" width="26.453125" style="1" customWidth="1"/>
    <col min="4614" max="4614" width="18.54296875" style="1" customWidth="1"/>
    <col min="4615" max="4615" width="29.81640625" style="1" customWidth="1"/>
    <col min="4616" max="4616" width="23.54296875" style="1" customWidth="1"/>
    <col min="4617" max="4617" width="31.453125" style="1" customWidth="1"/>
    <col min="4618" max="4858" width="8.7265625" style="1"/>
    <col min="4859" max="4859" width="7.81640625" style="1" customWidth="1"/>
    <col min="4860" max="4860" width="8.54296875" style="1" customWidth="1"/>
    <col min="4861" max="4861" width="20.1796875" style="1" customWidth="1"/>
    <col min="4862" max="4862" width="16.453125" style="1" customWidth="1"/>
    <col min="4863" max="4863" width="22.26953125" style="1" customWidth="1"/>
    <col min="4864" max="4864" width="17.81640625" style="1" customWidth="1"/>
    <col min="4865" max="4865" width="22.81640625" style="1" customWidth="1"/>
    <col min="4866" max="4866" width="25.453125" style="1" customWidth="1"/>
    <col min="4867" max="4868" width="6.7265625" style="1" customWidth="1"/>
    <col min="4869" max="4869" width="26.453125" style="1" customWidth="1"/>
    <col min="4870" max="4870" width="18.54296875" style="1" customWidth="1"/>
    <col min="4871" max="4871" width="29.81640625" style="1" customWidth="1"/>
    <col min="4872" max="4872" width="23.54296875" style="1" customWidth="1"/>
    <col min="4873" max="4873" width="31.453125" style="1" customWidth="1"/>
    <col min="4874" max="5114" width="8.7265625" style="1"/>
    <col min="5115" max="5115" width="7.81640625" style="1" customWidth="1"/>
    <col min="5116" max="5116" width="8.54296875" style="1" customWidth="1"/>
    <col min="5117" max="5117" width="20.1796875" style="1" customWidth="1"/>
    <col min="5118" max="5118" width="16.453125" style="1" customWidth="1"/>
    <col min="5119" max="5119" width="22.26953125" style="1" customWidth="1"/>
    <col min="5120" max="5120" width="17.81640625" style="1" customWidth="1"/>
    <col min="5121" max="5121" width="22.81640625" style="1" customWidth="1"/>
    <col min="5122" max="5122" width="25.453125" style="1" customWidth="1"/>
    <col min="5123" max="5124" width="6.7265625" style="1" customWidth="1"/>
    <col min="5125" max="5125" width="26.453125" style="1" customWidth="1"/>
    <col min="5126" max="5126" width="18.54296875" style="1" customWidth="1"/>
    <col min="5127" max="5127" width="29.81640625" style="1" customWidth="1"/>
    <col min="5128" max="5128" width="23.54296875" style="1" customWidth="1"/>
    <col min="5129" max="5129" width="31.453125" style="1" customWidth="1"/>
    <col min="5130" max="5370" width="8.7265625" style="1"/>
    <col min="5371" max="5371" width="7.81640625" style="1" customWidth="1"/>
    <col min="5372" max="5372" width="8.54296875" style="1" customWidth="1"/>
    <col min="5373" max="5373" width="20.1796875" style="1" customWidth="1"/>
    <col min="5374" max="5374" width="16.453125" style="1" customWidth="1"/>
    <col min="5375" max="5375" width="22.26953125" style="1" customWidth="1"/>
    <col min="5376" max="5376" width="17.81640625" style="1" customWidth="1"/>
    <col min="5377" max="5377" width="22.81640625" style="1" customWidth="1"/>
    <col min="5378" max="5378" width="25.453125" style="1" customWidth="1"/>
    <col min="5379" max="5380" width="6.7265625" style="1" customWidth="1"/>
    <col min="5381" max="5381" width="26.453125" style="1" customWidth="1"/>
    <col min="5382" max="5382" width="18.54296875" style="1" customWidth="1"/>
    <col min="5383" max="5383" width="29.81640625" style="1" customWidth="1"/>
    <col min="5384" max="5384" width="23.54296875" style="1" customWidth="1"/>
    <col min="5385" max="5385" width="31.453125" style="1" customWidth="1"/>
    <col min="5386" max="5626" width="8.7265625" style="1"/>
    <col min="5627" max="5627" width="7.81640625" style="1" customWidth="1"/>
    <col min="5628" max="5628" width="8.54296875" style="1" customWidth="1"/>
    <col min="5629" max="5629" width="20.1796875" style="1" customWidth="1"/>
    <col min="5630" max="5630" width="16.453125" style="1" customWidth="1"/>
    <col min="5631" max="5631" width="22.26953125" style="1" customWidth="1"/>
    <col min="5632" max="5632" width="17.81640625" style="1" customWidth="1"/>
    <col min="5633" max="5633" width="22.81640625" style="1" customWidth="1"/>
    <col min="5634" max="5634" width="25.453125" style="1" customWidth="1"/>
    <col min="5635" max="5636" width="6.7265625" style="1" customWidth="1"/>
    <col min="5637" max="5637" width="26.453125" style="1" customWidth="1"/>
    <col min="5638" max="5638" width="18.54296875" style="1" customWidth="1"/>
    <col min="5639" max="5639" width="29.81640625" style="1" customWidth="1"/>
    <col min="5640" max="5640" width="23.54296875" style="1" customWidth="1"/>
    <col min="5641" max="5641" width="31.453125" style="1" customWidth="1"/>
    <col min="5642" max="5882" width="8.7265625" style="1"/>
    <col min="5883" max="5883" width="7.81640625" style="1" customWidth="1"/>
    <col min="5884" max="5884" width="8.54296875" style="1" customWidth="1"/>
    <col min="5885" max="5885" width="20.1796875" style="1" customWidth="1"/>
    <col min="5886" max="5886" width="16.453125" style="1" customWidth="1"/>
    <col min="5887" max="5887" width="22.26953125" style="1" customWidth="1"/>
    <col min="5888" max="5888" width="17.81640625" style="1" customWidth="1"/>
    <col min="5889" max="5889" width="22.81640625" style="1" customWidth="1"/>
    <col min="5890" max="5890" width="25.453125" style="1" customWidth="1"/>
    <col min="5891" max="5892" width="6.7265625" style="1" customWidth="1"/>
    <col min="5893" max="5893" width="26.453125" style="1" customWidth="1"/>
    <col min="5894" max="5894" width="18.54296875" style="1" customWidth="1"/>
    <col min="5895" max="5895" width="29.81640625" style="1" customWidth="1"/>
    <col min="5896" max="5896" width="23.54296875" style="1" customWidth="1"/>
    <col min="5897" max="5897" width="31.453125" style="1" customWidth="1"/>
    <col min="5898" max="6138" width="8.7265625" style="1"/>
    <col min="6139" max="6139" width="7.81640625" style="1" customWidth="1"/>
    <col min="6140" max="6140" width="8.54296875" style="1" customWidth="1"/>
    <col min="6141" max="6141" width="20.1796875" style="1" customWidth="1"/>
    <col min="6142" max="6142" width="16.453125" style="1" customWidth="1"/>
    <col min="6143" max="6143" width="22.26953125" style="1" customWidth="1"/>
    <col min="6144" max="6144" width="17.81640625" style="1" customWidth="1"/>
    <col min="6145" max="6145" width="22.81640625" style="1" customWidth="1"/>
    <col min="6146" max="6146" width="25.453125" style="1" customWidth="1"/>
    <col min="6147" max="6148" width="6.7265625" style="1" customWidth="1"/>
    <col min="6149" max="6149" width="26.453125" style="1" customWidth="1"/>
    <col min="6150" max="6150" width="18.54296875" style="1" customWidth="1"/>
    <col min="6151" max="6151" width="29.81640625" style="1" customWidth="1"/>
    <col min="6152" max="6152" width="23.54296875" style="1" customWidth="1"/>
    <col min="6153" max="6153" width="31.453125" style="1" customWidth="1"/>
    <col min="6154" max="6394" width="8.7265625" style="1"/>
    <col min="6395" max="6395" width="7.81640625" style="1" customWidth="1"/>
    <col min="6396" max="6396" width="8.54296875" style="1" customWidth="1"/>
    <col min="6397" max="6397" width="20.1796875" style="1" customWidth="1"/>
    <col min="6398" max="6398" width="16.453125" style="1" customWidth="1"/>
    <col min="6399" max="6399" width="22.26953125" style="1" customWidth="1"/>
    <col min="6400" max="6400" width="17.81640625" style="1" customWidth="1"/>
    <col min="6401" max="6401" width="22.81640625" style="1" customWidth="1"/>
    <col min="6402" max="6402" width="25.453125" style="1" customWidth="1"/>
    <col min="6403" max="6404" width="6.7265625" style="1" customWidth="1"/>
    <col min="6405" max="6405" width="26.453125" style="1" customWidth="1"/>
    <col min="6406" max="6406" width="18.54296875" style="1" customWidth="1"/>
    <col min="6407" max="6407" width="29.81640625" style="1" customWidth="1"/>
    <col min="6408" max="6408" width="23.54296875" style="1" customWidth="1"/>
    <col min="6409" max="6409" width="31.453125" style="1" customWidth="1"/>
    <col min="6410" max="6650" width="8.7265625" style="1"/>
    <col min="6651" max="6651" width="7.81640625" style="1" customWidth="1"/>
    <col min="6652" max="6652" width="8.54296875" style="1" customWidth="1"/>
    <col min="6653" max="6653" width="20.1796875" style="1" customWidth="1"/>
    <col min="6654" max="6654" width="16.453125" style="1" customWidth="1"/>
    <col min="6655" max="6655" width="22.26953125" style="1" customWidth="1"/>
    <col min="6656" max="6656" width="17.81640625" style="1" customWidth="1"/>
    <col min="6657" max="6657" width="22.81640625" style="1" customWidth="1"/>
    <col min="6658" max="6658" width="25.453125" style="1" customWidth="1"/>
    <col min="6659" max="6660" width="6.7265625" style="1" customWidth="1"/>
    <col min="6661" max="6661" width="26.453125" style="1" customWidth="1"/>
    <col min="6662" max="6662" width="18.54296875" style="1" customWidth="1"/>
    <col min="6663" max="6663" width="29.81640625" style="1" customWidth="1"/>
    <col min="6664" max="6664" width="23.54296875" style="1" customWidth="1"/>
    <col min="6665" max="6665" width="31.453125" style="1" customWidth="1"/>
    <col min="6666" max="6906" width="8.7265625" style="1"/>
    <col min="6907" max="6907" width="7.81640625" style="1" customWidth="1"/>
    <col min="6908" max="6908" width="8.54296875" style="1" customWidth="1"/>
    <col min="6909" max="6909" width="20.1796875" style="1" customWidth="1"/>
    <col min="6910" max="6910" width="16.453125" style="1" customWidth="1"/>
    <col min="6911" max="6911" width="22.26953125" style="1" customWidth="1"/>
    <col min="6912" max="6912" width="17.81640625" style="1" customWidth="1"/>
    <col min="6913" max="6913" width="22.81640625" style="1" customWidth="1"/>
    <col min="6914" max="6914" width="25.453125" style="1" customWidth="1"/>
    <col min="6915" max="6916" width="6.7265625" style="1" customWidth="1"/>
    <col min="6917" max="6917" width="26.453125" style="1" customWidth="1"/>
    <col min="6918" max="6918" width="18.54296875" style="1" customWidth="1"/>
    <col min="6919" max="6919" width="29.81640625" style="1" customWidth="1"/>
    <col min="6920" max="6920" width="23.54296875" style="1" customWidth="1"/>
    <col min="6921" max="6921" width="31.453125" style="1" customWidth="1"/>
    <col min="6922" max="7162" width="8.7265625" style="1"/>
    <col min="7163" max="7163" width="7.81640625" style="1" customWidth="1"/>
    <col min="7164" max="7164" width="8.54296875" style="1" customWidth="1"/>
    <col min="7165" max="7165" width="20.1796875" style="1" customWidth="1"/>
    <col min="7166" max="7166" width="16.453125" style="1" customWidth="1"/>
    <col min="7167" max="7167" width="22.26953125" style="1" customWidth="1"/>
    <col min="7168" max="7168" width="17.81640625" style="1" customWidth="1"/>
    <col min="7169" max="7169" width="22.81640625" style="1" customWidth="1"/>
    <col min="7170" max="7170" width="25.453125" style="1" customWidth="1"/>
    <col min="7171" max="7172" width="6.7265625" style="1" customWidth="1"/>
    <col min="7173" max="7173" width="26.453125" style="1" customWidth="1"/>
    <col min="7174" max="7174" width="18.54296875" style="1" customWidth="1"/>
    <col min="7175" max="7175" width="29.81640625" style="1" customWidth="1"/>
    <col min="7176" max="7176" width="23.54296875" style="1" customWidth="1"/>
    <col min="7177" max="7177" width="31.453125" style="1" customWidth="1"/>
    <col min="7178" max="7418" width="8.7265625" style="1"/>
    <col min="7419" max="7419" width="7.81640625" style="1" customWidth="1"/>
    <col min="7420" max="7420" width="8.54296875" style="1" customWidth="1"/>
    <col min="7421" max="7421" width="20.1796875" style="1" customWidth="1"/>
    <col min="7422" max="7422" width="16.453125" style="1" customWidth="1"/>
    <col min="7423" max="7423" width="22.26953125" style="1" customWidth="1"/>
    <col min="7424" max="7424" width="17.81640625" style="1" customWidth="1"/>
    <col min="7425" max="7425" width="22.81640625" style="1" customWidth="1"/>
    <col min="7426" max="7426" width="25.453125" style="1" customWidth="1"/>
    <col min="7427" max="7428" width="6.7265625" style="1" customWidth="1"/>
    <col min="7429" max="7429" width="26.453125" style="1" customWidth="1"/>
    <col min="7430" max="7430" width="18.54296875" style="1" customWidth="1"/>
    <col min="7431" max="7431" width="29.81640625" style="1" customWidth="1"/>
    <col min="7432" max="7432" width="23.54296875" style="1" customWidth="1"/>
    <col min="7433" max="7433" width="31.453125" style="1" customWidth="1"/>
    <col min="7434" max="7674" width="8.7265625" style="1"/>
    <col min="7675" max="7675" width="7.81640625" style="1" customWidth="1"/>
    <col min="7676" max="7676" width="8.54296875" style="1" customWidth="1"/>
    <col min="7677" max="7677" width="20.1796875" style="1" customWidth="1"/>
    <col min="7678" max="7678" width="16.453125" style="1" customWidth="1"/>
    <col min="7679" max="7679" width="22.26953125" style="1" customWidth="1"/>
    <col min="7680" max="7680" width="17.81640625" style="1" customWidth="1"/>
    <col min="7681" max="7681" width="22.81640625" style="1" customWidth="1"/>
    <col min="7682" max="7682" width="25.453125" style="1" customWidth="1"/>
    <col min="7683" max="7684" width="6.7265625" style="1" customWidth="1"/>
    <col min="7685" max="7685" width="26.453125" style="1" customWidth="1"/>
    <col min="7686" max="7686" width="18.54296875" style="1" customWidth="1"/>
    <col min="7687" max="7687" width="29.81640625" style="1" customWidth="1"/>
    <col min="7688" max="7688" width="23.54296875" style="1" customWidth="1"/>
    <col min="7689" max="7689" width="31.453125" style="1" customWidth="1"/>
    <col min="7690" max="7930" width="8.7265625" style="1"/>
    <col min="7931" max="7931" width="7.81640625" style="1" customWidth="1"/>
    <col min="7932" max="7932" width="8.54296875" style="1" customWidth="1"/>
    <col min="7933" max="7933" width="20.1796875" style="1" customWidth="1"/>
    <col min="7934" max="7934" width="16.453125" style="1" customWidth="1"/>
    <col min="7935" max="7935" width="22.26953125" style="1" customWidth="1"/>
    <col min="7936" max="7936" width="17.81640625" style="1" customWidth="1"/>
    <col min="7937" max="7937" width="22.81640625" style="1" customWidth="1"/>
    <col min="7938" max="7938" width="25.453125" style="1" customWidth="1"/>
    <col min="7939" max="7940" width="6.7265625" style="1" customWidth="1"/>
    <col min="7941" max="7941" width="26.453125" style="1" customWidth="1"/>
    <col min="7942" max="7942" width="18.54296875" style="1" customWidth="1"/>
    <col min="7943" max="7943" width="29.81640625" style="1" customWidth="1"/>
    <col min="7944" max="7944" width="23.54296875" style="1" customWidth="1"/>
    <col min="7945" max="7945" width="31.453125" style="1" customWidth="1"/>
    <col min="7946" max="8186" width="8.7265625" style="1"/>
    <col min="8187" max="8187" width="7.81640625" style="1" customWidth="1"/>
    <col min="8188" max="8188" width="8.54296875" style="1" customWidth="1"/>
    <col min="8189" max="8189" width="20.1796875" style="1" customWidth="1"/>
    <col min="8190" max="8190" width="16.453125" style="1" customWidth="1"/>
    <col min="8191" max="8191" width="22.26953125" style="1" customWidth="1"/>
    <col min="8192" max="8192" width="17.81640625" style="1" customWidth="1"/>
    <col min="8193" max="8193" width="22.81640625" style="1" customWidth="1"/>
    <col min="8194" max="8194" width="25.453125" style="1" customWidth="1"/>
    <col min="8195" max="8196" width="6.7265625" style="1" customWidth="1"/>
    <col min="8197" max="8197" width="26.453125" style="1" customWidth="1"/>
    <col min="8198" max="8198" width="18.54296875" style="1" customWidth="1"/>
    <col min="8199" max="8199" width="29.81640625" style="1" customWidth="1"/>
    <col min="8200" max="8200" width="23.54296875" style="1" customWidth="1"/>
    <col min="8201" max="8201" width="31.453125" style="1" customWidth="1"/>
    <col min="8202" max="8442" width="8.7265625" style="1"/>
    <col min="8443" max="8443" width="7.81640625" style="1" customWidth="1"/>
    <col min="8444" max="8444" width="8.54296875" style="1" customWidth="1"/>
    <col min="8445" max="8445" width="20.1796875" style="1" customWidth="1"/>
    <col min="8446" max="8446" width="16.453125" style="1" customWidth="1"/>
    <col min="8447" max="8447" width="22.26953125" style="1" customWidth="1"/>
    <col min="8448" max="8448" width="17.81640625" style="1" customWidth="1"/>
    <col min="8449" max="8449" width="22.81640625" style="1" customWidth="1"/>
    <col min="8450" max="8450" width="25.453125" style="1" customWidth="1"/>
    <col min="8451" max="8452" width="6.7265625" style="1" customWidth="1"/>
    <col min="8453" max="8453" width="26.453125" style="1" customWidth="1"/>
    <col min="8454" max="8454" width="18.54296875" style="1" customWidth="1"/>
    <col min="8455" max="8455" width="29.81640625" style="1" customWidth="1"/>
    <col min="8456" max="8456" width="23.54296875" style="1" customWidth="1"/>
    <col min="8457" max="8457" width="31.453125" style="1" customWidth="1"/>
    <col min="8458" max="8698" width="8.7265625" style="1"/>
    <col min="8699" max="8699" width="7.81640625" style="1" customWidth="1"/>
    <col min="8700" max="8700" width="8.54296875" style="1" customWidth="1"/>
    <col min="8701" max="8701" width="20.1796875" style="1" customWidth="1"/>
    <col min="8702" max="8702" width="16.453125" style="1" customWidth="1"/>
    <col min="8703" max="8703" width="22.26953125" style="1" customWidth="1"/>
    <col min="8704" max="8704" width="17.81640625" style="1" customWidth="1"/>
    <col min="8705" max="8705" width="22.81640625" style="1" customWidth="1"/>
    <col min="8706" max="8706" width="25.453125" style="1" customWidth="1"/>
    <col min="8707" max="8708" width="6.7265625" style="1" customWidth="1"/>
    <col min="8709" max="8709" width="26.453125" style="1" customWidth="1"/>
    <col min="8710" max="8710" width="18.54296875" style="1" customWidth="1"/>
    <col min="8711" max="8711" width="29.81640625" style="1" customWidth="1"/>
    <col min="8712" max="8712" width="23.54296875" style="1" customWidth="1"/>
    <col min="8713" max="8713" width="31.453125" style="1" customWidth="1"/>
    <col min="8714" max="8954" width="8.7265625" style="1"/>
    <col min="8955" max="8955" width="7.81640625" style="1" customWidth="1"/>
    <col min="8956" max="8956" width="8.54296875" style="1" customWidth="1"/>
    <col min="8957" max="8957" width="20.1796875" style="1" customWidth="1"/>
    <col min="8958" max="8958" width="16.453125" style="1" customWidth="1"/>
    <col min="8959" max="8959" width="22.26953125" style="1" customWidth="1"/>
    <col min="8960" max="8960" width="17.81640625" style="1" customWidth="1"/>
    <col min="8961" max="8961" width="22.81640625" style="1" customWidth="1"/>
    <col min="8962" max="8962" width="25.453125" style="1" customWidth="1"/>
    <col min="8963" max="8964" width="6.7265625" style="1" customWidth="1"/>
    <col min="8965" max="8965" width="26.453125" style="1" customWidth="1"/>
    <col min="8966" max="8966" width="18.54296875" style="1" customWidth="1"/>
    <col min="8967" max="8967" width="29.81640625" style="1" customWidth="1"/>
    <col min="8968" max="8968" width="23.54296875" style="1" customWidth="1"/>
    <col min="8969" max="8969" width="31.453125" style="1" customWidth="1"/>
    <col min="8970" max="9210" width="8.7265625" style="1"/>
    <col min="9211" max="9211" width="7.81640625" style="1" customWidth="1"/>
    <col min="9212" max="9212" width="8.54296875" style="1" customWidth="1"/>
    <col min="9213" max="9213" width="20.1796875" style="1" customWidth="1"/>
    <col min="9214" max="9214" width="16.453125" style="1" customWidth="1"/>
    <col min="9215" max="9215" width="22.26953125" style="1" customWidth="1"/>
    <col min="9216" max="9216" width="17.81640625" style="1" customWidth="1"/>
    <col min="9217" max="9217" width="22.81640625" style="1" customWidth="1"/>
    <col min="9218" max="9218" width="25.453125" style="1" customWidth="1"/>
    <col min="9219" max="9220" width="6.7265625" style="1" customWidth="1"/>
    <col min="9221" max="9221" width="26.453125" style="1" customWidth="1"/>
    <col min="9222" max="9222" width="18.54296875" style="1" customWidth="1"/>
    <col min="9223" max="9223" width="29.81640625" style="1" customWidth="1"/>
    <col min="9224" max="9224" width="23.54296875" style="1" customWidth="1"/>
    <col min="9225" max="9225" width="31.453125" style="1" customWidth="1"/>
    <col min="9226" max="9466" width="8.7265625" style="1"/>
    <col min="9467" max="9467" width="7.81640625" style="1" customWidth="1"/>
    <col min="9468" max="9468" width="8.54296875" style="1" customWidth="1"/>
    <col min="9469" max="9469" width="20.1796875" style="1" customWidth="1"/>
    <col min="9470" max="9470" width="16.453125" style="1" customWidth="1"/>
    <col min="9471" max="9471" width="22.26953125" style="1" customWidth="1"/>
    <col min="9472" max="9472" width="17.81640625" style="1" customWidth="1"/>
    <col min="9473" max="9473" width="22.81640625" style="1" customWidth="1"/>
    <col min="9474" max="9474" width="25.453125" style="1" customWidth="1"/>
    <col min="9475" max="9476" width="6.7265625" style="1" customWidth="1"/>
    <col min="9477" max="9477" width="26.453125" style="1" customWidth="1"/>
    <col min="9478" max="9478" width="18.54296875" style="1" customWidth="1"/>
    <col min="9479" max="9479" width="29.81640625" style="1" customWidth="1"/>
    <col min="9480" max="9480" width="23.54296875" style="1" customWidth="1"/>
    <col min="9481" max="9481" width="31.453125" style="1" customWidth="1"/>
    <col min="9482" max="9722" width="8.7265625" style="1"/>
    <col min="9723" max="9723" width="7.81640625" style="1" customWidth="1"/>
    <col min="9724" max="9724" width="8.54296875" style="1" customWidth="1"/>
    <col min="9725" max="9725" width="20.1796875" style="1" customWidth="1"/>
    <col min="9726" max="9726" width="16.453125" style="1" customWidth="1"/>
    <col min="9727" max="9727" width="22.26953125" style="1" customWidth="1"/>
    <col min="9728" max="9728" width="17.81640625" style="1" customWidth="1"/>
    <col min="9729" max="9729" width="22.81640625" style="1" customWidth="1"/>
    <col min="9730" max="9730" width="25.453125" style="1" customWidth="1"/>
    <col min="9731" max="9732" width="6.7265625" style="1" customWidth="1"/>
    <col min="9733" max="9733" width="26.453125" style="1" customWidth="1"/>
    <col min="9734" max="9734" width="18.54296875" style="1" customWidth="1"/>
    <col min="9735" max="9735" width="29.81640625" style="1" customWidth="1"/>
    <col min="9736" max="9736" width="23.54296875" style="1" customWidth="1"/>
    <col min="9737" max="9737" width="31.453125" style="1" customWidth="1"/>
    <col min="9738" max="9978" width="8.7265625" style="1"/>
    <col min="9979" max="9979" width="7.81640625" style="1" customWidth="1"/>
    <col min="9980" max="9980" width="8.54296875" style="1" customWidth="1"/>
    <col min="9981" max="9981" width="20.1796875" style="1" customWidth="1"/>
    <col min="9982" max="9982" width="16.453125" style="1" customWidth="1"/>
    <col min="9983" max="9983" width="22.26953125" style="1" customWidth="1"/>
    <col min="9984" max="9984" width="17.81640625" style="1" customWidth="1"/>
    <col min="9985" max="9985" width="22.81640625" style="1" customWidth="1"/>
    <col min="9986" max="9986" width="25.453125" style="1" customWidth="1"/>
    <col min="9987" max="9988" width="6.7265625" style="1" customWidth="1"/>
    <col min="9989" max="9989" width="26.453125" style="1" customWidth="1"/>
    <col min="9990" max="9990" width="18.54296875" style="1" customWidth="1"/>
    <col min="9991" max="9991" width="29.81640625" style="1" customWidth="1"/>
    <col min="9992" max="9992" width="23.54296875" style="1" customWidth="1"/>
    <col min="9993" max="9993" width="31.453125" style="1" customWidth="1"/>
    <col min="9994" max="10234" width="8.7265625" style="1"/>
    <col min="10235" max="10235" width="7.81640625" style="1" customWidth="1"/>
    <col min="10236" max="10236" width="8.54296875" style="1" customWidth="1"/>
    <col min="10237" max="10237" width="20.1796875" style="1" customWidth="1"/>
    <col min="10238" max="10238" width="16.453125" style="1" customWidth="1"/>
    <col min="10239" max="10239" width="22.26953125" style="1" customWidth="1"/>
    <col min="10240" max="10240" width="17.81640625" style="1" customWidth="1"/>
    <col min="10241" max="10241" width="22.81640625" style="1" customWidth="1"/>
    <col min="10242" max="10242" width="25.453125" style="1" customWidth="1"/>
    <col min="10243" max="10244" width="6.7265625" style="1" customWidth="1"/>
    <col min="10245" max="10245" width="26.453125" style="1" customWidth="1"/>
    <col min="10246" max="10246" width="18.54296875" style="1" customWidth="1"/>
    <col min="10247" max="10247" width="29.81640625" style="1" customWidth="1"/>
    <col min="10248" max="10248" width="23.54296875" style="1" customWidth="1"/>
    <col min="10249" max="10249" width="31.453125" style="1" customWidth="1"/>
    <col min="10250" max="10490" width="8.7265625" style="1"/>
    <col min="10491" max="10491" width="7.81640625" style="1" customWidth="1"/>
    <col min="10492" max="10492" width="8.54296875" style="1" customWidth="1"/>
    <col min="10493" max="10493" width="20.1796875" style="1" customWidth="1"/>
    <col min="10494" max="10494" width="16.453125" style="1" customWidth="1"/>
    <col min="10495" max="10495" width="22.26953125" style="1" customWidth="1"/>
    <col min="10496" max="10496" width="17.81640625" style="1" customWidth="1"/>
    <col min="10497" max="10497" width="22.81640625" style="1" customWidth="1"/>
    <col min="10498" max="10498" width="25.453125" style="1" customWidth="1"/>
    <col min="10499" max="10500" width="6.7265625" style="1" customWidth="1"/>
    <col min="10501" max="10501" width="26.453125" style="1" customWidth="1"/>
    <col min="10502" max="10502" width="18.54296875" style="1" customWidth="1"/>
    <col min="10503" max="10503" width="29.81640625" style="1" customWidth="1"/>
    <col min="10504" max="10504" width="23.54296875" style="1" customWidth="1"/>
    <col min="10505" max="10505" width="31.453125" style="1" customWidth="1"/>
    <col min="10506" max="10746" width="8.7265625" style="1"/>
    <col min="10747" max="10747" width="7.81640625" style="1" customWidth="1"/>
    <col min="10748" max="10748" width="8.54296875" style="1" customWidth="1"/>
    <col min="10749" max="10749" width="20.1796875" style="1" customWidth="1"/>
    <col min="10750" max="10750" width="16.453125" style="1" customWidth="1"/>
    <col min="10751" max="10751" width="22.26953125" style="1" customWidth="1"/>
    <col min="10752" max="10752" width="17.81640625" style="1" customWidth="1"/>
    <col min="10753" max="10753" width="22.81640625" style="1" customWidth="1"/>
    <col min="10754" max="10754" width="25.453125" style="1" customWidth="1"/>
    <col min="10755" max="10756" width="6.7265625" style="1" customWidth="1"/>
    <col min="10757" max="10757" width="26.453125" style="1" customWidth="1"/>
    <col min="10758" max="10758" width="18.54296875" style="1" customWidth="1"/>
    <col min="10759" max="10759" width="29.81640625" style="1" customWidth="1"/>
    <col min="10760" max="10760" width="23.54296875" style="1" customWidth="1"/>
    <col min="10761" max="10761" width="31.453125" style="1" customWidth="1"/>
    <col min="10762" max="11002" width="8.7265625" style="1"/>
    <col min="11003" max="11003" width="7.81640625" style="1" customWidth="1"/>
    <col min="11004" max="11004" width="8.54296875" style="1" customWidth="1"/>
    <col min="11005" max="11005" width="20.1796875" style="1" customWidth="1"/>
    <col min="11006" max="11006" width="16.453125" style="1" customWidth="1"/>
    <col min="11007" max="11007" width="22.26953125" style="1" customWidth="1"/>
    <col min="11008" max="11008" width="17.81640625" style="1" customWidth="1"/>
    <col min="11009" max="11009" width="22.81640625" style="1" customWidth="1"/>
    <col min="11010" max="11010" width="25.453125" style="1" customWidth="1"/>
    <col min="11011" max="11012" width="6.7265625" style="1" customWidth="1"/>
    <col min="11013" max="11013" width="26.453125" style="1" customWidth="1"/>
    <col min="11014" max="11014" width="18.54296875" style="1" customWidth="1"/>
    <col min="11015" max="11015" width="29.81640625" style="1" customWidth="1"/>
    <col min="11016" max="11016" width="23.54296875" style="1" customWidth="1"/>
    <col min="11017" max="11017" width="31.453125" style="1" customWidth="1"/>
    <col min="11018" max="11258" width="8.7265625" style="1"/>
    <col min="11259" max="11259" width="7.81640625" style="1" customWidth="1"/>
    <col min="11260" max="11260" width="8.54296875" style="1" customWidth="1"/>
    <col min="11261" max="11261" width="20.1796875" style="1" customWidth="1"/>
    <col min="11262" max="11262" width="16.453125" style="1" customWidth="1"/>
    <col min="11263" max="11263" width="22.26953125" style="1" customWidth="1"/>
    <col min="11264" max="11264" width="17.81640625" style="1" customWidth="1"/>
    <col min="11265" max="11265" width="22.81640625" style="1" customWidth="1"/>
    <col min="11266" max="11266" width="25.453125" style="1" customWidth="1"/>
    <col min="11267" max="11268" width="6.7265625" style="1" customWidth="1"/>
    <col min="11269" max="11269" width="26.453125" style="1" customWidth="1"/>
    <col min="11270" max="11270" width="18.54296875" style="1" customWidth="1"/>
    <col min="11271" max="11271" width="29.81640625" style="1" customWidth="1"/>
    <col min="11272" max="11272" width="23.54296875" style="1" customWidth="1"/>
    <col min="11273" max="11273" width="31.453125" style="1" customWidth="1"/>
    <col min="11274" max="11514" width="8.7265625" style="1"/>
    <col min="11515" max="11515" width="7.81640625" style="1" customWidth="1"/>
    <col min="11516" max="11516" width="8.54296875" style="1" customWidth="1"/>
    <col min="11517" max="11517" width="20.1796875" style="1" customWidth="1"/>
    <col min="11518" max="11518" width="16.453125" style="1" customWidth="1"/>
    <col min="11519" max="11519" width="22.26953125" style="1" customWidth="1"/>
    <col min="11520" max="11520" width="17.81640625" style="1" customWidth="1"/>
    <col min="11521" max="11521" width="22.81640625" style="1" customWidth="1"/>
    <col min="11522" max="11522" width="25.453125" style="1" customWidth="1"/>
    <col min="11523" max="11524" width="6.7265625" style="1" customWidth="1"/>
    <col min="11525" max="11525" width="26.453125" style="1" customWidth="1"/>
    <col min="11526" max="11526" width="18.54296875" style="1" customWidth="1"/>
    <col min="11527" max="11527" width="29.81640625" style="1" customWidth="1"/>
    <col min="11528" max="11528" width="23.54296875" style="1" customWidth="1"/>
    <col min="11529" max="11529" width="31.453125" style="1" customWidth="1"/>
    <col min="11530" max="11770" width="8.7265625" style="1"/>
    <col min="11771" max="11771" width="7.81640625" style="1" customWidth="1"/>
    <col min="11772" max="11772" width="8.54296875" style="1" customWidth="1"/>
    <col min="11773" max="11773" width="20.1796875" style="1" customWidth="1"/>
    <col min="11774" max="11774" width="16.453125" style="1" customWidth="1"/>
    <col min="11775" max="11775" width="22.26953125" style="1" customWidth="1"/>
    <col min="11776" max="11776" width="17.81640625" style="1" customWidth="1"/>
    <col min="11777" max="11777" width="22.81640625" style="1" customWidth="1"/>
    <col min="11778" max="11778" width="25.453125" style="1" customWidth="1"/>
    <col min="11779" max="11780" width="6.7265625" style="1" customWidth="1"/>
    <col min="11781" max="11781" width="26.453125" style="1" customWidth="1"/>
    <col min="11782" max="11782" width="18.54296875" style="1" customWidth="1"/>
    <col min="11783" max="11783" width="29.81640625" style="1" customWidth="1"/>
    <col min="11784" max="11784" width="23.54296875" style="1" customWidth="1"/>
    <col min="11785" max="11785" width="31.453125" style="1" customWidth="1"/>
    <col min="11786" max="12026" width="8.7265625" style="1"/>
    <col min="12027" max="12027" width="7.81640625" style="1" customWidth="1"/>
    <col min="12028" max="12028" width="8.54296875" style="1" customWidth="1"/>
    <col min="12029" max="12029" width="20.1796875" style="1" customWidth="1"/>
    <col min="12030" max="12030" width="16.453125" style="1" customWidth="1"/>
    <col min="12031" max="12031" width="22.26953125" style="1" customWidth="1"/>
    <col min="12032" max="12032" width="17.81640625" style="1" customWidth="1"/>
    <col min="12033" max="12033" width="22.81640625" style="1" customWidth="1"/>
    <col min="12034" max="12034" width="25.453125" style="1" customWidth="1"/>
    <col min="12035" max="12036" width="6.7265625" style="1" customWidth="1"/>
    <col min="12037" max="12037" width="26.453125" style="1" customWidth="1"/>
    <col min="12038" max="12038" width="18.54296875" style="1" customWidth="1"/>
    <col min="12039" max="12039" width="29.81640625" style="1" customWidth="1"/>
    <col min="12040" max="12040" width="23.54296875" style="1" customWidth="1"/>
    <col min="12041" max="12041" width="31.453125" style="1" customWidth="1"/>
    <col min="12042" max="12282" width="8.7265625" style="1"/>
    <col min="12283" max="12283" width="7.81640625" style="1" customWidth="1"/>
    <col min="12284" max="12284" width="8.54296875" style="1" customWidth="1"/>
    <col min="12285" max="12285" width="20.1796875" style="1" customWidth="1"/>
    <col min="12286" max="12286" width="16.453125" style="1" customWidth="1"/>
    <col min="12287" max="12287" width="22.26953125" style="1" customWidth="1"/>
    <col min="12288" max="12288" width="17.81640625" style="1" customWidth="1"/>
    <col min="12289" max="12289" width="22.81640625" style="1" customWidth="1"/>
    <col min="12290" max="12290" width="25.453125" style="1" customWidth="1"/>
    <col min="12291" max="12292" width="6.7265625" style="1" customWidth="1"/>
    <col min="12293" max="12293" width="26.453125" style="1" customWidth="1"/>
    <col min="12294" max="12294" width="18.54296875" style="1" customWidth="1"/>
    <col min="12295" max="12295" width="29.81640625" style="1" customWidth="1"/>
    <col min="12296" max="12296" width="23.54296875" style="1" customWidth="1"/>
    <col min="12297" max="12297" width="31.453125" style="1" customWidth="1"/>
    <col min="12298" max="12538" width="8.7265625" style="1"/>
    <col min="12539" max="12539" width="7.81640625" style="1" customWidth="1"/>
    <col min="12540" max="12540" width="8.54296875" style="1" customWidth="1"/>
    <col min="12541" max="12541" width="20.1796875" style="1" customWidth="1"/>
    <col min="12542" max="12542" width="16.453125" style="1" customWidth="1"/>
    <col min="12543" max="12543" width="22.26953125" style="1" customWidth="1"/>
    <col min="12544" max="12544" width="17.81640625" style="1" customWidth="1"/>
    <col min="12545" max="12545" width="22.81640625" style="1" customWidth="1"/>
    <col min="12546" max="12546" width="25.453125" style="1" customWidth="1"/>
    <col min="12547" max="12548" width="6.7265625" style="1" customWidth="1"/>
    <col min="12549" max="12549" width="26.453125" style="1" customWidth="1"/>
    <col min="12550" max="12550" width="18.54296875" style="1" customWidth="1"/>
    <col min="12551" max="12551" width="29.81640625" style="1" customWidth="1"/>
    <col min="12552" max="12552" width="23.54296875" style="1" customWidth="1"/>
    <col min="12553" max="12553" width="31.453125" style="1" customWidth="1"/>
    <col min="12554" max="12794" width="8.7265625" style="1"/>
    <col min="12795" max="12795" width="7.81640625" style="1" customWidth="1"/>
    <col min="12796" max="12796" width="8.54296875" style="1" customWidth="1"/>
    <col min="12797" max="12797" width="20.1796875" style="1" customWidth="1"/>
    <col min="12798" max="12798" width="16.453125" style="1" customWidth="1"/>
    <col min="12799" max="12799" width="22.26953125" style="1" customWidth="1"/>
    <col min="12800" max="12800" width="17.81640625" style="1" customWidth="1"/>
    <col min="12801" max="12801" width="22.81640625" style="1" customWidth="1"/>
    <col min="12802" max="12802" width="25.453125" style="1" customWidth="1"/>
    <col min="12803" max="12804" width="6.7265625" style="1" customWidth="1"/>
    <col min="12805" max="12805" width="26.453125" style="1" customWidth="1"/>
    <col min="12806" max="12806" width="18.54296875" style="1" customWidth="1"/>
    <col min="12807" max="12807" width="29.81640625" style="1" customWidth="1"/>
    <col min="12808" max="12808" width="23.54296875" style="1" customWidth="1"/>
    <col min="12809" max="12809" width="31.453125" style="1" customWidth="1"/>
    <col min="12810" max="13050" width="8.7265625" style="1"/>
    <col min="13051" max="13051" width="7.81640625" style="1" customWidth="1"/>
    <col min="13052" max="13052" width="8.54296875" style="1" customWidth="1"/>
    <col min="13053" max="13053" width="20.1796875" style="1" customWidth="1"/>
    <col min="13054" max="13054" width="16.453125" style="1" customWidth="1"/>
    <col min="13055" max="13055" width="22.26953125" style="1" customWidth="1"/>
    <col min="13056" max="13056" width="17.81640625" style="1" customWidth="1"/>
    <col min="13057" max="13057" width="22.81640625" style="1" customWidth="1"/>
    <col min="13058" max="13058" width="25.453125" style="1" customWidth="1"/>
    <col min="13059" max="13060" width="6.7265625" style="1" customWidth="1"/>
    <col min="13061" max="13061" width="26.453125" style="1" customWidth="1"/>
    <col min="13062" max="13062" width="18.54296875" style="1" customWidth="1"/>
    <col min="13063" max="13063" width="29.81640625" style="1" customWidth="1"/>
    <col min="13064" max="13064" width="23.54296875" style="1" customWidth="1"/>
    <col min="13065" max="13065" width="31.453125" style="1" customWidth="1"/>
    <col min="13066" max="13306" width="8.7265625" style="1"/>
    <col min="13307" max="13307" width="7.81640625" style="1" customWidth="1"/>
    <col min="13308" max="13308" width="8.54296875" style="1" customWidth="1"/>
    <col min="13309" max="13309" width="20.1796875" style="1" customWidth="1"/>
    <col min="13310" max="13310" width="16.453125" style="1" customWidth="1"/>
    <col min="13311" max="13311" width="22.26953125" style="1" customWidth="1"/>
    <col min="13312" max="13312" width="17.81640625" style="1" customWidth="1"/>
    <col min="13313" max="13313" width="22.81640625" style="1" customWidth="1"/>
    <col min="13314" max="13314" width="25.453125" style="1" customWidth="1"/>
    <col min="13315" max="13316" width="6.7265625" style="1" customWidth="1"/>
    <col min="13317" max="13317" width="26.453125" style="1" customWidth="1"/>
    <col min="13318" max="13318" width="18.54296875" style="1" customWidth="1"/>
    <col min="13319" max="13319" width="29.81640625" style="1" customWidth="1"/>
    <col min="13320" max="13320" width="23.54296875" style="1" customWidth="1"/>
    <col min="13321" max="13321" width="31.453125" style="1" customWidth="1"/>
    <col min="13322" max="13562" width="8.7265625" style="1"/>
    <col min="13563" max="13563" width="7.81640625" style="1" customWidth="1"/>
    <col min="13564" max="13564" width="8.54296875" style="1" customWidth="1"/>
    <col min="13565" max="13565" width="20.1796875" style="1" customWidth="1"/>
    <col min="13566" max="13566" width="16.453125" style="1" customWidth="1"/>
    <col min="13567" max="13567" width="22.26953125" style="1" customWidth="1"/>
    <col min="13568" max="13568" width="17.81640625" style="1" customWidth="1"/>
    <col min="13569" max="13569" width="22.81640625" style="1" customWidth="1"/>
    <col min="13570" max="13570" width="25.453125" style="1" customWidth="1"/>
    <col min="13571" max="13572" width="6.7265625" style="1" customWidth="1"/>
    <col min="13573" max="13573" width="26.453125" style="1" customWidth="1"/>
    <col min="13574" max="13574" width="18.54296875" style="1" customWidth="1"/>
    <col min="13575" max="13575" width="29.81640625" style="1" customWidth="1"/>
    <col min="13576" max="13576" width="23.54296875" style="1" customWidth="1"/>
    <col min="13577" max="13577" width="31.453125" style="1" customWidth="1"/>
    <col min="13578" max="13818" width="8.7265625" style="1"/>
    <col min="13819" max="13819" width="7.81640625" style="1" customWidth="1"/>
    <col min="13820" max="13820" width="8.54296875" style="1" customWidth="1"/>
    <col min="13821" max="13821" width="20.1796875" style="1" customWidth="1"/>
    <col min="13822" max="13822" width="16.453125" style="1" customWidth="1"/>
    <col min="13823" max="13823" width="22.26953125" style="1" customWidth="1"/>
    <col min="13824" max="13824" width="17.81640625" style="1" customWidth="1"/>
    <col min="13825" max="13825" width="22.81640625" style="1" customWidth="1"/>
    <col min="13826" max="13826" width="25.453125" style="1" customWidth="1"/>
    <col min="13827" max="13828" width="6.7265625" style="1" customWidth="1"/>
    <col min="13829" max="13829" width="26.453125" style="1" customWidth="1"/>
    <col min="13830" max="13830" width="18.54296875" style="1" customWidth="1"/>
    <col min="13831" max="13831" width="29.81640625" style="1" customWidth="1"/>
    <col min="13832" max="13832" width="23.54296875" style="1" customWidth="1"/>
    <col min="13833" max="13833" width="31.453125" style="1" customWidth="1"/>
    <col min="13834" max="14074" width="8.7265625" style="1"/>
    <col min="14075" max="14075" width="7.81640625" style="1" customWidth="1"/>
    <col min="14076" max="14076" width="8.54296875" style="1" customWidth="1"/>
    <col min="14077" max="14077" width="20.1796875" style="1" customWidth="1"/>
    <col min="14078" max="14078" width="16.453125" style="1" customWidth="1"/>
    <col min="14079" max="14079" width="22.26953125" style="1" customWidth="1"/>
    <col min="14080" max="14080" width="17.81640625" style="1" customWidth="1"/>
    <col min="14081" max="14081" width="22.81640625" style="1" customWidth="1"/>
    <col min="14082" max="14082" width="25.453125" style="1" customWidth="1"/>
    <col min="14083" max="14084" width="6.7265625" style="1" customWidth="1"/>
    <col min="14085" max="14085" width="26.453125" style="1" customWidth="1"/>
    <col min="14086" max="14086" width="18.54296875" style="1" customWidth="1"/>
    <col min="14087" max="14087" width="29.81640625" style="1" customWidth="1"/>
    <col min="14088" max="14088" width="23.54296875" style="1" customWidth="1"/>
    <col min="14089" max="14089" width="31.453125" style="1" customWidth="1"/>
    <col min="14090" max="14330" width="8.7265625" style="1"/>
    <col min="14331" max="14331" width="7.81640625" style="1" customWidth="1"/>
    <col min="14332" max="14332" width="8.54296875" style="1" customWidth="1"/>
    <col min="14333" max="14333" width="20.1796875" style="1" customWidth="1"/>
    <col min="14334" max="14334" width="16.453125" style="1" customWidth="1"/>
    <col min="14335" max="14335" width="22.26953125" style="1" customWidth="1"/>
    <col min="14336" max="14336" width="17.81640625" style="1" customWidth="1"/>
    <col min="14337" max="14337" width="22.81640625" style="1" customWidth="1"/>
    <col min="14338" max="14338" width="25.453125" style="1" customWidth="1"/>
    <col min="14339" max="14340" width="6.7265625" style="1" customWidth="1"/>
    <col min="14341" max="14341" width="26.453125" style="1" customWidth="1"/>
    <col min="14342" max="14342" width="18.54296875" style="1" customWidth="1"/>
    <col min="14343" max="14343" width="29.81640625" style="1" customWidth="1"/>
    <col min="14344" max="14344" width="23.54296875" style="1" customWidth="1"/>
    <col min="14345" max="14345" width="31.453125" style="1" customWidth="1"/>
    <col min="14346" max="14586" width="8.7265625" style="1"/>
    <col min="14587" max="14587" width="7.81640625" style="1" customWidth="1"/>
    <col min="14588" max="14588" width="8.54296875" style="1" customWidth="1"/>
    <col min="14589" max="14589" width="20.1796875" style="1" customWidth="1"/>
    <col min="14590" max="14590" width="16.453125" style="1" customWidth="1"/>
    <col min="14591" max="14591" width="22.26953125" style="1" customWidth="1"/>
    <col min="14592" max="14592" width="17.81640625" style="1" customWidth="1"/>
    <col min="14593" max="14593" width="22.81640625" style="1" customWidth="1"/>
    <col min="14594" max="14594" width="25.453125" style="1" customWidth="1"/>
    <col min="14595" max="14596" width="6.7265625" style="1" customWidth="1"/>
    <col min="14597" max="14597" width="26.453125" style="1" customWidth="1"/>
    <col min="14598" max="14598" width="18.54296875" style="1" customWidth="1"/>
    <col min="14599" max="14599" width="29.81640625" style="1" customWidth="1"/>
    <col min="14600" max="14600" width="23.54296875" style="1" customWidth="1"/>
    <col min="14601" max="14601" width="31.453125" style="1" customWidth="1"/>
    <col min="14602" max="14842" width="8.7265625" style="1"/>
    <col min="14843" max="14843" width="7.81640625" style="1" customWidth="1"/>
    <col min="14844" max="14844" width="8.54296875" style="1" customWidth="1"/>
    <col min="14845" max="14845" width="20.1796875" style="1" customWidth="1"/>
    <col min="14846" max="14846" width="16.453125" style="1" customWidth="1"/>
    <col min="14847" max="14847" width="22.26953125" style="1" customWidth="1"/>
    <col min="14848" max="14848" width="17.81640625" style="1" customWidth="1"/>
    <col min="14849" max="14849" width="22.81640625" style="1" customWidth="1"/>
    <col min="14850" max="14850" width="25.453125" style="1" customWidth="1"/>
    <col min="14851" max="14852" width="6.7265625" style="1" customWidth="1"/>
    <col min="14853" max="14853" width="26.453125" style="1" customWidth="1"/>
    <col min="14854" max="14854" width="18.54296875" style="1" customWidth="1"/>
    <col min="14855" max="14855" width="29.81640625" style="1" customWidth="1"/>
    <col min="14856" max="14856" width="23.54296875" style="1" customWidth="1"/>
    <col min="14857" max="14857" width="31.453125" style="1" customWidth="1"/>
    <col min="14858" max="15098" width="8.7265625" style="1"/>
    <col min="15099" max="15099" width="7.81640625" style="1" customWidth="1"/>
    <col min="15100" max="15100" width="8.54296875" style="1" customWidth="1"/>
    <col min="15101" max="15101" width="20.1796875" style="1" customWidth="1"/>
    <col min="15102" max="15102" width="16.453125" style="1" customWidth="1"/>
    <col min="15103" max="15103" width="22.26953125" style="1" customWidth="1"/>
    <col min="15104" max="15104" width="17.81640625" style="1" customWidth="1"/>
    <col min="15105" max="15105" width="22.81640625" style="1" customWidth="1"/>
    <col min="15106" max="15106" width="25.453125" style="1" customWidth="1"/>
    <col min="15107" max="15108" width="6.7265625" style="1" customWidth="1"/>
    <col min="15109" max="15109" width="26.453125" style="1" customWidth="1"/>
    <col min="15110" max="15110" width="18.54296875" style="1" customWidth="1"/>
    <col min="15111" max="15111" width="29.81640625" style="1" customWidth="1"/>
    <col min="15112" max="15112" width="23.54296875" style="1" customWidth="1"/>
    <col min="15113" max="15113" width="31.453125" style="1" customWidth="1"/>
    <col min="15114" max="15354" width="8.7265625" style="1"/>
    <col min="15355" max="15355" width="7.81640625" style="1" customWidth="1"/>
    <col min="15356" max="15356" width="8.54296875" style="1" customWidth="1"/>
    <col min="15357" max="15357" width="20.1796875" style="1" customWidth="1"/>
    <col min="15358" max="15358" width="16.453125" style="1" customWidth="1"/>
    <col min="15359" max="15359" width="22.26953125" style="1" customWidth="1"/>
    <col min="15360" max="15360" width="17.81640625" style="1" customWidth="1"/>
    <col min="15361" max="15361" width="22.81640625" style="1" customWidth="1"/>
    <col min="15362" max="15362" width="25.453125" style="1" customWidth="1"/>
    <col min="15363" max="15364" width="6.7265625" style="1" customWidth="1"/>
    <col min="15365" max="15365" width="26.453125" style="1" customWidth="1"/>
    <col min="15366" max="15366" width="18.54296875" style="1" customWidth="1"/>
    <col min="15367" max="15367" width="29.81640625" style="1" customWidth="1"/>
    <col min="15368" max="15368" width="23.54296875" style="1" customWidth="1"/>
    <col min="15369" max="15369" width="31.453125" style="1" customWidth="1"/>
    <col min="15370" max="15610" width="8.7265625" style="1"/>
    <col min="15611" max="15611" width="7.81640625" style="1" customWidth="1"/>
    <col min="15612" max="15612" width="8.54296875" style="1" customWidth="1"/>
    <col min="15613" max="15613" width="20.1796875" style="1" customWidth="1"/>
    <col min="15614" max="15614" width="16.453125" style="1" customWidth="1"/>
    <col min="15615" max="15615" width="22.26953125" style="1" customWidth="1"/>
    <col min="15616" max="15616" width="17.81640625" style="1" customWidth="1"/>
    <col min="15617" max="15617" width="22.81640625" style="1" customWidth="1"/>
    <col min="15618" max="15618" width="25.453125" style="1" customWidth="1"/>
    <col min="15619" max="15620" width="6.7265625" style="1" customWidth="1"/>
    <col min="15621" max="15621" width="26.453125" style="1" customWidth="1"/>
    <col min="15622" max="15622" width="18.54296875" style="1" customWidth="1"/>
    <col min="15623" max="15623" width="29.81640625" style="1" customWidth="1"/>
    <col min="15624" max="15624" width="23.54296875" style="1" customWidth="1"/>
    <col min="15625" max="15625" width="31.453125" style="1" customWidth="1"/>
    <col min="15626" max="15866" width="8.7265625" style="1"/>
    <col min="15867" max="15867" width="7.81640625" style="1" customWidth="1"/>
    <col min="15868" max="15868" width="8.54296875" style="1" customWidth="1"/>
    <col min="15869" max="15869" width="20.1796875" style="1" customWidth="1"/>
    <col min="15870" max="15870" width="16.453125" style="1" customWidth="1"/>
    <col min="15871" max="15871" width="22.26953125" style="1" customWidth="1"/>
    <col min="15872" max="15872" width="17.81640625" style="1" customWidth="1"/>
    <col min="15873" max="15873" width="22.81640625" style="1" customWidth="1"/>
    <col min="15874" max="15874" width="25.453125" style="1" customWidth="1"/>
    <col min="15875" max="15876" width="6.7265625" style="1" customWidth="1"/>
    <col min="15877" max="15877" width="26.453125" style="1" customWidth="1"/>
    <col min="15878" max="15878" width="18.54296875" style="1" customWidth="1"/>
    <col min="15879" max="15879" width="29.81640625" style="1" customWidth="1"/>
    <col min="15880" max="15880" width="23.54296875" style="1" customWidth="1"/>
    <col min="15881" max="15881" width="31.453125" style="1" customWidth="1"/>
    <col min="15882" max="16122" width="8.7265625" style="1"/>
    <col min="16123" max="16123" width="7.81640625" style="1" customWidth="1"/>
    <col min="16124" max="16124" width="8.54296875" style="1" customWidth="1"/>
    <col min="16125" max="16125" width="20.1796875" style="1" customWidth="1"/>
    <col min="16126" max="16126" width="16.453125" style="1" customWidth="1"/>
    <col min="16127" max="16127" width="22.26953125" style="1" customWidth="1"/>
    <col min="16128" max="16128" width="17.81640625" style="1" customWidth="1"/>
    <col min="16129" max="16129" width="22.81640625" style="1" customWidth="1"/>
    <col min="16130" max="16130" width="25.453125" style="1" customWidth="1"/>
    <col min="16131" max="16132" width="6.7265625" style="1" customWidth="1"/>
    <col min="16133" max="16133" width="26.453125" style="1" customWidth="1"/>
    <col min="16134" max="16134" width="18.54296875" style="1" customWidth="1"/>
    <col min="16135" max="16135" width="29.81640625" style="1" customWidth="1"/>
    <col min="16136" max="16136" width="23.54296875" style="1" customWidth="1"/>
    <col min="16137" max="16137" width="31.453125" style="1" customWidth="1"/>
    <col min="16138" max="16384" width="8.7265625" style="1"/>
  </cols>
  <sheetData>
    <row r="1" spans="1:14" ht="17.25" customHeight="1">
      <c r="A1" s="76" t="s">
        <v>105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4" ht="17.25" customHeight="1">
      <c r="A2" s="64" t="str">
        <f>Transpor_bank!A2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4" ht="14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" customHeight="1">
      <c r="C4" s="4" t="s">
        <v>0</v>
      </c>
      <c r="D4" s="5" t="str">
        <f>Transpor_bank!D4</f>
        <v>: ____________________________</v>
      </c>
      <c r="F4" s="6"/>
      <c r="G4" s="7"/>
      <c r="H4" s="7"/>
      <c r="I4" s="4" t="s">
        <v>26</v>
      </c>
      <c r="J4" s="4" t="s">
        <v>43</v>
      </c>
    </row>
    <row r="5" spans="1:14" ht="15" customHeight="1">
      <c r="C5" s="4" t="s">
        <v>2</v>
      </c>
      <c r="D5" s="5" t="str">
        <f>Transpor_bank!D5</f>
        <v>: SD NEGERI LEBAKLEUNGSIR</v>
      </c>
      <c r="F5" s="6"/>
      <c r="H5" s="8"/>
      <c r="I5" s="4" t="s">
        <v>27</v>
      </c>
      <c r="J5" s="4" t="s">
        <v>115</v>
      </c>
    </row>
    <row r="6" spans="1:14" ht="15" customHeight="1">
      <c r="C6" s="4" t="s">
        <v>3</v>
      </c>
      <c r="D6" s="5" t="str">
        <f>Transpor_bank!D6</f>
        <v>: Cikalongwetan</v>
      </c>
      <c r="F6" s="6"/>
      <c r="H6" s="8"/>
      <c r="I6" s="8" t="s">
        <v>28</v>
      </c>
      <c r="J6" s="4" t="s">
        <v>57</v>
      </c>
    </row>
    <row r="7" spans="1:14" ht="15" customHeight="1">
      <c r="C7" s="4" t="s">
        <v>5</v>
      </c>
      <c r="D7" s="5" t="str">
        <f>Transpor_bank!D7</f>
        <v>: Bandung Barat</v>
      </c>
      <c r="F7" s="6"/>
      <c r="H7" s="8"/>
      <c r="I7" s="4" t="s">
        <v>7</v>
      </c>
      <c r="J7" s="30" t="s">
        <v>29</v>
      </c>
    </row>
    <row r="8" spans="1:14" ht="15" customHeight="1">
      <c r="H8" s="8"/>
      <c r="I8" s="8"/>
      <c r="J8" s="8"/>
    </row>
    <row r="9" spans="1:14" ht="41.25" customHeight="1">
      <c r="A9" s="9" t="s">
        <v>8</v>
      </c>
      <c r="B9" s="65" t="s">
        <v>9</v>
      </c>
      <c r="C9" s="66"/>
      <c r="D9" s="9" t="s">
        <v>10</v>
      </c>
      <c r="E9" s="10" t="s">
        <v>11</v>
      </c>
      <c r="F9" s="9" t="s">
        <v>45</v>
      </c>
      <c r="G9" s="9" t="s">
        <v>24</v>
      </c>
      <c r="H9" s="10" t="s">
        <v>13</v>
      </c>
      <c r="I9" s="10" t="s">
        <v>14</v>
      </c>
      <c r="J9" s="69" t="s">
        <v>17</v>
      </c>
      <c r="K9" s="71"/>
    </row>
    <row r="10" spans="1:14" ht="29.5" customHeight="1">
      <c r="A10" s="11">
        <v>1</v>
      </c>
      <c r="B10" s="12" t="s">
        <v>38</v>
      </c>
      <c r="C10" s="13"/>
      <c r="D10" s="13" t="s">
        <v>145</v>
      </c>
      <c r="E10" s="14" t="s">
        <v>155</v>
      </c>
      <c r="F10" s="14">
        <v>1</v>
      </c>
      <c r="G10" s="14" t="s">
        <v>25</v>
      </c>
      <c r="H10" s="15">
        <v>150000</v>
      </c>
      <c r="I10" s="16">
        <f>F10*H10</f>
        <v>150000</v>
      </c>
      <c r="J10" s="54">
        <v>1</v>
      </c>
      <c r="K10" s="56">
        <v>2</v>
      </c>
    </row>
    <row r="11" spans="1:14" ht="29.5" customHeight="1">
      <c r="A11" s="11">
        <v>2</v>
      </c>
      <c r="B11" s="12"/>
      <c r="C11" s="13"/>
      <c r="D11" s="13"/>
      <c r="E11" s="14"/>
      <c r="F11" s="14"/>
      <c r="G11" s="14"/>
      <c r="H11" s="15"/>
      <c r="I11" s="16">
        <f t="shared" ref="I11:I13" si="0">F11*H11</f>
        <v>0</v>
      </c>
      <c r="J11" s="55"/>
      <c r="K11" s="57"/>
    </row>
    <row r="12" spans="1:14" ht="22.5" hidden="1" customHeight="1">
      <c r="A12" s="11">
        <v>3</v>
      </c>
      <c r="B12" s="12"/>
      <c r="C12" s="13"/>
      <c r="D12" s="13"/>
      <c r="E12" s="14"/>
      <c r="F12" s="14"/>
      <c r="G12" s="14"/>
      <c r="H12" s="15"/>
      <c r="I12" s="16">
        <f t="shared" si="0"/>
        <v>0</v>
      </c>
      <c r="J12" s="54">
        <v>3</v>
      </c>
      <c r="K12" s="56">
        <v>4</v>
      </c>
    </row>
    <row r="13" spans="1:14" ht="22.5" hidden="1" customHeight="1">
      <c r="A13" s="11">
        <v>4</v>
      </c>
      <c r="B13" s="12"/>
      <c r="C13" s="13"/>
      <c r="D13" s="13"/>
      <c r="E13" s="14"/>
      <c r="F13" s="14"/>
      <c r="G13" s="14"/>
      <c r="H13" s="15"/>
      <c r="I13" s="16">
        <f t="shared" si="0"/>
        <v>0</v>
      </c>
      <c r="J13" s="55"/>
      <c r="K13" s="57"/>
    </row>
    <row r="14" spans="1:14" s="21" customFormat="1" ht="22.5" customHeight="1">
      <c r="A14" s="69" t="s">
        <v>20</v>
      </c>
      <c r="B14" s="70"/>
      <c r="C14" s="70"/>
      <c r="D14" s="70"/>
      <c r="E14" s="70"/>
      <c r="F14" s="70"/>
      <c r="G14" s="70"/>
      <c r="H14" s="71"/>
      <c r="I14" s="18">
        <f>SUM(I10:I13)</f>
        <v>150000</v>
      </c>
      <c r="J14" s="20"/>
      <c r="K14" s="20"/>
      <c r="N14" s="22"/>
    </row>
    <row r="15" spans="1:14" ht="23.25" customHeight="1">
      <c r="A15" s="7"/>
      <c r="B15" s="7"/>
      <c r="C15" s="7"/>
      <c r="D15" s="7"/>
      <c r="E15" s="7"/>
      <c r="F15" s="7"/>
      <c r="G15" s="7"/>
      <c r="H15" s="23"/>
      <c r="I15" s="23"/>
    </row>
    <row r="16" spans="1:14">
      <c r="A16" s="8"/>
      <c r="B16" s="8"/>
      <c r="C16" s="8"/>
      <c r="D16" s="8"/>
      <c r="E16" s="8"/>
      <c r="F16" s="8"/>
      <c r="G16" s="8"/>
      <c r="H16" s="8"/>
      <c r="J16" s="24" t="str">
        <f>Transpor_bank!J16</f>
        <v>Cikalongwetan, 2 Januari 2026</v>
      </c>
    </row>
    <row r="17" spans="1:14">
      <c r="A17" s="8"/>
      <c r="C17" s="24" t="s">
        <v>21</v>
      </c>
      <c r="D17" s="24"/>
      <c r="E17" s="24"/>
      <c r="F17" s="24"/>
      <c r="G17" s="8"/>
      <c r="H17" s="8"/>
      <c r="J17" s="24" t="str">
        <f>Transpor_bank!J17</f>
        <v>Dibayar Lunas Tgl. 4 Februari 2026</v>
      </c>
    </row>
    <row r="18" spans="1:14">
      <c r="A18" s="8"/>
      <c r="C18" s="24" t="s">
        <v>22</v>
      </c>
      <c r="D18" s="24"/>
      <c r="E18" s="24"/>
      <c r="F18" s="24"/>
      <c r="G18" s="8"/>
      <c r="H18" s="8"/>
      <c r="J18" s="24" t="s">
        <v>23</v>
      </c>
    </row>
    <row r="19" spans="1:14">
      <c r="A19" s="8"/>
      <c r="C19" s="24"/>
      <c r="D19" s="24"/>
      <c r="E19" s="24"/>
      <c r="F19" s="24"/>
      <c r="G19" s="8"/>
      <c r="H19" s="8"/>
      <c r="J19" s="25"/>
      <c r="N19" s="26"/>
    </row>
    <row r="20" spans="1:14">
      <c r="A20" s="8"/>
      <c r="C20" s="24"/>
      <c r="D20" s="24"/>
      <c r="E20" s="24"/>
      <c r="F20" s="24"/>
      <c r="G20" s="8"/>
      <c r="H20" s="8"/>
      <c r="J20" s="25"/>
    </row>
    <row r="21" spans="1:14">
      <c r="A21" s="8"/>
      <c r="C21" s="24"/>
      <c r="D21" s="24"/>
      <c r="E21" s="24"/>
      <c r="F21" s="24"/>
      <c r="G21" s="8"/>
      <c r="H21" s="8"/>
      <c r="J21" s="25"/>
    </row>
    <row r="22" spans="1:14">
      <c r="A22" s="8"/>
      <c r="C22" s="24"/>
      <c r="D22" s="24"/>
      <c r="E22" s="24"/>
      <c r="F22" s="24"/>
      <c r="G22" s="8"/>
      <c r="H22" s="8"/>
      <c r="J22" s="25"/>
    </row>
    <row r="23" spans="1:14">
      <c r="A23" s="8"/>
      <c r="C23" s="24"/>
      <c r="D23" s="24"/>
      <c r="E23" s="24"/>
      <c r="F23" s="24"/>
      <c r="G23" s="8"/>
      <c r="H23" s="8"/>
      <c r="J23" s="25"/>
    </row>
    <row r="24" spans="1:14" ht="15" customHeight="1">
      <c r="A24" s="8"/>
      <c r="C24" s="27" t="str">
        <f>Transpor_bank!C24</f>
        <v>BADRUDDIN, S.Ag.</v>
      </c>
      <c r="D24" s="28"/>
      <c r="E24" s="28"/>
      <c r="F24" s="8"/>
      <c r="G24" s="8"/>
      <c r="J24" s="50" t="str">
        <f>Transpor_bank!J24</f>
        <v>DEDE GUNAWAN, S.Pd.</v>
      </c>
    </row>
    <row r="25" spans="1:14" ht="13.5" customHeight="1">
      <c r="A25" s="8"/>
      <c r="C25" s="27" t="str">
        <f>Transpor_bank!C25</f>
        <v>NIP. 197405082014121002</v>
      </c>
      <c r="D25" s="25"/>
      <c r="E25" s="25"/>
      <c r="F25" s="8"/>
      <c r="G25" s="8"/>
      <c r="J25" s="50" t="str">
        <f>Transpor_bank!J25</f>
        <v>NIP. 198507172020121003</v>
      </c>
    </row>
    <row r="26" spans="1:14" ht="15" customHeight="1">
      <c r="A26" s="8"/>
      <c r="C26" s="28"/>
      <c r="D26" s="28"/>
      <c r="E26" s="28"/>
      <c r="F26" s="28"/>
      <c r="G26" s="8"/>
      <c r="H26" s="8"/>
      <c r="J26" s="29"/>
    </row>
    <row r="27" spans="1:14" ht="13.5" customHeight="1"/>
    <row r="28" spans="1:14" ht="13.5" customHeight="1"/>
    <row r="29" spans="1:14" ht="13.5" customHeight="1"/>
    <row r="30" spans="1:14" ht="13.5" customHeight="1"/>
    <row r="33" spans="1:14" ht="17.25" customHeight="1">
      <c r="A33" s="76" t="str">
        <f>$A$1</f>
        <v>DAFTAR BUKTI PENERIMA PERJALANAN DINAS KOORDINASI PENGELOLAAN DANA BOSP (Transaksi Non Tunai)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4" ht="17.25" customHeight="1">
      <c r="A34" s="64" t="str">
        <f>Transpor_bank!A34</f>
        <v>BULAN FEBRUARI 2026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4" ht="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4" ht="15" customHeight="1">
      <c r="C36" s="4" t="s">
        <v>0</v>
      </c>
      <c r="D36" s="5" t="s">
        <v>56</v>
      </c>
      <c r="F36" s="6"/>
      <c r="G36" s="7"/>
      <c r="H36" s="7"/>
      <c r="I36" s="4" t="s">
        <v>26</v>
      </c>
      <c r="J36" s="4" t="str">
        <f>J4</f>
        <v>: 06 Pengembangan Standar Pengelolaan</v>
      </c>
    </row>
    <row r="37" spans="1:14" ht="15" customHeight="1">
      <c r="C37" s="4" t="s">
        <v>2</v>
      </c>
      <c r="D37" s="4" t="str">
        <f>D5</f>
        <v>: SD NEGERI LEBAKLEUNGSIR</v>
      </c>
      <c r="F37" s="6"/>
      <c r="H37" s="8"/>
      <c r="I37" s="4" t="s">
        <v>27</v>
      </c>
      <c r="J37" s="4" t="str">
        <f>J5</f>
        <v>: Perjalanan Dinas koordinasi</v>
      </c>
    </row>
    <row r="38" spans="1:14" ht="15" customHeight="1">
      <c r="C38" s="4" t="s">
        <v>3</v>
      </c>
      <c r="D38" s="4" t="str">
        <f>D6</f>
        <v>: Cikalongwetan</v>
      </c>
      <c r="F38" s="6"/>
      <c r="H38" s="8"/>
      <c r="I38" s="8" t="s">
        <v>28</v>
      </c>
      <c r="J38" s="4" t="str">
        <f>J6</f>
        <v>: 5.1.02.04.01.0003</v>
      </c>
    </row>
    <row r="39" spans="1:14" ht="15" customHeight="1">
      <c r="C39" s="4" t="s">
        <v>5</v>
      </c>
      <c r="D39" s="4" t="str">
        <f>D7</f>
        <v>: Bandung Barat</v>
      </c>
      <c r="F39" s="6"/>
      <c r="H39" s="8"/>
      <c r="I39" s="4" t="s">
        <v>7</v>
      </c>
      <c r="J39" s="4" t="str">
        <f>J7</f>
        <v>: 5</v>
      </c>
    </row>
    <row r="40" spans="1:14" ht="15" customHeight="1">
      <c r="H40" s="8"/>
      <c r="I40" s="8"/>
      <c r="J40" s="8"/>
    </row>
    <row r="41" spans="1:14" ht="41.25" customHeight="1">
      <c r="A41" s="9" t="s">
        <v>8</v>
      </c>
      <c r="B41" s="65" t="s">
        <v>9</v>
      </c>
      <c r="C41" s="66"/>
      <c r="D41" s="9" t="s">
        <v>10</v>
      </c>
      <c r="E41" s="10" t="s">
        <v>11</v>
      </c>
      <c r="F41" s="9" t="s">
        <v>45</v>
      </c>
      <c r="G41" s="9" t="s">
        <v>24</v>
      </c>
      <c r="H41" s="10" t="s">
        <v>13</v>
      </c>
      <c r="I41" s="10" t="s">
        <v>14</v>
      </c>
      <c r="J41" s="69" t="s">
        <v>17</v>
      </c>
      <c r="K41" s="71"/>
    </row>
    <row r="42" spans="1:14" ht="29.5" customHeight="1">
      <c r="A42" s="11">
        <v>1</v>
      </c>
      <c r="B42" s="12" t="str">
        <f>IF(B10="","",B10)</f>
        <v>DEDE GUNAWAN</v>
      </c>
      <c r="C42" s="13"/>
      <c r="D42" s="12" t="str">
        <f t="shared" ref="D42:E45" si="1">IF(D10="","",D10)</f>
        <v>Bendahara</v>
      </c>
      <c r="E42" s="11" t="str">
        <f t="shared" si="1"/>
        <v>III/b</v>
      </c>
      <c r="F42" s="11">
        <v>3</v>
      </c>
      <c r="G42" s="11" t="str">
        <f t="shared" ref="G42:H45" si="2">IF(G10="","",G10)</f>
        <v>Perjalanan</v>
      </c>
      <c r="H42" s="44">
        <f t="shared" si="2"/>
        <v>150000</v>
      </c>
      <c r="I42" s="16">
        <f>IFERROR(SUM(F42*H42),"")</f>
        <v>450000</v>
      </c>
      <c r="J42" s="54">
        <v>1</v>
      </c>
      <c r="K42" s="56">
        <v>2</v>
      </c>
    </row>
    <row r="43" spans="1:14" ht="29.5" customHeight="1">
      <c r="A43" s="11">
        <v>2</v>
      </c>
      <c r="B43" s="12" t="str">
        <f>IF(B11="","",B11)</f>
        <v/>
      </c>
      <c r="C43" s="13"/>
      <c r="D43" s="12" t="str">
        <f t="shared" si="1"/>
        <v/>
      </c>
      <c r="E43" s="11" t="str">
        <f t="shared" si="1"/>
        <v/>
      </c>
      <c r="F43" s="11" t="str">
        <f>IF(F11="","",F11)</f>
        <v/>
      </c>
      <c r="G43" s="11" t="str">
        <f t="shared" si="2"/>
        <v/>
      </c>
      <c r="H43" s="44" t="str">
        <f t="shared" si="2"/>
        <v/>
      </c>
      <c r="I43" s="16" t="str">
        <f t="shared" ref="I43:I45" si="3">IFERROR(SUM(F43*H43),"")</f>
        <v/>
      </c>
      <c r="J43" s="55"/>
      <c r="K43" s="57"/>
    </row>
    <row r="44" spans="1:14" ht="22.5" hidden="1" customHeight="1">
      <c r="A44" s="11">
        <v>3</v>
      </c>
      <c r="B44" s="12" t="str">
        <f>IF(B12="","",B12)</f>
        <v/>
      </c>
      <c r="C44" s="13"/>
      <c r="D44" s="12" t="str">
        <f t="shared" si="1"/>
        <v/>
      </c>
      <c r="E44" s="11" t="str">
        <f t="shared" si="1"/>
        <v/>
      </c>
      <c r="F44" s="11" t="str">
        <f>IF(F12="","",F12)</f>
        <v/>
      </c>
      <c r="G44" s="11" t="str">
        <f t="shared" si="2"/>
        <v/>
      </c>
      <c r="H44" s="44" t="str">
        <f t="shared" si="2"/>
        <v/>
      </c>
      <c r="I44" s="16" t="str">
        <f t="shared" si="3"/>
        <v/>
      </c>
      <c r="J44" s="54">
        <v>3</v>
      </c>
      <c r="K44" s="56">
        <v>4</v>
      </c>
    </row>
    <row r="45" spans="1:14" ht="22.5" hidden="1" customHeight="1">
      <c r="A45" s="11">
        <v>4</v>
      </c>
      <c r="B45" s="12" t="str">
        <f>IF(B13="","",B13)</f>
        <v/>
      </c>
      <c r="C45" s="13"/>
      <c r="D45" s="12" t="str">
        <f t="shared" si="1"/>
        <v/>
      </c>
      <c r="E45" s="11" t="str">
        <f t="shared" si="1"/>
        <v/>
      </c>
      <c r="F45" s="11" t="str">
        <f>IF(F13="","",F13)</f>
        <v/>
      </c>
      <c r="G45" s="11" t="str">
        <f t="shared" si="2"/>
        <v/>
      </c>
      <c r="H45" s="44" t="str">
        <f t="shared" si="2"/>
        <v/>
      </c>
      <c r="I45" s="16" t="str">
        <f t="shared" si="3"/>
        <v/>
      </c>
      <c r="J45" s="55"/>
      <c r="K45" s="57"/>
    </row>
    <row r="46" spans="1:14" s="21" customFormat="1" ht="22.5" customHeight="1">
      <c r="A46" s="69" t="s">
        <v>20</v>
      </c>
      <c r="B46" s="70"/>
      <c r="C46" s="70"/>
      <c r="D46" s="70"/>
      <c r="E46" s="70"/>
      <c r="F46" s="70"/>
      <c r="G46" s="70"/>
      <c r="H46" s="71"/>
      <c r="I46" s="18">
        <f>SUM(I42:I45)</f>
        <v>450000</v>
      </c>
      <c r="J46" s="20"/>
      <c r="K46" s="20"/>
      <c r="N46" s="22"/>
    </row>
    <row r="47" spans="1:14" ht="23.25" customHeight="1">
      <c r="A47" s="7"/>
      <c r="B47" s="7"/>
      <c r="C47" s="7"/>
      <c r="D47" s="7"/>
      <c r="E47" s="7"/>
      <c r="F47" s="7"/>
      <c r="G47" s="7"/>
      <c r="H47" s="23"/>
      <c r="I47" s="23"/>
    </row>
    <row r="48" spans="1:14">
      <c r="A48" s="8"/>
      <c r="B48" s="8"/>
      <c r="C48" s="8"/>
      <c r="D48" s="8"/>
      <c r="E48" s="8"/>
      <c r="F48" s="8"/>
      <c r="G48" s="8"/>
      <c r="H48" s="8"/>
      <c r="J48" s="24" t="str">
        <f>Transpor_bank!J48</f>
        <v>Cikalongwetan, 4 Februari 2026</v>
      </c>
    </row>
    <row r="49" spans="1:14">
      <c r="A49" s="8"/>
      <c r="C49" s="24" t="s">
        <v>21</v>
      </c>
      <c r="D49" s="24"/>
      <c r="E49" s="24"/>
      <c r="F49" s="24"/>
      <c r="G49" s="8"/>
      <c r="H49" s="8"/>
      <c r="J49" s="24" t="str">
        <f>Transpor_bank!J49</f>
        <v>Dibayar Lunas Tgl. 4 Februari 2026</v>
      </c>
    </row>
    <row r="50" spans="1:14">
      <c r="A50" s="8"/>
      <c r="C50" s="24" t="s">
        <v>22</v>
      </c>
      <c r="D50" s="24"/>
      <c r="E50" s="24"/>
      <c r="F50" s="24"/>
      <c r="G50" s="8"/>
      <c r="H50" s="8"/>
      <c r="J50" s="24" t="s">
        <v>23</v>
      </c>
    </row>
    <row r="51" spans="1:14">
      <c r="A51" s="8"/>
      <c r="C51" s="24"/>
      <c r="D51" s="24"/>
      <c r="E51" s="24"/>
      <c r="F51" s="24"/>
      <c r="G51" s="8"/>
      <c r="H51" s="8"/>
      <c r="J51" s="25"/>
      <c r="N51" s="26"/>
    </row>
    <row r="52" spans="1:14">
      <c r="A52" s="8"/>
      <c r="C52" s="24"/>
      <c r="D52" s="24"/>
      <c r="E52" s="24"/>
      <c r="F52" s="24"/>
      <c r="G52" s="8"/>
      <c r="H52" s="8"/>
      <c r="J52" s="25"/>
    </row>
    <row r="53" spans="1:14">
      <c r="A53" s="8"/>
      <c r="C53" s="24"/>
      <c r="D53" s="24"/>
      <c r="E53" s="24"/>
      <c r="F53" s="24"/>
      <c r="G53" s="8"/>
      <c r="H53" s="8"/>
      <c r="J53" s="25"/>
    </row>
    <row r="54" spans="1:14">
      <c r="A54" s="8"/>
      <c r="C54" s="24"/>
      <c r="D54" s="24"/>
      <c r="E54" s="24"/>
      <c r="F54" s="24"/>
      <c r="G54" s="8"/>
      <c r="H54" s="8"/>
      <c r="J54" s="25"/>
    </row>
    <row r="55" spans="1:14">
      <c r="A55" s="8"/>
      <c r="C55" s="24"/>
      <c r="D55" s="24"/>
      <c r="E55" s="24"/>
      <c r="F55" s="24"/>
      <c r="G55" s="8"/>
      <c r="H55" s="8"/>
      <c r="J55" s="25"/>
    </row>
    <row r="56" spans="1:14" ht="15" customHeight="1">
      <c r="A56" s="8"/>
      <c r="C56" s="27" t="str">
        <f>C24</f>
        <v>BADRUDDIN, S.Ag.</v>
      </c>
      <c r="D56" s="28"/>
      <c r="E56" s="28"/>
      <c r="F56" s="8"/>
      <c r="G56" s="8"/>
      <c r="J56" s="27" t="str">
        <f>J24</f>
        <v>DEDE GUNAWAN, S.Pd.</v>
      </c>
    </row>
    <row r="57" spans="1:14" ht="13.5" customHeight="1">
      <c r="A57" s="8"/>
      <c r="C57" s="43" t="str">
        <f>C25</f>
        <v>NIP. 197405082014121002</v>
      </c>
      <c r="D57" s="25"/>
      <c r="E57" s="25"/>
      <c r="F57" s="8"/>
      <c r="G57" s="8"/>
      <c r="J57" s="43" t="str">
        <f>J25</f>
        <v>NIP. 198507172020121003</v>
      </c>
    </row>
    <row r="58" spans="1:14" ht="15" customHeight="1">
      <c r="A58" s="8"/>
      <c r="C58" s="28"/>
      <c r="D58" s="28"/>
      <c r="E58" s="28"/>
      <c r="F58" s="28"/>
      <c r="G58" s="8"/>
      <c r="H58" s="8"/>
      <c r="J58" s="29"/>
    </row>
    <row r="59" spans="1:14" ht="13.5" customHeight="1"/>
    <row r="60" spans="1:14" ht="13.5" customHeight="1"/>
    <row r="61" spans="1:14" ht="13.5" customHeight="1"/>
    <row r="62" spans="1:14" ht="13.5" customHeight="1"/>
    <row r="65" spans="1:14" ht="17.25" customHeight="1">
      <c r="A65" s="76" t="str">
        <f>$A$1</f>
        <v>DAFTAR BUKTI PENERIMA PERJALANAN DINAS KOORDINASI PENGELOLAAN DANA BOSP (Transaksi Non Tunai)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4" ht="17.25" customHeight="1">
      <c r="A66" s="64" t="str">
        <f>Transpor_bank!A66</f>
        <v>BULAN MARET 2026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4" ht="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4" ht="15" customHeight="1">
      <c r="C68" s="4" t="s">
        <v>0</v>
      </c>
      <c r="D68" s="5" t="s">
        <v>56</v>
      </c>
      <c r="F68" s="6"/>
      <c r="G68" s="7"/>
      <c r="H68" s="7"/>
      <c r="I68" s="4" t="s">
        <v>26</v>
      </c>
      <c r="J68" s="4" t="str">
        <f>J36</f>
        <v>: 06 Pengembangan Standar Pengelolaan</v>
      </c>
    </row>
    <row r="69" spans="1:14" ht="15" customHeight="1">
      <c r="C69" s="4" t="s">
        <v>2</v>
      </c>
      <c r="D69" s="4" t="str">
        <f>D37</f>
        <v>: SD NEGERI LEBAKLEUNGSIR</v>
      </c>
      <c r="F69" s="6"/>
      <c r="H69" s="8"/>
      <c r="I69" s="4" t="s">
        <v>27</v>
      </c>
      <c r="J69" s="4" t="str">
        <f>J37</f>
        <v>: Perjalanan Dinas koordinasi</v>
      </c>
    </row>
    <row r="70" spans="1:14" ht="15" customHeight="1">
      <c r="C70" s="4" t="s">
        <v>3</v>
      </c>
      <c r="D70" s="4" t="str">
        <f>D38</f>
        <v>: Cikalongwetan</v>
      </c>
      <c r="F70" s="6"/>
      <c r="H70" s="8"/>
      <c r="I70" s="8" t="s">
        <v>28</v>
      </c>
      <c r="J70" s="4" t="str">
        <f>J38</f>
        <v>: 5.1.02.04.01.0003</v>
      </c>
    </row>
    <row r="71" spans="1:14" ht="15" customHeight="1">
      <c r="C71" s="4" t="s">
        <v>5</v>
      </c>
      <c r="D71" s="4" t="str">
        <f>D39</f>
        <v>: Bandung Barat</v>
      </c>
      <c r="F71" s="6"/>
      <c r="H71" s="8"/>
      <c r="I71" s="4" t="s">
        <v>7</v>
      </c>
      <c r="J71" s="4" t="str">
        <f>J39</f>
        <v>: 5</v>
      </c>
    </row>
    <row r="72" spans="1:14" ht="15" customHeight="1">
      <c r="H72" s="8"/>
      <c r="I72" s="8"/>
      <c r="J72" s="8"/>
    </row>
    <row r="73" spans="1:14" ht="41.25" customHeight="1">
      <c r="A73" s="9" t="s">
        <v>8</v>
      </c>
      <c r="B73" s="65" t="s">
        <v>9</v>
      </c>
      <c r="C73" s="66"/>
      <c r="D73" s="9" t="s">
        <v>10</v>
      </c>
      <c r="E73" s="10" t="s">
        <v>11</v>
      </c>
      <c r="F73" s="9" t="s">
        <v>45</v>
      </c>
      <c r="G73" s="9" t="s">
        <v>24</v>
      </c>
      <c r="H73" s="10" t="s">
        <v>13</v>
      </c>
      <c r="I73" s="10" t="s">
        <v>14</v>
      </c>
      <c r="J73" s="69" t="s">
        <v>17</v>
      </c>
      <c r="K73" s="71"/>
    </row>
    <row r="74" spans="1:14" ht="31" customHeight="1">
      <c r="A74" s="11">
        <v>1</v>
      </c>
      <c r="B74" s="12" t="str">
        <f>IF(B42="","",B42)</f>
        <v>DEDE GUNAWAN</v>
      </c>
      <c r="C74" s="13"/>
      <c r="D74" s="12" t="str">
        <f t="shared" ref="D74:E77" si="4">IF(D42="","",D42)</f>
        <v>Bendahara</v>
      </c>
      <c r="E74" s="11" t="str">
        <f t="shared" si="4"/>
        <v>III/b</v>
      </c>
      <c r="F74" s="11">
        <v>1</v>
      </c>
      <c r="G74" s="11" t="str">
        <f t="shared" ref="G74:H77" si="5">IF(G42="","",G42)</f>
        <v>Perjalanan</v>
      </c>
      <c r="H74" s="44">
        <f t="shared" si="5"/>
        <v>150000</v>
      </c>
      <c r="I74" s="16">
        <f>IFERROR(SUM(F74*H74),"")</f>
        <v>150000</v>
      </c>
      <c r="J74" s="54">
        <v>1</v>
      </c>
      <c r="K74" s="56">
        <v>2</v>
      </c>
    </row>
    <row r="75" spans="1:14" ht="31" customHeight="1">
      <c r="A75" s="11">
        <v>2</v>
      </c>
      <c r="B75" s="12" t="str">
        <f>IF(B43="","",B43)</f>
        <v/>
      </c>
      <c r="C75" s="13"/>
      <c r="D75" s="12" t="str">
        <f t="shared" si="4"/>
        <v/>
      </c>
      <c r="E75" s="11" t="str">
        <f t="shared" si="4"/>
        <v/>
      </c>
      <c r="F75" s="11" t="str">
        <f>IF(F43="","",F43)</f>
        <v/>
      </c>
      <c r="G75" s="11" t="str">
        <f t="shared" si="5"/>
        <v/>
      </c>
      <c r="H75" s="44" t="str">
        <f t="shared" si="5"/>
        <v/>
      </c>
      <c r="I75" s="16" t="str">
        <f t="shared" ref="I75:I77" si="6">IFERROR(SUM(F75*H75),"")</f>
        <v/>
      </c>
      <c r="J75" s="55"/>
      <c r="K75" s="57"/>
    </row>
    <row r="76" spans="1:14" ht="22.5" hidden="1" customHeight="1">
      <c r="A76" s="11">
        <v>3</v>
      </c>
      <c r="B76" s="12" t="str">
        <f>IF(B44="","",B44)</f>
        <v/>
      </c>
      <c r="C76" s="13"/>
      <c r="D76" s="12" t="str">
        <f t="shared" si="4"/>
        <v/>
      </c>
      <c r="E76" s="11" t="str">
        <f t="shared" si="4"/>
        <v/>
      </c>
      <c r="F76" s="11" t="str">
        <f>IF(F44="","",F44)</f>
        <v/>
      </c>
      <c r="G76" s="11" t="str">
        <f t="shared" si="5"/>
        <v/>
      </c>
      <c r="H76" s="44" t="str">
        <f t="shared" si="5"/>
        <v/>
      </c>
      <c r="I76" s="16" t="str">
        <f t="shared" si="6"/>
        <v/>
      </c>
      <c r="J76" s="54">
        <v>3</v>
      </c>
      <c r="K76" s="56">
        <v>4</v>
      </c>
    </row>
    <row r="77" spans="1:14" ht="22.5" hidden="1" customHeight="1">
      <c r="A77" s="11">
        <v>4</v>
      </c>
      <c r="B77" s="12" t="str">
        <f>IF(B45="","",B45)</f>
        <v/>
      </c>
      <c r="C77" s="13"/>
      <c r="D77" s="12" t="str">
        <f t="shared" si="4"/>
        <v/>
      </c>
      <c r="E77" s="11" t="str">
        <f t="shared" si="4"/>
        <v/>
      </c>
      <c r="F77" s="11" t="str">
        <f>IF(F45="","",F45)</f>
        <v/>
      </c>
      <c r="G77" s="11" t="str">
        <f t="shared" si="5"/>
        <v/>
      </c>
      <c r="H77" s="44" t="str">
        <f t="shared" si="5"/>
        <v/>
      </c>
      <c r="I77" s="16" t="str">
        <f t="shared" si="6"/>
        <v/>
      </c>
      <c r="J77" s="55"/>
      <c r="K77" s="57"/>
    </row>
    <row r="78" spans="1:14" s="21" customFormat="1" ht="22.5" customHeight="1">
      <c r="A78" s="69" t="s">
        <v>20</v>
      </c>
      <c r="B78" s="70"/>
      <c r="C78" s="70"/>
      <c r="D78" s="70"/>
      <c r="E78" s="70"/>
      <c r="F78" s="70"/>
      <c r="G78" s="70"/>
      <c r="H78" s="71"/>
      <c r="I78" s="18">
        <f>SUM(I74:I77)</f>
        <v>150000</v>
      </c>
      <c r="J78" s="20"/>
      <c r="K78" s="20"/>
      <c r="N78" s="22"/>
    </row>
    <row r="79" spans="1:14" ht="23.25" customHeight="1">
      <c r="A79" s="7"/>
      <c r="B79" s="7"/>
      <c r="C79" s="7"/>
      <c r="D79" s="7"/>
      <c r="E79" s="7"/>
      <c r="F79" s="7"/>
      <c r="G79" s="7"/>
      <c r="H79" s="23"/>
      <c r="I79" s="23"/>
    </row>
    <row r="80" spans="1:14">
      <c r="A80" s="8"/>
      <c r="B80" s="8"/>
      <c r="C80" s="8"/>
      <c r="D80" s="8"/>
      <c r="E80" s="8"/>
      <c r="F80" s="8"/>
      <c r="G80" s="8"/>
      <c r="H80" s="8"/>
      <c r="J80" s="24" t="str">
        <f>Transpor_bank!J80</f>
        <v>Cikalongwetan, 5 Maret 2026</v>
      </c>
    </row>
    <row r="81" spans="1:14">
      <c r="A81" s="8"/>
      <c r="C81" s="24" t="s">
        <v>21</v>
      </c>
      <c r="D81" s="24"/>
      <c r="E81" s="24"/>
      <c r="F81" s="24"/>
      <c r="G81" s="8"/>
      <c r="H81" s="8"/>
      <c r="J81" s="24" t="str">
        <f>Transpor_bank!J81</f>
        <v>Dibayar Lunas Tgl. 5 Maret 2026</v>
      </c>
    </row>
    <row r="82" spans="1:14">
      <c r="A82" s="8"/>
      <c r="C82" s="24" t="s">
        <v>22</v>
      </c>
      <c r="D82" s="24"/>
      <c r="E82" s="24"/>
      <c r="F82" s="24"/>
      <c r="G82" s="8"/>
      <c r="H82" s="8"/>
      <c r="J82" s="24" t="s">
        <v>23</v>
      </c>
    </row>
    <row r="83" spans="1:14">
      <c r="A83" s="8"/>
      <c r="C83" s="24"/>
      <c r="D83" s="24"/>
      <c r="E83" s="24"/>
      <c r="F83" s="24"/>
      <c r="G83" s="8"/>
      <c r="H83" s="8"/>
      <c r="J83" s="25"/>
      <c r="N83" s="26"/>
    </row>
    <row r="84" spans="1:14">
      <c r="A84" s="8"/>
      <c r="C84" s="24"/>
      <c r="D84" s="24"/>
      <c r="E84" s="24"/>
      <c r="F84" s="24"/>
      <c r="G84" s="8"/>
      <c r="H84" s="8"/>
      <c r="J84" s="25"/>
    </row>
    <row r="85" spans="1:14">
      <c r="A85" s="8"/>
      <c r="C85" s="24"/>
      <c r="D85" s="24"/>
      <c r="E85" s="24"/>
      <c r="F85" s="24"/>
      <c r="G85" s="8"/>
      <c r="H85" s="8"/>
      <c r="J85" s="25"/>
    </row>
    <row r="86" spans="1:14">
      <c r="A86" s="8"/>
      <c r="C86" s="24"/>
      <c r="D86" s="24"/>
      <c r="E86" s="24"/>
      <c r="F86" s="24"/>
      <c r="G86" s="8"/>
      <c r="H86" s="8"/>
      <c r="J86" s="25"/>
    </row>
    <row r="87" spans="1:14">
      <c r="A87" s="8"/>
      <c r="C87" s="24"/>
      <c r="D87" s="24"/>
      <c r="E87" s="24"/>
      <c r="F87" s="24"/>
      <c r="G87" s="8"/>
      <c r="H87" s="8"/>
      <c r="J87" s="25"/>
    </row>
    <row r="88" spans="1:14" ht="15" customHeight="1">
      <c r="A88" s="8"/>
      <c r="C88" s="27" t="str">
        <f>C56</f>
        <v>BADRUDDIN, S.Ag.</v>
      </c>
      <c r="D88" s="28"/>
      <c r="E88" s="28"/>
      <c r="F88" s="8"/>
      <c r="G88" s="8"/>
      <c r="J88" s="27" t="str">
        <f>J56</f>
        <v>DEDE GUNAWAN, S.Pd.</v>
      </c>
    </row>
    <row r="89" spans="1:14" ht="13.5" customHeight="1">
      <c r="A89" s="8"/>
      <c r="C89" s="43" t="str">
        <f>C57</f>
        <v>NIP. 197405082014121002</v>
      </c>
      <c r="D89" s="25"/>
      <c r="E89" s="25"/>
      <c r="F89" s="8"/>
      <c r="G89" s="8"/>
      <c r="J89" s="43" t="str">
        <f>J57</f>
        <v>NIP. 198507172020121003</v>
      </c>
    </row>
    <row r="90" spans="1:14" ht="15" customHeight="1">
      <c r="A90" s="8"/>
      <c r="C90" s="28"/>
      <c r="D90" s="28"/>
      <c r="E90" s="28"/>
      <c r="F90" s="28"/>
      <c r="G90" s="8"/>
      <c r="H90" s="8"/>
      <c r="J90" s="29"/>
    </row>
    <row r="91" spans="1:14" ht="13.5" customHeight="1"/>
    <row r="92" spans="1:14" ht="13.5" customHeight="1"/>
    <row r="93" spans="1:14" ht="13.5" customHeight="1"/>
    <row r="94" spans="1:14" ht="13.5" customHeight="1"/>
    <row r="97" spans="1:14" ht="17.25" customHeight="1">
      <c r="A97" s="76" t="str">
        <f>$A$1</f>
        <v>DAFTAR BUKTI PENERIMA PERJALANAN DINAS KOORDINASI PENGELOLAAN DANA BOSP (Transaksi Non Tunai)</v>
      </c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spans="1:14" ht="17.25" customHeight="1">
      <c r="A98" s="64" t="str">
        <f>Transpor_bank!A100</f>
        <v>BULAN APRIL 2026</v>
      </c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4" ht="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4" ht="15" customHeight="1">
      <c r="C100" s="4" t="s">
        <v>0</v>
      </c>
      <c r="D100" s="5" t="s">
        <v>56</v>
      </c>
      <c r="F100" s="6"/>
      <c r="G100" s="7"/>
      <c r="H100" s="7"/>
      <c r="I100" s="4" t="s">
        <v>26</v>
      </c>
      <c r="J100" s="4" t="str">
        <f>J68</f>
        <v>: 06 Pengembangan Standar Pengelolaan</v>
      </c>
    </row>
    <row r="101" spans="1:14" ht="15" customHeight="1">
      <c r="C101" s="4" t="s">
        <v>2</v>
      </c>
      <c r="D101" s="4" t="str">
        <f>D69</f>
        <v>: SD NEGERI LEBAKLEUNGSIR</v>
      </c>
      <c r="F101" s="6"/>
      <c r="H101" s="8"/>
      <c r="I101" s="4" t="s">
        <v>27</v>
      </c>
      <c r="J101" s="4" t="str">
        <f>J69</f>
        <v>: Perjalanan Dinas koordinasi</v>
      </c>
    </row>
    <row r="102" spans="1:14" ht="15" customHeight="1">
      <c r="C102" s="4" t="s">
        <v>3</v>
      </c>
      <c r="D102" s="4" t="str">
        <f>D70</f>
        <v>: Cikalongwetan</v>
      </c>
      <c r="F102" s="6"/>
      <c r="H102" s="8"/>
      <c r="I102" s="8" t="s">
        <v>28</v>
      </c>
      <c r="J102" s="4" t="str">
        <f>J70</f>
        <v>: 5.1.02.04.01.0003</v>
      </c>
    </row>
    <row r="103" spans="1:14" ht="15" customHeight="1">
      <c r="C103" s="4" t="s">
        <v>5</v>
      </c>
      <c r="D103" s="4" t="str">
        <f>D71</f>
        <v>: Bandung Barat</v>
      </c>
      <c r="F103" s="6"/>
      <c r="H103" s="8"/>
      <c r="I103" s="4" t="s">
        <v>7</v>
      </c>
      <c r="J103" s="4" t="str">
        <f>J71</f>
        <v>: 5</v>
      </c>
    </row>
    <row r="104" spans="1:14" ht="15" customHeight="1">
      <c r="H104" s="8"/>
      <c r="I104" s="8"/>
      <c r="J104" s="8"/>
    </row>
    <row r="105" spans="1:14" ht="41.25" customHeight="1">
      <c r="A105" s="9" t="s">
        <v>8</v>
      </c>
      <c r="B105" s="65" t="s">
        <v>9</v>
      </c>
      <c r="C105" s="66"/>
      <c r="D105" s="9" t="s">
        <v>10</v>
      </c>
      <c r="E105" s="10" t="s">
        <v>11</v>
      </c>
      <c r="F105" s="9" t="s">
        <v>45</v>
      </c>
      <c r="G105" s="9" t="s">
        <v>24</v>
      </c>
      <c r="H105" s="10" t="s">
        <v>13</v>
      </c>
      <c r="I105" s="10" t="s">
        <v>14</v>
      </c>
      <c r="J105" s="69" t="s">
        <v>17</v>
      </c>
      <c r="K105" s="71"/>
    </row>
    <row r="106" spans="1:14" ht="29.5" customHeight="1">
      <c r="A106" s="11">
        <v>1</v>
      </c>
      <c r="B106" s="12" t="str">
        <f>IF(B74="","",B74)</f>
        <v>DEDE GUNAWAN</v>
      </c>
      <c r="C106" s="13"/>
      <c r="D106" s="12" t="str">
        <f t="shared" ref="D106:E109" si="7">IF(D74="","",D74)</f>
        <v>Bendahara</v>
      </c>
      <c r="E106" s="11" t="str">
        <f t="shared" si="7"/>
        <v>III/b</v>
      </c>
      <c r="F106" s="11"/>
      <c r="G106" s="11" t="str">
        <f>IF(G74="","",G74)</f>
        <v>Perjalanan</v>
      </c>
      <c r="H106" s="44">
        <v>150000</v>
      </c>
      <c r="I106" s="16">
        <f>IFERROR(SUM(F106*H106),"")</f>
        <v>0</v>
      </c>
      <c r="J106" s="54">
        <v>1</v>
      </c>
      <c r="K106" s="56">
        <v>2</v>
      </c>
    </row>
    <row r="107" spans="1:14" ht="29.5" customHeight="1">
      <c r="A107" s="11">
        <v>2</v>
      </c>
      <c r="B107" s="12" t="str">
        <f>IF(B75="","",B75)</f>
        <v/>
      </c>
      <c r="C107" s="13"/>
      <c r="D107" s="12" t="str">
        <f t="shared" si="7"/>
        <v/>
      </c>
      <c r="E107" s="11" t="str">
        <f t="shared" si="7"/>
        <v/>
      </c>
      <c r="F107" s="11" t="str">
        <f>IF(F75="","",F75)</f>
        <v/>
      </c>
      <c r="G107" s="11" t="str">
        <f>IF(G75="","",G75)</f>
        <v/>
      </c>
      <c r="H107" s="44" t="str">
        <f>IF(H75="","",H75)</f>
        <v/>
      </c>
      <c r="I107" s="16" t="str">
        <f t="shared" ref="I107:I109" si="8">IFERROR(SUM(F107*H107),"")</f>
        <v/>
      </c>
      <c r="J107" s="55"/>
      <c r="K107" s="57"/>
    </row>
    <row r="108" spans="1:14" ht="22.5" hidden="1" customHeight="1">
      <c r="A108" s="11">
        <v>3</v>
      </c>
      <c r="B108" s="12" t="str">
        <f>IF(B76="","",B76)</f>
        <v/>
      </c>
      <c r="C108" s="13"/>
      <c r="D108" s="12" t="str">
        <f t="shared" si="7"/>
        <v/>
      </c>
      <c r="E108" s="11" t="str">
        <f t="shared" si="7"/>
        <v/>
      </c>
      <c r="F108" s="11" t="str">
        <f>IF(F76="","",F76)</f>
        <v/>
      </c>
      <c r="G108" s="11" t="str">
        <f>IF(G76="","",G76)</f>
        <v/>
      </c>
      <c r="H108" s="44" t="str">
        <f>IF(H76="","",H76)</f>
        <v/>
      </c>
      <c r="I108" s="16" t="str">
        <f t="shared" si="8"/>
        <v/>
      </c>
      <c r="J108" s="54">
        <v>3</v>
      </c>
      <c r="K108" s="56">
        <v>4</v>
      </c>
    </row>
    <row r="109" spans="1:14" ht="22.5" hidden="1" customHeight="1">
      <c r="A109" s="11">
        <v>4</v>
      </c>
      <c r="B109" s="12" t="str">
        <f>IF(B77="","",B77)</f>
        <v/>
      </c>
      <c r="C109" s="13"/>
      <c r="D109" s="12" t="str">
        <f t="shared" si="7"/>
        <v/>
      </c>
      <c r="E109" s="11" t="str">
        <f t="shared" si="7"/>
        <v/>
      </c>
      <c r="F109" s="11" t="str">
        <f>IF(F77="","",F77)</f>
        <v/>
      </c>
      <c r="G109" s="11" t="str">
        <f>IF(G77="","",G77)</f>
        <v/>
      </c>
      <c r="H109" s="44" t="str">
        <f>IF(H77="","",H77)</f>
        <v/>
      </c>
      <c r="I109" s="16" t="str">
        <f t="shared" si="8"/>
        <v/>
      </c>
      <c r="J109" s="55"/>
      <c r="K109" s="57"/>
    </row>
    <row r="110" spans="1:14" s="21" customFormat="1" ht="22.5" customHeight="1">
      <c r="A110" s="69" t="s">
        <v>20</v>
      </c>
      <c r="B110" s="70"/>
      <c r="C110" s="70"/>
      <c r="D110" s="70"/>
      <c r="E110" s="70"/>
      <c r="F110" s="70"/>
      <c r="G110" s="70"/>
      <c r="H110" s="71"/>
      <c r="I110" s="18">
        <f>SUM(I106:I109)</f>
        <v>0</v>
      </c>
      <c r="J110" s="20"/>
      <c r="K110" s="20"/>
      <c r="N110" s="22"/>
    </row>
    <row r="111" spans="1:14" ht="23.25" customHeight="1">
      <c r="A111" s="7"/>
      <c r="B111" s="7"/>
      <c r="C111" s="7"/>
      <c r="D111" s="7"/>
      <c r="E111" s="7"/>
      <c r="F111" s="7"/>
      <c r="G111" s="7"/>
      <c r="H111" s="23"/>
      <c r="I111" s="23"/>
    </row>
    <row r="112" spans="1:14">
      <c r="A112" s="8"/>
      <c r="B112" s="8"/>
      <c r="C112" s="8"/>
      <c r="D112" s="8"/>
      <c r="E112" s="8"/>
      <c r="F112" s="8"/>
      <c r="G112" s="8"/>
      <c r="H112" s="8"/>
      <c r="J112" s="24" t="str">
        <f>Transpor_bank!J114</f>
        <v>Cikalongwetan, 7 April 2026</v>
      </c>
    </row>
    <row r="113" spans="1:14">
      <c r="A113" s="8"/>
      <c r="C113" s="24" t="s">
        <v>21</v>
      </c>
      <c r="D113" s="24"/>
      <c r="E113" s="24"/>
      <c r="F113" s="24"/>
      <c r="G113" s="8"/>
      <c r="H113" s="8"/>
      <c r="J113" s="24" t="str">
        <f>Transpor_bank!J115</f>
        <v>Dibayar Lunas Tgl. 7 April 2026</v>
      </c>
    </row>
    <row r="114" spans="1:14">
      <c r="A114" s="8"/>
      <c r="C114" s="24" t="s">
        <v>22</v>
      </c>
      <c r="D114" s="24"/>
      <c r="E114" s="24"/>
      <c r="F114" s="24"/>
      <c r="G114" s="8"/>
      <c r="H114" s="8"/>
      <c r="J114" s="24" t="s">
        <v>23</v>
      </c>
    </row>
    <row r="115" spans="1:14">
      <c r="A115" s="8"/>
      <c r="C115" s="24"/>
      <c r="D115" s="24"/>
      <c r="E115" s="24"/>
      <c r="F115" s="24"/>
      <c r="G115" s="8"/>
      <c r="H115" s="8"/>
      <c r="J115" s="25"/>
      <c r="N115" s="26"/>
    </row>
    <row r="116" spans="1:14">
      <c r="A116" s="8"/>
      <c r="C116" s="24"/>
      <c r="D116" s="24"/>
      <c r="E116" s="24"/>
      <c r="F116" s="24"/>
      <c r="G116" s="8"/>
      <c r="H116" s="8"/>
      <c r="J116" s="25"/>
    </row>
    <row r="117" spans="1:14">
      <c r="A117" s="8"/>
      <c r="C117" s="24"/>
      <c r="D117" s="24"/>
      <c r="E117" s="24"/>
      <c r="F117" s="24"/>
      <c r="G117" s="8"/>
      <c r="H117" s="8"/>
      <c r="J117" s="25"/>
    </row>
    <row r="118" spans="1:14">
      <c r="A118" s="8"/>
      <c r="C118" s="24"/>
      <c r="D118" s="24"/>
      <c r="E118" s="24"/>
      <c r="F118" s="24"/>
      <c r="G118" s="8"/>
      <c r="H118" s="8"/>
      <c r="J118" s="25"/>
    </row>
    <row r="119" spans="1:14">
      <c r="A119" s="8"/>
      <c r="C119" s="24"/>
      <c r="D119" s="24"/>
      <c r="E119" s="24"/>
      <c r="F119" s="24"/>
      <c r="G119" s="8"/>
      <c r="H119" s="8"/>
      <c r="J119" s="25"/>
    </row>
    <row r="120" spans="1:14" ht="15" customHeight="1">
      <c r="A120" s="8"/>
      <c r="C120" s="27" t="str">
        <f>Transpor_bank!C251</f>
        <v>BADRUDDIN, S.Ag.</v>
      </c>
      <c r="D120" s="28"/>
      <c r="E120" s="28"/>
      <c r="F120" s="8"/>
      <c r="G120" s="8"/>
      <c r="J120" s="27" t="str">
        <f>J88</f>
        <v>DEDE GUNAWAN, S.Pd.</v>
      </c>
    </row>
    <row r="121" spans="1:14" ht="13.5" customHeight="1">
      <c r="A121" s="8"/>
      <c r="C121" s="43" t="str">
        <f>Transpor_bank!C252</f>
        <v>NIP. 197405082014121002</v>
      </c>
      <c r="D121" s="25"/>
      <c r="E121" s="25"/>
      <c r="F121" s="8"/>
      <c r="G121" s="8"/>
      <c r="J121" s="43" t="str">
        <f>J89</f>
        <v>NIP. 198507172020121003</v>
      </c>
    </row>
    <row r="122" spans="1:14" ht="15" customHeight="1">
      <c r="A122" s="8"/>
      <c r="C122" s="28"/>
      <c r="D122" s="28"/>
      <c r="E122" s="28"/>
      <c r="F122" s="28"/>
      <c r="G122" s="8"/>
      <c r="H122" s="8"/>
      <c r="J122" s="29"/>
    </row>
    <row r="123" spans="1:14" ht="13.5" customHeight="1"/>
    <row r="124" spans="1:14" ht="13.5" customHeight="1"/>
    <row r="125" spans="1:14" ht="13.5" customHeight="1"/>
    <row r="126" spans="1:14" ht="13.5" customHeight="1"/>
    <row r="129" spans="1:14" ht="17.25" customHeight="1">
      <c r="A129" s="76" t="str">
        <f>$A$1</f>
        <v>DAFTAR BUKTI PENERIMA PERJALANAN DINAS KOORDINASI PENGELOLAAN DANA BOSP (Transaksi Non Tunai)</v>
      </c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spans="1:14" ht="17.25" customHeight="1">
      <c r="A130" s="64" t="str">
        <f>Transpor_bank!A131</f>
        <v>BULAN MEI 2026</v>
      </c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4" ht="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4" ht="15" customHeight="1">
      <c r="C132" s="4" t="s">
        <v>0</v>
      </c>
      <c r="D132" s="5" t="s">
        <v>56</v>
      </c>
      <c r="F132" s="6"/>
      <c r="G132" s="7"/>
      <c r="H132" s="7"/>
      <c r="I132" s="4" t="s">
        <v>26</v>
      </c>
      <c r="J132" s="4" t="str">
        <f>J100</f>
        <v>: 06 Pengembangan Standar Pengelolaan</v>
      </c>
    </row>
    <row r="133" spans="1:14" ht="15" customHeight="1">
      <c r="C133" s="4" t="s">
        <v>2</v>
      </c>
      <c r="D133" s="4" t="str">
        <f>D101</f>
        <v>: SD NEGERI LEBAKLEUNGSIR</v>
      </c>
      <c r="F133" s="6"/>
      <c r="H133" s="8"/>
      <c r="I133" s="4" t="s">
        <v>27</v>
      </c>
      <c r="J133" s="4" t="str">
        <f>J101</f>
        <v>: Perjalanan Dinas koordinasi</v>
      </c>
    </row>
    <row r="134" spans="1:14" ht="15" customHeight="1">
      <c r="C134" s="4" t="s">
        <v>3</v>
      </c>
      <c r="D134" s="4" t="str">
        <f>D102</f>
        <v>: Cikalongwetan</v>
      </c>
      <c r="F134" s="6"/>
      <c r="H134" s="8"/>
      <c r="I134" s="8" t="s">
        <v>28</v>
      </c>
      <c r="J134" s="4" t="str">
        <f>J102</f>
        <v>: 5.1.02.04.01.0003</v>
      </c>
    </row>
    <row r="135" spans="1:14" ht="15" customHeight="1">
      <c r="C135" s="4" t="s">
        <v>5</v>
      </c>
      <c r="D135" s="4" t="str">
        <f>D103</f>
        <v>: Bandung Barat</v>
      </c>
      <c r="F135" s="6"/>
      <c r="H135" s="8"/>
      <c r="I135" s="4" t="s">
        <v>7</v>
      </c>
      <c r="J135" s="4" t="str">
        <f>J103</f>
        <v>: 5</v>
      </c>
    </row>
    <row r="136" spans="1:14" ht="15" customHeight="1">
      <c r="H136" s="8"/>
      <c r="I136" s="8"/>
      <c r="J136" s="8"/>
    </row>
    <row r="137" spans="1:14" ht="41.25" customHeight="1">
      <c r="A137" s="9" t="s">
        <v>8</v>
      </c>
      <c r="B137" s="65" t="s">
        <v>9</v>
      </c>
      <c r="C137" s="66"/>
      <c r="D137" s="9" t="s">
        <v>10</v>
      </c>
      <c r="E137" s="10" t="s">
        <v>11</v>
      </c>
      <c r="F137" s="9" t="s">
        <v>45</v>
      </c>
      <c r="G137" s="9" t="s">
        <v>24</v>
      </c>
      <c r="H137" s="10" t="s">
        <v>13</v>
      </c>
      <c r="I137" s="10" t="s">
        <v>14</v>
      </c>
      <c r="J137" s="69" t="s">
        <v>17</v>
      </c>
      <c r="K137" s="71"/>
    </row>
    <row r="138" spans="1:14" ht="29" customHeight="1">
      <c r="A138" s="11">
        <v>1</v>
      </c>
      <c r="B138" s="12" t="str">
        <f>IF(B106="","",B106)</f>
        <v>DEDE GUNAWAN</v>
      </c>
      <c r="C138" s="13"/>
      <c r="D138" s="12" t="str">
        <f t="shared" ref="D138:E141" si="9">IF(D106="","",D106)</f>
        <v>Bendahara</v>
      </c>
      <c r="E138" s="11" t="str">
        <f t="shared" si="9"/>
        <v>III/b</v>
      </c>
      <c r="F138" s="11">
        <v>1</v>
      </c>
      <c r="G138" s="11" t="str">
        <f>IF(G106="","",G106)</f>
        <v>Perjalanan</v>
      </c>
      <c r="H138" s="44">
        <v>150000</v>
      </c>
      <c r="I138" s="16">
        <f>IFERROR(SUM(F138*H138),"")</f>
        <v>150000</v>
      </c>
      <c r="J138" s="54">
        <v>1</v>
      </c>
      <c r="K138" s="56">
        <v>2</v>
      </c>
    </row>
    <row r="139" spans="1:14" ht="29" customHeight="1">
      <c r="A139" s="11">
        <v>2</v>
      </c>
      <c r="B139" s="12" t="str">
        <f>IF(B107="","",B107)</f>
        <v/>
      </c>
      <c r="C139" s="13"/>
      <c r="D139" s="12" t="str">
        <f t="shared" si="9"/>
        <v/>
      </c>
      <c r="E139" s="11" t="str">
        <f t="shared" si="9"/>
        <v/>
      </c>
      <c r="F139" s="11" t="str">
        <f>IF(F107="","",F107)</f>
        <v/>
      </c>
      <c r="G139" s="11" t="str">
        <f>IF(G107="","",G107)</f>
        <v/>
      </c>
      <c r="H139" s="44" t="str">
        <f>IF(H107="","",H107)</f>
        <v/>
      </c>
      <c r="I139" s="16" t="str">
        <f t="shared" ref="I139:I141" si="10">IFERROR(SUM(F139*H139),"")</f>
        <v/>
      </c>
      <c r="J139" s="55"/>
      <c r="K139" s="57"/>
    </row>
    <row r="140" spans="1:14" ht="22.5" hidden="1" customHeight="1">
      <c r="A140" s="11">
        <v>3</v>
      </c>
      <c r="B140" s="12" t="str">
        <f>IF(B108="","",B108)</f>
        <v/>
      </c>
      <c r="C140" s="13"/>
      <c r="D140" s="12" t="str">
        <f t="shared" si="9"/>
        <v/>
      </c>
      <c r="E140" s="11" t="str">
        <f t="shared" si="9"/>
        <v/>
      </c>
      <c r="F140" s="11" t="str">
        <f>IF(F108="","",F108)</f>
        <v/>
      </c>
      <c r="G140" s="11" t="str">
        <f>IF(G108="","",G108)</f>
        <v/>
      </c>
      <c r="H140" s="44" t="str">
        <f>IF(H108="","",H108)</f>
        <v/>
      </c>
      <c r="I140" s="16" t="str">
        <f t="shared" si="10"/>
        <v/>
      </c>
      <c r="J140" s="54">
        <v>3</v>
      </c>
      <c r="K140" s="56">
        <v>4</v>
      </c>
    </row>
    <row r="141" spans="1:14" ht="22.5" hidden="1" customHeight="1">
      <c r="A141" s="11">
        <v>4</v>
      </c>
      <c r="B141" s="12" t="str">
        <f>IF(B109="","",B109)</f>
        <v/>
      </c>
      <c r="C141" s="13"/>
      <c r="D141" s="12" t="str">
        <f t="shared" si="9"/>
        <v/>
      </c>
      <c r="E141" s="11" t="str">
        <f t="shared" si="9"/>
        <v/>
      </c>
      <c r="F141" s="11" t="str">
        <f>IF(F109="","",F109)</f>
        <v/>
      </c>
      <c r="G141" s="11" t="str">
        <f>IF(G109="","",G109)</f>
        <v/>
      </c>
      <c r="H141" s="44" t="str">
        <f>IF(H109="","",H109)</f>
        <v/>
      </c>
      <c r="I141" s="16" t="str">
        <f t="shared" si="10"/>
        <v/>
      </c>
      <c r="J141" s="55"/>
      <c r="K141" s="57"/>
    </row>
    <row r="142" spans="1:14" s="21" customFormat="1" ht="22.5" customHeight="1">
      <c r="A142" s="69" t="s">
        <v>20</v>
      </c>
      <c r="B142" s="70"/>
      <c r="C142" s="70"/>
      <c r="D142" s="70"/>
      <c r="E142" s="70"/>
      <c r="F142" s="70"/>
      <c r="G142" s="70"/>
      <c r="H142" s="71"/>
      <c r="I142" s="18">
        <f>SUM(I138:I141)</f>
        <v>150000</v>
      </c>
      <c r="J142" s="20"/>
      <c r="K142" s="20"/>
      <c r="N142" s="22"/>
    </row>
    <row r="143" spans="1:14" ht="23.25" customHeight="1">
      <c r="A143" s="7"/>
      <c r="B143" s="7"/>
      <c r="C143" s="7"/>
      <c r="D143" s="7"/>
      <c r="E143" s="7"/>
      <c r="F143" s="7"/>
      <c r="G143" s="7"/>
      <c r="H143" s="23"/>
      <c r="I143" s="23"/>
    </row>
    <row r="144" spans="1:14">
      <c r="A144" s="8"/>
      <c r="B144" s="8"/>
      <c r="C144" s="8"/>
      <c r="D144" s="8"/>
      <c r="E144" s="8"/>
      <c r="F144" s="8"/>
      <c r="G144" s="8"/>
      <c r="H144" s="8"/>
      <c r="J144" s="24" t="str">
        <f>Transpor_bank!J145</f>
        <v>Cikalongwetan, 5 Mei 2026</v>
      </c>
    </row>
    <row r="145" spans="1:14">
      <c r="A145" s="8"/>
      <c r="C145" s="24" t="s">
        <v>21</v>
      </c>
      <c r="D145" s="24"/>
      <c r="E145" s="24"/>
      <c r="F145" s="24"/>
      <c r="G145" s="8"/>
      <c r="H145" s="8"/>
      <c r="J145" s="24" t="str">
        <f>Transpor_bank!J146</f>
        <v>Dibayar Lunas Tgl. 5 Mei 2026</v>
      </c>
    </row>
    <row r="146" spans="1:14">
      <c r="A146" s="8"/>
      <c r="C146" s="24" t="s">
        <v>22</v>
      </c>
      <c r="D146" s="24"/>
      <c r="E146" s="24"/>
      <c r="F146" s="24"/>
      <c r="G146" s="8"/>
      <c r="H146" s="8"/>
      <c r="J146" s="24" t="s">
        <v>23</v>
      </c>
    </row>
    <row r="147" spans="1:14">
      <c r="A147" s="8"/>
      <c r="C147" s="24"/>
      <c r="D147" s="24"/>
      <c r="E147" s="24"/>
      <c r="F147" s="24"/>
      <c r="G147" s="8"/>
      <c r="H147" s="8"/>
      <c r="J147" s="25"/>
      <c r="N147" s="26"/>
    </row>
    <row r="148" spans="1:14">
      <c r="A148" s="8"/>
      <c r="C148" s="24"/>
      <c r="D148" s="24"/>
      <c r="E148" s="24"/>
      <c r="F148" s="24"/>
      <c r="G148" s="8"/>
      <c r="H148" s="8"/>
      <c r="J148" s="25"/>
    </row>
    <row r="149" spans="1:14">
      <c r="A149" s="8"/>
      <c r="C149" s="24"/>
      <c r="D149" s="24"/>
      <c r="E149" s="24"/>
      <c r="F149" s="24"/>
      <c r="G149" s="8"/>
      <c r="H149" s="8"/>
      <c r="J149" s="25"/>
    </row>
    <row r="150" spans="1:14">
      <c r="A150" s="8"/>
      <c r="C150" s="24"/>
      <c r="D150" s="24"/>
      <c r="E150" s="24"/>
      <c r="F150" s="24"/>
      <c r="G150" s="8"/>
      <c r="H150" s="8"/>
      <c r="J150" s="25"/>
    </row>
    <row r="151" spans="1:14">
      <c r="A151" s="8"/>
      <c r="C151" s="24"/>
      <c r="D151" s="24"/>
      <c r="E151" s="24"/>
      <c r="F151" s="24"/>
      <c r="G151" s="8"/>
      <c r="H151" s="8"/>
      <c r="J151" s="25"/>
    </row>
    <row r="152" spans="1:14" ht="15" customHeight="1">
      <c r="A152" s="8"/>
      <c r="C152" s="27" t="str">
        <f>C120</f>
        <v>BADRUDDIN, S.Ag.</v>
      </c>
      <c r="D152" s="28"/>
      <c r="E152" s="28"/>
      <c r="F152" s="8"/>
      <c r="G152" s="8"/>
      <c r="J152" s="27" t="str">
        <f>J120</f>
        <v>DEDE GUNAWAN, S.Pd.</v>
      </c>
    </row>
    <row r="153" spans="1:14" ht="13.5" customHeight="1">
      <c r="A153" s="8"/>
      <c r="C153" s="43" t="str">
        <f>C121</f>
        <v>NIP. 197405082014121002</v>
      </c>
      <c r="D153" s="25"/>
      <c r="E153" s="25"/>
      <c r="F153" s="8"/>
      <c r="G153" s="8"/>
      <c r="J153" s="43" t="str">
        <f>J121</f>
        <v>NIP. 198507172020121003</v>
      </c>
    </row>
    <row r="154" spans="1:14" ht="15" customHeight="1">
      <c r="A154" s="8"/>
      <c r="C154" s="28"/>
      <c r="D154" s="28"/>
      <c r="E154" s="28"/>
      <c r="F154" s="28"/>
      <c r="G154" s="8"/>
      <c r="H154" s="8"/>
      <c r="J154" s="29"/>
    </row>
    <row r="155" spans="1:14" ht="13.5" customHeight="1"/>
    <row r="156" spans="1:14" ht="13.5" customHeight="1"/>
    <row r="157" spans="1:14" ht="13.5" customHeight="1"/>
    <row r="158" spans="1:14" ht="13.5" customHeight="1"/>
    <row r="161" spans="1:14" ht="17.25" customHeight="1">
      <c r="A161" s="76" t="str">
        <f>$A$1</f>
        <v>DAFTAR BUKTI PENERIMA PERJALANAN DINAS KOORDINASI PENGELOLAAN DANA BOSP (Transaksi Non Tunai)</v>
      </c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spans="1:14" ht="17.25" customHeight="1">
      <c r="A162" s="64" t="str">
        <f>Transpor_bank!A163</f>
        <v>BULAN JUNI 2026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4" ht="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4" ht="15" customHeight="1">
      <c r="C164" s="4" t="s">
        <v>0</v>
      </c>
      <c r="D164" s="5" t="s">
        <v>56</v>
      </c>
      <c r="F164" s="6"/>
      <c r="G164" s="7"/>
      <c r="H164" s="7"/>
      <c r="I164" s="4" t="s">
        <v>26</v>
      </c>
      <c r="J164" s="4" t="str">
        <f>J132</f>
        <v>: 06 Pengembangan Standar Pengelolaan</v>
      </c>
    </row>
    <row r="165" spans="1:14" ht="15" customHeight="1">
      <c r="C165" s="4" t="s">
        <v>2</v>
      </c>
      <c r="D165" s="4" t="str">
        <f>D133</f>
        <v>: SD NEGERI LEBAKLEUNGSIR</v>
      </c>
      <c r="F165" s="6"/>
      <c r="H165" s="8"/>
      <c r="I165" s="4" t="s">
        <v>27</v>
      </c>
      <c r="J165" s="4" t="str">
        <f>J133</f>
        <v>: Perjalanan Dinas koordinasi</v>
      </c>
    </row>
    <row r="166" spans="1:14" ht="15" customHeight="1">
      <c r="C166" s="4" t="s">
        <v>3</v>
      </c>
      <c r="D166" s="4" t="str">
        <f>D134</f>
        <v>: Cikalongwetan</v>
      </c>
      <c r="F166" s="6"/>
      <c r="H166" s="8"/>
      <c r="I166" s="8" t="s">
        <v>28</v>
      </c>
      <c r="J166" s="4" t="str">
        <f>J134</f>
        <v>: 5.1.02.04.01.0003</v>
      </c>
    </row>
    <row r="167" spans="1:14" ht="15" customHeight="1">
      <c r="C167" s="4" t="s">
        <v>5</v>
      </c>
      <c r="D167" s="4" t="str">
        <f>D135</f>
        <v>: Bandung Barat</v>
      </c>
      <c r="F167" s="6"/>
      <c r="H167" s="8"/>
      <c r="I167" s="4" t="s">
        <v>7</v>
      </c>
      <c r="J167" s="4" t="str">
        <f>J135</f>
        <v>: 5</v>
      </c>
    </row>
    <row r="168" spans="1:14" ht="15" customHeight="1">
      <c r="H168" s="8"/>
      <c r="I168" s="8"/>
      <c r="J168" s="8"/>
    </row>
    <row r="169" spans="1:14" ht="41.25" customHeight="1">
      <c r="A169" s="9" t="s">
        <v>8</v>
      </c>
      <c r="B169" s="65" t="s">
        <v>9</v>
      </c>
      <c r="C169" s="66"/>
      <c r="D169" s="9" t="s">
        <v>10</v>
      </c>
      <c r="E169" s="10" t="s">
        <v>11</v>
      </c>
      <c r="F169" s="9" t="s">
        <v>45</v>
      </c>
      <c r="G169" s="9" t="s">
        <v>24</v>
      </c>
      <c r="H169" s="10" t="s">
        <v>13</v>
      </c>
      <c r="I169" s="10" t="s">
        <v>14</v>
      </c>
      <c r="J169" s="69" t="s">
        <v>17</v>
      </c>
      <c r="K169" s="71"/>
    </row>
    <row r="170" spans="1:14" ht="30.5" customHeight="1">
      <c r="A170" s="11">
        <v>1</v>
      </c>
      <c r="B170" s="12" t="str">
        <f>IF(B138="","",B138)</f>
        <v>DEDE GUNAWAN</v>
      </c>
      <c r="C170" s="13"/>
      <c r="D170" s="12" t="str">
        <f t="shared" ref="D170:E173" si="11">IF(D138="","",D138)</f>
        <v>Bendahara</v>
      </c>
      <c r="E170" s="11" t="str">
        <f t="shared" si="11"/>
        <v>III/b</v>
      </c>
      <c r="F170" s="11">
        <v>1</v>
      </c>
      <c r="G170" s="11" t="str">
        <f t="shared" ref="G170:H173" si="12">IF(G138="","",G138)</f>
        <v>Perjalanan</v>
      </c>
      <c r="H170" s="44">
        <f t="shared" si="12"/>
        <v>150000</v>
      </c>
      <c r="I170" s="16">
        <f>IFERROR(SUM(F170*H170),"")</f>
        <v>150000</v>
      </c>
      <c r="J170" s="54">
        <v>1</v>
      </c>
      <c r="K170" s="56">
        <v>2</v>
      </c>
    </row>
    <row r="171" spans="1:14" ht="30.5" customHeight="1">
      <c r="A171" s="11">
        <v>2</v>
      </c>
      <c r="B171" s="12" t="str">
        <f>IF(B139="","",B139)</f>
        <v/>
      </c>
      <c r="C171" s="13"/>
      <c r="D171" s="12" t="str">
        <f t="shared" si="11"/>
        <v/>
      </c>
      <c r="E171" s="11" t="str">
        <f t="shared" si="11"/>
        <v/>
      </c>
      <c r="F171" s="11" t="str">
        <f>IF(F139="","",F139)</f>
        <v/>
      </c>
      <c r="G171" s="11" t="str">
        <f t="shared" si="12"/>
        <v/>
      </c>
      <c r="H171" s="44" t="str">
        <f t="shared" si="12"/>
        <v/>
      </c>
      <c r="I171" s="16" t="str">
        <f t="shared" ref="I171:I173" si="13">IFERROR(SUM(F171*H171),"")</f>
        <v/>
      </c>
      <c r="J171" s="55"/>
      <c r="K171" s="57"/>
    </row>
    <row r="172" spans="1:14" ht="22.5" hidden="1" customHeight="1">
      <c r="A172" s="11">
        <v>3</v>
      </c>
      <c r="B172" s="12" t="str">
        <f>IF(B140="","",B140)</f>
        <v/>
      </c>
      <c r="C172" s="13"/>
      <c r="D172" s="12" t="str">
        <f t="shared" si="11"/>
        <v/>
      </c>
      <c r="E172" s="11" t="str">
        <f t="shared" si="11"/>
        <v/>
      </c>
      <c r="F172" s="11" t="str">
        <f>IF(F140="","",F140)</f>
        <v/>
      </c>
      <c r="G172" s="11" t="str">
        <f t="shared" si="12"/>
        <v/>
      </c>
      <c r="H172" s="44" t="str">
        <f t="shared" si="12"/>
        <v/>
      </c>
      <c r="I172" s="16" t="str">
        <f t="shared" si="13"/>
        <v/>
      </c>
      <c r="J172" s="54">
        <v>3</v>
      </c>
      <c r="K172" s="56">
        <v>4</v>
      </c>
    </row>
    <row r="173" spans="1:14" ht="22.5" hidden="1" customHeight="1">
      <c r="A173" s="11">
        <v>4</v>
      </c>
      <c r="B173" s="12" t="str">
        <f>IF(B141="","",B141)</f>
        <v/>
      </c>
      <c r="C173" s="13"/>
      <c r="D173" s="12" t="str">
        <f t="shared" si="11"/>
        <v/>
      </c>
      <c r="E173" s="11" t="str">
        <f t="shared" si="11"/>
        <v/>
      </c>
      <c r="F173" s="11" t="str">
        <f>IF(F141="","",F141)</f>
        <v/>
      </c>
      <c r="G173" s="11" t="str">
        <f t="shared" si="12"/>
        <v/>
      </c>
      <c r="H173" s="44" t="str">
        <f t="shared" si="12"/>
        <v/>
      </c>
      <c r="I173" s="16" t="str">
        <f t="shared" si="13"/>
        <v/>
      </c>
      <c r="J173" s="55"/>
      <c r="K173" s="57"/>
    </row>
    <row r="174" spans="1:14" s="21" customFormat="1" ht="22.5" customHeight="1">
      <c r="A174" s="69" t="s">
        <v>20</v>
      </c>
      <c r="B174" s="70"/>
      <c r="C174" s="70"/>
      <c r="D174" s="70"/>
      <c r="E174" s="70"/>
      <c r="F174" s="70"/>
      <c r="G174" s="70"/>
      <c r="H174" s="71"/>
      <c r="I174" s="18">
        <f>SUM(I170:I173)</f>
        <v>150000</v>
      </c>
      <c r="J174" s="20"/>
      <c r="K174" s="20"/>
      <c r="N174" s="22"/>
    </row>
    <row r="175" spans="1:14" ht="23.25" customHeight="1">
      <c r="A175" s="7"/>
      <c r="B175" s="7"/>
      <c r="C175" s="7"/>
      <c r="D175" s="7"/>
      <c r="E175" s="7"/>
      <c r="F175" s="7"/>
      <c r="G175" s="7"/>
      <c r="H175" s="23"/>
      <c r="I175" s="23"/>
    </row>
    <row r="176" spans="1:14">
      <c r="A176" s="8"/>
      <c r="B176" s="8"/>
      <c r="C176" s="8"/>
      <c r="D176" s="8"/>
      <c r="E176" s="8"/>
      <c r="F176" s="8"/>
      <c r="G176" s="8"/>
      <c r="H176" s="8"/>
      <c r="J176" s="24" t="str">
        <f>Transpor_bank!J177</f>
        <v>Cikalongwetan, 3 Juni 2026</v>
      </c>
    </row>
    <row r="177" spans="1:14">
      <c r="A177" s="8"/>
      <c r="C177" s="24" t="s">
        <v>21</v>
      </c>
      <c r="D177" s="24"/>
      <c r="E177" s="24"/>
      <c r="F177" s="24"/>
      <c r="G177" s="8"/>
      <c r="H177" s="8"/>
      <c r="J177" s="24" t="str">
        <f>Transpor_bank!J178</f>
        <v>Dibayar Lunas Tgl. 3 Juni 2026</v>
      </c>
    </row>
    <row r="178" spans="1:14">
      <c r="A178" s="8"/>
      <c r="C178" s="24" t="s">
        <v>22</v>
      </c>
      <c r="D178" s="24"/>
      <c r="E178" s="24"/>
      <c r="F178" s="24"/>
      <c r="G178" s="8"/>
      <c r="H178" s="8"/>
      <c r="J178" s="24" t="s">
        <v>23</v>
      </c>
    </row>
    <row r="179" spans="1:14">
      <c r="A179" s="8"/>
      <c r="C179" s="24"/>
      <c r="D179" s="24"/>
      <c r="E179" s="24"/>
      <c r="F179" s="24"/>
      <c r="G179" s="8"/>
      <c r="H179" s="8"/>
      <c r="J179" s="25"/>
      <c r="N179" s="26"/>
    </row>
    <row r="180" spans="1:14">
      <c r="A180" s="8"/>
      <c r="C180" s="24"/>
      <c r="D180" s="24"/>
      <c r="E180" s="24"/>
      <c r="F180" s="24"/>
      <c r="G180" s="8"/>
      <c r="H180" s="8"/>
      <c r="J180" s="25"/>
    </row>
    <row r="181" spans="1:14">
      <c r="A181" s="8"/>
      <c r="C181" s="24"/>
      <c r="D181" s="24"/>
      <c r="E181" s="24"/>
      <c r="F181" s="24"/>
      <c r="G181" s="8"/>
      <c r="H181" s="8"/>
      <c r="J181" s="25"/>
    </row>
    <row r="182" spans="1:14">
      <c r="A182" s="8"/>
      <c r="C182" s="24"/>
      <c r="D182" s="24"/>
      <c r="E182" s="24"/>
      <c r="F182" s="24"/>
      <c r="G182" s="8"/>
      <c r="H182" s="8"/>
      <c r="J182" s="25"/>
    </row>
    <row r="183" spans="1:14">
      <c r="A183" s="8"/>
      <c r="C183" s="24"/>
      <c r="D183" s="24"/>
      <c r="E183" s="24"/>
      <c r="F183" s="24"/>
      <c r="G183" s="8"/>
      <c r="H183" s="8"/>
      <c r="J183" s="25"/>
    </row>
    <row r="184" spans="1:14" ht="15" customHeight="1">
      <c r="A184" s="8"/>
      <c r="C184" s="27" t="str">
        <f>C152</f>
        <v>BADRUDDIN, S.Ag.</v>
      </c>
      <c r="D184" s="28"/>
      <c r="E184" s="28"/>
      <c r="F184" s="8"/>
      <c r="G184" s="8"/>
      <c r="J184" s="27" t="str">
        <f>J152</f>
        <v>DEDE GUNAWAN, S.Pd.</v>
      </c>
    </row>
    <row r="185" spans="1:14" ht="13.5" customHeight="1">
      <c r="A185" s="8"/>
      <c r="C185" s="43" t="str">
        <f>C153</f>
        <v>NIP. 197405082014121002</v>
      </c>
      <c r="D185" s="25"/>
      <c r="E185" s="25"/>
      <c r="F185" s="8"/>
      <c r="G185" s="8"/>
      <c r="J185" s="43" t="str">
        <f>J153</f>
        <v>NIP. 198507172020121003</v>
      </c>
    </row>
    <row r="186" spans="1:14" ht="15" customHeight="1">
      <c r="A186" s="8"/>
      <c r="C186" s="28"/>
      <c r="D186" s="28"/>
      <c r="E186" s="28"/>
      <c r="F186" s="28"/>
      <c r="G186" s="8"/>
      <c r="H186" s="8"/>
      <c r="J186" s="29"/>
    </row>
    <row r="187" spans="1:14" ht="13.5" customHeight="1"/>
    <row r="188" spans="1:14" ht="13.5" customHeight="1"/>
    <row r="189" spans="1:14" ht="13.5" customHeight="1"/>
    <row r="190" spans="1:14" ht="13.5" customHeight="1"/>
    <row r="193" spans="1:14" ht="17.25" customHeight="1">
      <c r="A193" s="76" t="str">
        <f>$A$1</f>
        <v>DAFTAR BUKTI PENERIMA PERJALANAN DINAS KOORDINASI PENGELOLAAN DANA BOSP (Transaksi Non Tunai)</v>
      </c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spans="1:14" ht="17.25" customHeight="1">
      <c r="A194" s="64" t="str">
        <f>Transpor_bank!A195</f>
        <v>BULAN AGUSTUS 2025</v>
      </c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4" ht="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4" ht="15" customHeight="1">
      <c r="C196" s="4" t="s">
        <v>0</v>
      </c>
      <c r="D196" s="5" t="s">
        <v>56</v>
      </c>
      <c r="F196" s="6"/>
      <c r="G196" s="7"/>
      <c r="H196" s="7"/>
      <c r="I196" s="4" t="s">
        <v>26</v>
      </c>
      <c r="J196" s="4" t="str">
        <f>J164</f>
        <v>: 06 Pengembangan Standar Pengelolaan</v>
      </c>
    </row>
    <row r="197" spans="1:14" ht="15" customHeight="1">
      <c r="C197" s="4" t="s">
        <v>2</v>
      </c>
      <c r="D197" s="4" t="str">
        <f>D165</f>
        <v>: SD NEGERI LEBAKLEUNGSIR</v>
      </c>
      <c r="F197" s="6"/>
      <c r="H197" s="8"/>
      <c r="I197" s="4" t="s">
        <v>27</v>
      </c>
      <c r="J197" s="4" t="str">
        <f>J165</f>
        <v>: Perjalanan Dinas koordinasi</v>
      </c>
    </row>
    <row r="198" spans="1:14" ht="15" customHeight="1">
      <c r="C198" s="4" t="s">
        <v>3</v>
      </c>
      <c r="D198" s="4" t="str">
        <f>D166</f>
        <v>: Cikalongwetan</v>
      </c>
      <c r="F198" s="6"/>
      <c r="H198" s="8"/>
      <c r="I198" s="8" t="s">
        <v>28</v>
      </c>
      <c r="J198" s="4" t="str">
        <f>J166</f>
        <v>: 5.1.02.04.01.0003</v>
      </c>
    </row>
    <row r="199" spans="1:14" ht="15" customHeight="1">
      <c r="C199" s="4" t="s">
        <v>5</v>
      </c>
      <c r="D199" s="4" t="str">
        <f>D167</f>
        <v>: Bandung Barat</v>
      </c>
      <c r="F199" s="6"/>
      <c r="H199" s="8"/>
      <c r="I199" s="4" t="s">
        <v>7</v>
      </c>
      <c r="J199" s="4" t="str">
        <f>J167</f>
        <v>: 5</v>
      </c>
    </row>
    <row r="200" spans="1:14" ht="15" customHeight="1">
      <c r="H200" s="8"/>
      <c r="I200" s="8"/>
      <c r="J200" s="8"/>
    </row>
    <row r="201" spans="1:14" ht="41.25" customHeight="1">
      <c r="A201" s="9" t="s">
        <v>8</v>
      </c>
      <c r="B201" s="65" t="s">
        <v>9</v>
      </c>
      <c r="C201" s="66"/>
      <c r="D201" s="9" t="s">
        <v>10</v>
      </c>
      <c r="E201" s="10" t="s">
        <v>11</v>
      </c>
      <c r="F201" s="9" t="s">
        <v>45</v>
      </c>
      <c r="G201" s="9" t="s">
        <v>24</v>
      </c>
      <c r="H201" s="10" t="s">
        <v>13</v>
      </c>
      <c r="I201" s="10" t="s">
        <v>14</v>
      </c>
      <c r="J201" s="69" t="s">
        <v>17</v>
      </c>
      <c r="K201" s="71"/>
    </row>
    <row r="202" spans="1:14" ht="22.5" customHeight="1">
      <c r="A202" s="11">
        <v>1</v>
      </c>
      <c r="B202" s="12" t="s">
        <v>38</v>
      </c>
      <c r="C202" s="13"/>
      <c r="D202" s="12" t="str">
        <f>IF(D170="","",D170)</f>
        <v>Bendahara</v>
      </c>
      <c r="E202" s="11" t="s">
        <v>101</v>
      </c>
      <c r="F202" s="11">
        <v>2</v>
      </c>
      <c r="G202" s="11" t="str">
        <f>IF(G170="","",G170)</f>
        <v>Perjalanan</v>
      </c>
      <c r="H202" s="44">
        <v>150000</v>
      </c>
      <c r="I202" s="16">
        <f>IFERROR(SUM(F202*H202),"")</f>
        <v>300000</v>
      </c>
      <c r="J202" s="54">
        <v>1</v>
      </c>
      <c r="K202" s="56">
        <v>2</v>
      </c>
    </row>
    <row r="203" spans="1:14" ht="22.5" customHeight="1">
      <c r="A203" s="11">
        <v>2</v>
      </c>
      <c r="B203" s="12" t="str">
        <f>IF(B171="","",B171)</f>
        <v/>
      </c>
      <c r="C203" s="13"/>
      <c r="D203" s="12" t="str">
        <f>IF(D171="","",D171)</f>
        <v/>
      </c>
      <c r="E203" s="11" t="str">
        <f t="shared" ref="E203:F205" si="14">IF(E171="","",E171)</f>
        <v/>
      </c>
      <c r="F203" s="11" t="str">
        <f t="shared" si="14"/>
        <v/>
      </c>
      <c r="G203" s="11" t="str">
        <f>IF(G171="","",G171)</f>
        <v/>
      </c>
      <c r="H203" s="44" t="str">
        <f>IF(H171="","",H171)</f>
        <v/>
      </c>
      <c r="I203" s="16" t="str">
        <f t="shared" ref="I203:I205" si="15">IFERROR(SUM(F203*H203),"")</f>
        <v/>
      </c>
      <c r="J203" s="55"/>
      <c r="K203" s="57"/>
    </row>
    <row r="204" spans="1:14" ht="22.5" hidden="1" customHeight="1">
      <c r="A204" s="11">
        <v>3</v>
      </c>
      <c r="B204" s="12" t="str">
        <f>IF(B172="","",B172)</f>
        <v/>
      </c>
      <c r="C204" s="13"/>
      <c r="D204" s="12" t="str">
        <f>IF(D172="","",D172)</f>
        <v/>
      </c>
      <c r="E204" s="11" t="str">
        <f t="shared" si="14"/>
        <v/>
      </c>
      <c r="F204" s="11" t="str">
        <f t="shared" si="14"/>
        <v/>
      </c>
      <c r="G204" s="11" t="str">
        <f>IF(G172="","",G172)</f>
        <v/>
      </c>
      <c r="H204" s="44" t="str">
        <f>IF(H172="","",H172)</f>
        <v/>
      </c>
      <c r="I204" s="16" t="str">
        <f t="shared" si="15"/>
        <v/>
      </c>
      <c r="J204" s="54">
        <v>3</v>
      </c>
      <c r="K204" s="56">
        <v>4</v>
      </c>
    </row>
    <row r="205" spans="1:14" ht="22.5" hidden="1" customHeight="1">
      <c r="A205" s="11">
        <v>4</v>
      </c>
      <c r="B205" s="12" t="str">
        <f>IF(B173="","",B173)</f>
        <v/>
      </c>
      <c r="C205" s="13"/>
      <c r="D205" s="12" t="str">
        <f>IF(D173="","",D173)</f>
        <v/>
      </c>
      <c r="E205" s="11" t="str">
        <f t="shared" si="14"/>
        <v/>
      </c>
      <c r="F205" s="11" t="str">
        <f t="shared" si="14"/>
        <v/>
      </c>
      <c r="G205" s="11" t="str">
        <f>IF(G173="","",G173)</f>
        <v/>
      </c>
      <c r="H205" s="44" t="str">
        <f>IF(H173="","",H173)</f>
        <v/>
      </c>
      <c r="I205" s="16" t="str">
        <f t="shared" si="15"/>
        <v/>
      </c>
      <c r="J205" s="55"/>
      <c r="K205" s="57"/>
    </row>
    <row r="206" spans="1:14" s="21" customFormat="1" ht="22.5" customHeight="1">
      <c r="A206" s="69" t="s">
        <v>20</v>
      </c>
      <c r="B206" s="70"/>
      <c r="C206" s="70"/>
      <c r="D206" s="70"/>
      <c r="E206" s="70"/>
      <c r="F206" s="70"/>
      <c r="G206" s="70"/>
      <c r="H206" s="71"/>
      <c r="I206" s="18">
        <f>SUM(I202:I205)</f>
        <v>300000</v>
      </c>
      <c r="J206" s="20"/>
      <c r="K206" s="20"/>
      <c r="N206" s="22"/>
    </row>
    <row r="207" spans="1:14" ht="23.25" customHeight="1">
      <c r="A207" s="7"/>
      <c r="B207" s="7"/>
      <c r="C207" s="7"/>
      <c r="D207" s="7"/>
      <c r="E207" s="7"/>
      <c r="F207" s="7"/>
      <c r="G207" s="7"/>
      <c r="H207" s="23"/>
      <c r="I207" s="23"/>
    </row>
    <row r="208" spans="1:14">
      <c r="A208" s="8"/>
      <c r="B208" s="8"/>
      <c r="C208" s="8"/>
      <c r="D208" s="8"/>
      <c r="E208" s="8"/>
      <c r="F208" s="8"/>
      <c r="G208" s="8"/>
      <c r="H208" s="8"/>
      <c r="J208" s="24" t="str">
        <f>Transpor_bank!J209</f>
        <v>Cikalongwetan, 11 Agustus 2025</v>
      </c>
    </row>
    <row r="209" spans="1:14">
      <c r="A209" s="8"/>
      <c r="C209" s="24" t="s">
        <v>21</v>
      </c>
      <c r="D209" s="24"/>
      <c r="E209" s="24"/>
      <c r="F209" s="24"/>
      <c r="G209" s="8"/>
      <c r="H209" s="8"/>
      <c r="J209" s="24" t="str">
        <f>Transpor_bank!J210</f>
        <v>Dibayar Lunas Tgl. 11 Agustus 2025</v>
      </c>
    </row>
    <row r="210" spans="1:14">
      <c r="A210" s="8"/>
      <c r="C210" s="24" t="s">
        <v>22</v>
      </c>
      <c r="D210" s="24"/>
      <c r="E210" s="24"/>
      <c r="F210" s="24"/>
      <c r="G210" s="8"/>
      <c r="H210" s="8"/>
      <c r="J210" s="24" t="s">
        <v>23</v>
      </c>
    </row>
    <row r="211" spans="1:14">
      <c r="A211" s="8"/>
      <c r="C211" s="24"/>
      <c r="D211" s="24"/>
      <c r="E211" s="24"/>
      <c r="F211" s="24"/>
      <c r="G211" s="8"/>
      <c r="H211" s="8"/>
      <c r="J211" s="25"/>
      <c r="N211" s="26"/>
    </row>
    <row r="212" spans="1:14">
      <c r="A212" s="8"/>
      <c r="C212" s="24"/>
      <c r="D212" s="24"/>
      <c r="E212" s="24"/>
      <c r="F212" s="24"/>
      <c r="G212" s="8"/>
      <c r="H212" s="8"/>
      <c r="J212" s="25"/>
    </row>
    <row r="213" spans="1:14">
      <c r="A213" s="8"/>
      <c r="C213" s="24"/>
      <c r="D213" s="24"/>
      <c r="E213" s="24"/>
      <c r="F213" s="24"/>
      <c r="G213" s="8"/>
      <c r="H213" s="8"/>
      <c r="J213" s="25"/>
    </row>
    <row r="214" spans="1:14">
      <c r="A214" s="8"/>
      <c r="C214" s="24"/>
      <c r="D214" s="24"/>
      <c r="E214" s="24"/>
      <c r="F214" s="24"/>
      <c r="G214" s="8"/>
      <c r="H214" s="8"/>
      <c r="J214" s="25"/>
    </row>
    <row r="215" spans="1:14">
      <c r="A215" s="8"/>
      <c r="C215" s="24"/>
      <c r="D215" s="24"/>
      <c r="E215" s="24"/>
      <c r="F215" s="24"/>
      <c r="G215" s="8"/>
      <c r="H215" s="8"/>
      <c r="J215" s="25"/>
    </row>
    <row r="216" spans="1:14" ht="15" customHeight="1">
      <c r="A216" s="8"/>
      <c r="C216" s="27" t="str">
        <f>C184</f>
        <v>BADRUDDIN, S.Ag.</v>
      </c>
      <c r="D216" s="28"/>
      <c r="E216" s="28"/>
      <c r="F216" s="8"/>
      <c r="G216" s="8"/>
      <c r="J216" s="27" t="str">
        <f>Honor_guru!P242</f>
        <v>DEDE GUNAWAN, S.Pd</v>
      </c>
    </row>
    <row r="217" spans="1:14" ht="13.5" customHeight="1">
      <c r="A217" s="8"/>
      <c r="C217" s="43" t="str">
        <f>C185</f>
        <v>NIP. 197405082014121002</v>
      </c>
      <c r="D217" s="25"/>
      <c r="E217" s="25"/>
      <c r="F217" s="8"/>
      <c r="G217" s="8"/>
      <c r="J217" s="27" t="str">
        <f>Honor_guru!P243</f>
        <v>NIP. 198507172020121003</v>
      </c>
    </row>
    <row r="218" spans="1:14" ht="15" customHeight="1">
      <c r="A218" s="8"/>
      <c r="C218" s="28"/>
      <c r="D218" s="28"/>
      <c r="E218" s="28"/>
      <c r="F218" s="28"/>
      <c r="G218" s="8"/>
      <c r="H218" s="8"/>
      <c r="J218" s="29"/>
    </row>
    <row r="219" spans="1:14" ht="13.5" customHeight="1"/>
    <row r="220" spans="1:14" ht="13.5" customHeight="1"/>
    <row r="221" spans="1:14" ht="13.5" customHeight="1"/>
    <row r="222" spans="1:14" ht="13.5" customHeight="1"/>
    <row r="227" spans="1:14" ht="17.25" customHeight="1">
      <c r="A227" s="76" t="str">
        <f>$A$1</f>
        <v>DAFTAR BUKTI PENERIMA PERJALANAN DINAS KOORDINASI PENGELOLAAN DANA BOSP (Transaksi Non Tunai)</v>
      </c>
      <c r="B227" s="76"/>
      <c r="C227" s="76"/>
      <c r="D227" s="76"/>
      <c r="E227" s="76"/>
      <c r="F227" s="76"/>
      <c r="G227" s="76"/>
      <c r="H227" s="76"/>
      <c r="I227" s="76"/>
      <c r="J227" s="76"/>
      <c r="K227" s="76"/>
    </row>
    <row r="228" spans="1:14" ht="17.25" customHeight="1">
      <c r="A228" s="64" t="str">
        <f>Transpor_bank!A229</f>
        <v>BULAN AGUSTUS 2025</v>
      </c>
      <c r="B228" s="64"/>
      <c r="C228" s="64"/>
      <c r="D228" s="64"/>
      <c r="E228" s="64"/>
      <c r="F228" s="64"/>
      <c r="G228" s="64"/>
      <c r="H228" s="64"/>
      <c r="I228" s="64"/>
      <c r="J228" s="64"/>
      <c r="K228" s="64"/>
    </row>
    <row r="229" spans="1:14" ht="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4" ht="15" customHeight="1">
      <c r="C230" s="4" t="s">
        <v>0</v>
      </c>
      <c r="D230" s="5" t="s">
        <v>56</v>
      </c>
      <c r="F230" s="6"/>
      <c r="G230" s="7"/>
      <c r="H230" s="7"/>
      <c r="I230" s="4" t="s">
        <v>26</v>
      </c>
      <c r="J230" s="4" t="str">
        <f>J196</f>
        <v>: 06 Pengembangan Standar Pengelolaan</v>
      </c>
    </row>
    <row r="231" spans="1:14" ht="15" customHeight="1">
      <c r="C231" s="4" t="s">
        <v>2</v>
      </c>
      <c r="D231" s="4" t="str">
        <f>D197</f>
        <v>: SD NEGERI LEBAKLEUNGSIR</v>
      </c>
      <c r="F231" s="6"/>
      <c r="H231" s="8"/>
      <c r="I231" s="4" t="s">
        <v>27</v>
      </c>
      <c r="J231" s="4" t="str">
        <f t="shared" ref="J231:J233" si="16">J197</f>
        <v>: Perjalanan Dinas koordinasi</v>
      </c>
    </row>
    <row r="232" spans="1:14" ht="15" customHeight="1">
      <c r="C232" s="4" t="s">
        <v>3</v>
      </c>
      <c r="D232" s="4" t="str">
        <f t="shared" ref="D232:D233" si="17">D198</f>
        <v>: Cikalongwetan</v>
      </c>
      <c r="F232" s="6"/>
      <c r="H232" s="8"/>
      <c r="I232" s="8" t="s">
        <v>28</v>
      </c>
      <c r="J232" s="4" t="str">
        <f t="shared" si="16"/>
        <v>: 5.1.02.04.01.0003</v>
      </c>
    </row>
    <row r="233" spans="1:14" ht="15" customHeight="1">
      <c r="C233" s="4" t="s">
        <v>5</v>
      </c>
      <c r="D233" s="4" t="str">
        <f t="shared" si="17"/>
        <v>: Bandung Barat</v>
      </c>
      <c r="F233" s="6"/>
      <c r="H233" s="8"/>
      <c r="I233" s="4" t="s">
        <v>7</v>
      </c>
      <c r="J233" s="4" t="str">
        <f t="shared" si="16"/>
        <v>: 5</v>
      </c>
    </row>
    <row r="234" spans="1:14" ht="15" customHeight="1">
      <c r="H234" s="8"/>
      <c r="I234" s="8"/>
      <c r="J234" s="8"/>
    </row>
    <row r="235" spans="1:14" ht="41.25" customHeight="1">
      <c r="A235" s="9" t="s">
        <v>8</v>
      </c>
      <c r="B235" s="65" t="s">
        <v>9</v>
      </c>
      <c r="C235" s="66"/>
      <c r="D235" s="9" t="s">
        <v>10</v>
      </c>
      <c r="E235" s="10" t="s">
        <v>11</v>
      </c>
      <c r="F235" s="9" t="s">
        <v>45</v>
      </c>
      <c r="G235" s="9" t="s">
        <v>24</v>
      </c>
      <c r="H235" s="10" t="s">
        <v>13</v>
      </c>
      <c r="I235" s="10" t="s">
        <v>14</v>
      </c>
      <c r="J235" s="69" t="s">
        <v>17</v>
      </c>
      <c r="K235" s="71"/>
    </row>
    <row r="236" spans="1:14" ht="22.5" customHeight="1">
      <c r="A236" s="11">
        <v>1</v>
      </c>
      <c r="B236" s="12" t="s">
        <v>38</v>
      </c>
      <c r="C236" s="13"/>
      <c r="D236" s="12" t="s">
        <v>98</v>
      </c>
      <c r="E236" s="11" t="s">
        <v>101</v>
      </c>
      <c r="F236" s="11">
        <v>2</v>
      </c>
      <c r="G236" s="11" t="str">
        <f>IF(G202="","",G202)</f>
        <v>Perjalanan</v>
      </c>
      <c r="H236" s="44">
        <v>150000</v>
      </c>
      <c r="I236" s="16">
        <f>IFERROR(SUM(F236*H236),"")</f>
        <v>300000</v>
      </c>
      <c r="J236" s="54">
        <v>1</v>
      </c>
      <c r="K236" s="56">
        <v>2</v>
      </c>
    </row>
    <row r="237" spans="1:14" ht="22.5" customHeight="1">
      <c r="A237" s="11">
        <v>2</v>
      </c>
      <c r="B237" s="12" t="str">
        <f t="shared" ref="B237:B239" si="18">IF(B203="","",B203)</f>
        <v/>
      </c>
      <c r="C237" s="13"/>
      <c r="D237" s="12" t="str">
        <f t="shared" ref="D237:H239" si="19">IF(D203="","",D203)</f>
        <v/>
      </c>
      <c r="E237" s="11" t="str">
        <f t="shared" si="19"/>
        <v/>
      </c>
      <c r="F237" s="11"/>
      <c r="G237" s="11" t="str">
        <f t="shared" si="19"/>
        <v/>
      </c>
      <c r="H237" s="44" t="str">
        <f t="shared" si="19"/>
        <v/>
      </c>
      <c r="I237" s="16" t="str">
        <f t="shared" ref="I237:I239" si="20">IFERROR(SUM(F237*H237),"")</f>
        <v/>
      </c>
      <c r="J237" s="55"/>
      <c r="K237" s="57"/>
    </row>
    <row r="238" spans="1:14" ht="22.5" hidden="1" customHeight="1">
      <c r="A238" s="11">
        <v>3</v>
      </c>
      <c r="B238" s="12" t="str">
        <f t="shared" si="18"/>
        <v/>
      </c>
      <c r="C238" s="13"/>
      <c r="D238" s="12" t="str">
        <f t="shared" si="19"/>
        <v/>
      </c>
      <c r="E238" s="11" t="str">
        <f t="shared" si="19"/>
        <v/>
      </c>
      <c r="F238" s="11" t="str">
        <f t="shared" si="19"/>
        <v/>
      </c>
      <c r="G238" s="11" t="str">
        <f t="shared" si="19"/>
        <v/>
      </c>
      <c r="H238" s="44" t="str">
        <f t="shared" si="19"/>
        <v/>
      </c>
      <c r="I238" s="16" t="str">
        <f t="shared" si="20"/>
        <v/>
      </c>
      <c r="J238" s="54">
        <v>3</v>
      </c>
      <c r="K238" s="56">
        <v>4</v>
      </c>
    </row>
    <row r="239" spans="1:14" ht="22.5" hidden="1" customHeight="1">
      <c r="A239" s="11">
        <v>4</v>
      </c>
      <c r="B239" s="12" t="str">
        <f t="shared" si="18"/>
        <v/>
      </c>
      <c r="C239" s="13"/>
      <c r="D239" s="12" t="str">
        <f t="shared" si="19"/>
        <v/>
      </c>
      <c r="E239" s="11" t="str">
        <f t="shared" si="19"/>
        <v/>
      </c>
      <c r="F239" s="11" t="str">
        <f t="shared" si="19"/>
        <v/>
      </c>
      <c r="G239" s="11" t="str">
        <f t="shared" si="19"/>
        <v/>
      </c>
      <c r="H239" s="44" t="str">
        <f t="shared" si="19"/>
        <v/>
      </c>
      <c r="I239" s="16" t="str">
        <f t="shared" si="20"/>
        <v/>
      </c>
      <c r="J239" s="55"/>
      <c r="K239" s="57"/>
    </row>
    <row r="240" spans="1:14" s="21" customFormat="1" ht="22.5" customHeight="1">
      <c r="A240" s="69" t="s">
        <v>20</v>
      </c>
      <c r="B240" s="70"/>
      <c r="C240" s="70"/>
      <c r="D240" s="70"/>
      <c r="E240" s="70"/>
      <c r="F240" s="70"/>
      <c r="G240" s="70"/>
      <c r="H240" s="71"/>
      <c r="I240" s="18">
        <f>SUM(I236:I239)</f>
        <v>300000</v>
      </c>
      <c r="J240" s="20"/>
      <c r="K240" s="20"/>
      <c r="N240" s="22"/>
    </row>
    <row r="241" spans="1:14" ht="23.25" customHeight="1">
      <c r="A241" s="7"/>
      <c r="B241" s="7"/>
      <c r="C241" s="7"/>
      <c r="D241" s="7"/>
      <c r="E241" s="7"/>
      <c r="F241" s="7"/>
      <c r="G241" s="7"/>
      <c r="H241" s="23"/>
      <c r="I241" s="23"/>
    </row>
    <row r="242" spans="1:14">
      <c r="A242" s="8"/>
      <c r="B242" s="8"/>
      <c r="C242" s="8"/>
      <c r="D242" s="8"/>
      <c r="E242" s="8"/>
      <c r="F242" s="8"/>
      <c r="G242" s="8"/>
      <c r="H242" s="8"/>
      <c r="J242" s="24" t="str">
        <f>Transpor_bank!J243</f>
        <v>Cikalongwetan, 21 Agustus 2025</v>
      </c>
    </row>
    <row r="243" spans="1:14">
      <c r="A243" s="8"/>
      <c r="C243" s="24" t="s">
        <v>21</v>
      </c>
      <c r="D243" s="24"/>
      <c r="E243" s="24"/>
      <c r="F243" s="24"/>
      <c r="G243" s="8"/>
      <c r="H243" s="8"/>
      <c r="J243" s="24" t="str">
        <f>Transpor_bank!J244</f>
        <v>Dibayar Lunas Tgl. 21 Agustus 2025</v>
      </c>
    </row>
    <row r="244" spans="1:14">
      <c r="A244" s="8"/>
      <c r="C244" s="24" t="s">
        <v>22</v>
      </c>
      <c r="D244" s="24"/>
      <c r="E244" s="24"/>
      <c r="F244" s="24"/>
      <c r="G244" s="8"/>
      <c r="H244" s="8"/>
      <c r="J244" s="24" t="s">
        <v>23</v>
      </c>
    </row>
    <row r="245" spans="1:14">
      <c r="A245" s="8"/>
      <c r="C245" s="24"/>
      <c r="D245" s="24"/>
      <c r="E245" s="24"/>
      <c r="F245" s="24"/>
      <c r="G245" s="8"/>
      <c r="H245" s="8"/>
      <c r="J245" s="25"/>
      <c r="N245" s="26"/>
    </row>
    <row r="246" spans="1:14">
      <c r="A246" s="8"/>
      <c r="C246" s="24"/>
      <c r="D246" s="24"/>
      <c r="E246" s="24"/>
      <c r="F246" s="24"/>
      <c r="G246" s="8"/>
      <c r="H246" s="8"/>
      <c r="J246" s="25"/>
    </row>
    <row r="247" spans="1:14">
      <c r="A247" s="8"/>
      <c r="C247" s="24"/>
      <c r="D247" s="24"/>
      <c r="E247" s="24"/>
      <c r="F247" s="24"/>
      <c r="G247" s="8"/>
      <c r="H247" s="8"/>
      <c r="J247" s="25"/>
    </row>
    <row r="248" spans="1:14">
      <c r="A248" s="8"/>
      <c r="C248" s="24"/>
      <c r="D248" s="24"/>
      <c r="E248" s="24"/>
      <c r="F248" s="24"/>
      <c r="G248" s="8"/>
      <c r="H248" s="8"/>
      <c r="J248" s="25"/>
    </row>
    <row r="249" spans="1:14">
      <c r="A249" s="8"/>
      <c r="C249" s="24"/>
      <c r="D249" s="24"/>
      <c r="E249" s="24"/>
      <c r="F249" s="24"/>
      <c r="G249" s="8"/>
      <c r="H249" s="8"/>
      <c r="J249" s="25"/>
    </row>
    <row r="250" spans="1:14" ht="15" customHeight="1">
      <c r="A250" s="8"/>
      <c r="C250" s="27" t="str">
        <f>C216</f>
        <v>BADRUDDIN, S.Ag.</v>
      </c>
      <c r="D250" s="28"/>
      <c r="E250" s="28"/>
      <c r="F250" s="8"/>
      <c r="G250" s="8"/>
      <c r="J250" s="27" t="str">
        <f>J216</f>
        <v>DEDE GUNAWAN, S.Pd</v>
      </c>
    </row>
    <row r="251" spans="1:14" ht="13.5" customHeight="1">
      <c r="A251" s="8"/>
      <c r="C251" s="43" t="str">
        <f>C217</f>
        <v>NIP. 197405082014121002</v>
      </c>
      <c r="D251" s="25"/>
      <c r="E251" s="25"/>
      <c r="F251" s="8"/>
      <c r="G251" s="8"/>
      <c r="J251" s="43" t="str">
        <f>J217</f>
        <v>NIP. 198507172020121003</v>
      </c>
    </row>
    <row r="252" spans="1:14" ht="15" customHeight="1">
      <c r="A252" s="8"/>
      <c r="C252" s="28"/>
      <c r="D252" s="28"/>
      <c r="E252" s="28"/>
      <c r="F252" s="28"/>
      <c r="G252" s="8"/>
      <c r="H252" s="8"/>
      <c r="J252" s="29"/>
    </row>
    <row r="253" spans="1:14" ht="13.5" customHeight="1"/>
    <row r="254" spans="1:14" ht="13.5" customHeight="1"/>
    <row r="255" spans="1:14" ht="13.5" customHeight="1"/>
    <row r="256" spans="1:14" ht="13.5" customHeight="1"/>
    <row r="261" spans="1:11" ht="17.25" customHeight="1">
      <c r="A261" s="76" t="str">
        <f>$A$1</f>
        <v>DAFTAR BUKTI PENERIMA PERJALANAN DINAS KOORDINASI PENGELOLAAN DANA BOSP (Transaksi Non Tunai)</v>
      </c>
      <c r="B261" s="76"/>
      <c r="C261" s="76"/>
      <c r="D261" s="76"/>
      <c r="E261" s="76"/>
      <c r="F261" s="76"/>
      <c r="G261" s="76"/>
      <c r="H261" s="76"/>
      <c r="I261" s="76"/>
      <c r="J261" s="76"/>
      <c r="K261" s="76"/>
    </row>
    <row r="262" spans="1:11" ht="17.25" customHeight="1">
      <c r="A262" s="64" t="s">
        <v>78</v>
      </c>
      <c r="B262" s="64"/>
      <c r="C262" s="64"/>
      <c r="D262" s="64"/>
      <c r="E262" s="64"/>
      <c r="F262" s="64"/>
      <c r="G262" s="64"/>
      <c r="H262" s="64"/>
      <c r="I262" s="64"/>
      <c r="J262" s="64"/>
      <c r="K262" s="64"/>
    </row>
    <row r="263" spans="1:11" ht="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" customHeight="1">
      <c r="C264" s="4" t="s">
        <v>0</v>
      </c>
      <c r="D264" s="5" t="s">
        <v>56</v>
      </c>
      <c r="F264" s="6"/>
      <c r="G264" s="7"/>
      <c r="H264" s="7"/>
      <c r="I264" s="4" t="s">
        <v>26</v>
      </c>
      <c r="J264" s="4" t="str">
        <f>J230</f>
        <v>: 06 Pengembangan Standar Pengelolaan</v>
      </c>
    </row>
    <row r="265" spans="1:11" ht="15" customHeight="1">
      <c r="C265" s="4" t="s">
        <v>2</v>
      </c>
      <c r="D265" s="4" t="str">
        <f>D231</f>
        <v>: SD NEGERI LEBAKLEUNGSIR</v>
      </c>
      <c r="F265" s="6"/>
      <c r="H265" s="8"/>
      <c r="I265" s="4" t="s">
        <v>27</v>
      </c>
      <c r="J265" s="4" t="str">
        <f t="shared" ref="J265:J267" si="21">J231</f>
        <v>: Perjalanan Dinas koordinasi</v>
      </c>
    </row>
    <row r="266" spans="1:11" ht="15" customHeight="1">
      <c r="C266" s="4" t="s">
        <v>3</v>
      </c>
      <c r="D266" s="4" t="str">
        <f t="shared" ref="D266:D267" si="22">D232</f>
        <v>: Cikalongwetan</v>
      </c>
      <c r="F266" s="6"/>
      <c r="H266" s="8"/>
      <c r="I266" s="8" t="s">
        <v>28</v>
      </c>
      <c r="J266" s="4" t="str">
        <f t="shared" si="21"/>
        <v>: 5.1.02.04.01.0003</v>
      </c>
    </row>
    <row r="267" spans="1:11" ht="15" customHeight="1">
      <c r="C267" s="4" t="s">
        <v>5</v>
      </c>
      <c r="D267" s="4" t="str">
        <f t="shared" si="22"/>
        <v>: Bandung Barat</v>
      </c>
      <c r="F267" s="6"/>
      <c r="H267" s="8"/>
      <c r="I267" s="4" t="s">
        <v>7</v>
      </c>
      <c r="J267" s="4" t="str">
        <f t="shared" si="21"/>
        <v>: 5</v>
      </c>
    </row>
    <row r="268" spans="1:11" ht="15" customHeight="1">
      <c r="H268" s="8"/>
      <c r="I268" s="8"/>
      <c r="J268" s="8"/>
    </row>
    <row r="269" spans="1:11" ht="41.25" customHeight="1">
      <c r="A269" s="9" t="s">
        <v>8</v>
      </c>
      <c r="B269" s="65" t="s">
        <v>9</v>
      </c>
      <c r="C269" s="66"/>
      <c r="D269" s="9" t="s">
        <v>10</v>
      </c>
      <c r="E269" s="10" t="s">
        <v>11</v>
      </c>
      <c r="F269" s="9" t="s">
        <v>45</v>
      </c>
      <c r="G269" s="9" t="s">
        <v>24</v>
      </c>
      <c r="H269" s="10" t="s">
        <v>13</v>
      </c>
      <c r="I269" s="10" t="s">
        <v>14</v>
      </c>
      <c r="J269" s="69" t="s">
        <v>17</v>
      </c>
      <c r="K269" s="71"/>
    </row>
    <row r="270" spans="1:11" ht="22.5" customHeight="1">
      <c r="A270" s="11">
        <v>1</v>
      </c>
      <c r="B270" s="12" t="s">
        <v>38</v>
      </c>
      <c r="C270" s="13"/>
      <c r="D270" s="12" t="str">
        <f>IF(D236="","",D236)</f>
        <v>Guru/Bendahara</v>
      </c>
      <c r="E270" s="11" t="s">
        <v>101</v>
      </c>
      <c r="F270" s="11">
        <v>1</v>
      </c>
      <c r="G270" s="11" t="str">
        <f>IF(G236="","",G236)</f>
        <v>Perjalanan</v>
      </c>
      <c r="H270" s="44">
        <f>IF(H236="","",H236)</f>
        <v>150000</v>
      </c>
      <c r="I270" s="16">
        <f>IFERROR(SUM(F270*H270),"")</f>
        <v>150000</v>
      </c>
      <c r="J270" s="54">
        <v>1</v>
      </c>
      <c r="K270" s="56">
        <v>2</v>
      </c>
    </row>
    <row r="271" spans="1:11" ht="22.5" customHeight="1">
      <c r="A271" s="11">
        <v>2</v>
      </c>
      <c r="B271" s="12" t="str">
        <f t="shared" ref="B271:B273" si="23">IF(B237="","",B237)</f>
        <v/>
      </c>
      <c r="C271" s="13"/>
      <c r="D271" s="12" t="str">
        <f t="shared" ref="D271:H273" si="24">IF(D237="","",D237)</f>
        <v/>
      </c>
      <c r="E271" s="11" t="str">
        <f t="shared" si="24"/>
        <v/>
      </c>
      <c r="F271" s="11" t="str">
        <f t="shared" si="24"/>
        <v/>
      </c>
      <c r="G271" s="11" t="str">
        <f t="shared" si="24"/>
        <v/>
      </c>
      <c r="H271" s="44" t="str">
        <f t="shared" si="24"/>
        <v/>
      </c>
      <c r="I271" s="16" t="str">
        <f t="shared" ref="I271:I273" si="25">IFERROR(SUM(F271*H271),"")</f>
        <v/>
      </c>
      <c r="J271" s="55"/>
      <c r="K271" s="57"/>
    </row>
    <row r="272" spans="1:11" ht="22.5" hidden="1" customHeight="1">
      <c r="A272" s="11">
        <v>3</v>
      </c>
      <c r="B272" s="12" t="str">
        <f t="shared" si="23"/>
        <v/>
      </c>
      <c r="C272" s="13"/>
      <c r="D272" s="12" t="str">
        <f t="shared" si="24"/>
        <v/>
      </c>
      <c r="E272" s="11" t="str">
        <f t="shared" si="24"/>
        <v/>
      </c>
      <c r="F272" s="11" t="str">
        <f t="shared" si="24"/>
        <v/>
      </c>
      <c r="G272" s="11" t="str">
        <f t="shared" si="24"/>
        <v/>
      </c>
      <c r="H272" s="44" t="str">
        <f t="shared" si="24"/>
        <v/>
      </c>
      <c r="I272" s="16" t="str">
        <f t="shared" si="25"/>
        <v/>
      </c>
      <c r="J272" s="54">
        <v>3</v>
      </c>
      <c r="K272" s="56">
        <v>4</v>
      </c>
    </row>
    <row r="273" spans="1:14" ht="22.5" hidden="1" customHeight="1">
      <c r="A273" s="11">
        <v>4</v>
      </c>
      <c r="B273" s="12" t="str">
        <f t="shared" si="23"/>
        <v/>
      </c>
      <c r="C273" s="13"/>
      <c r="D273" s="12" t="str">
        <f t="shared" si="24"/>
        <v/>
      </c>
      <c r="E273" s="11" t="str">
        <f t="shared" si="24"/>
        <v/>
      </c>
      <c r="F273" s="11" t="str">
        <f t="shared" si="24"/>
        <v/>
      </c>
      <c r="G273" s="11" t="str">
        <f t="shared" si="24"/>
        <v/>
      </c>
      <c r="H273" s="44" t="str">
        <f t="shared" si="24"/>
        <v/>
      </c>
      <c r="I273" s="16" t="str">
        <f t="shared" si="25"/>
        <v/>
      </c>
      <c r="J273" s="55"/>
      <c r="K273" s="57"/>
    </row>
    <row r="274" spans="1:14" s="21" customFormat="1" ht="22.5" customHeight="1">
      <c r="A274" s="69" t="s">
        <v>20</v>
      </c>
      <c r="B274" s="70"/>
      <c r="C274" s="70"/>
      <c r="D274" s="70"/>
      <c r="E274" s="70"/>
      <c r="F274" s="70"/>
      <c r="G274" s="70"/>
      <c r="H274" s="71"/>
      <c r="I274" s="18">
        <f>SUM(I270:I273)</f>
        <v>150000</v>
      </c>
      <c r="J274" s="20"/>
      <c r="K274" s="20"/>
      <c r="N274" s="22"/>
    </row>
    <row r="275" spans="1:14" ht="23.25" customHeight="1">
      <c r="A275" s="7"/>
      <c r="B275" s="7"/>
      <c r="C275" s="7"/>
      <c r="D275" s="7"/>
      <c r="E275" s="7"/>
      <c r="F275" s="7"/>
      <c r="G275" s="7"/>
      <c r="H275" s="23"/>
      <c r="I275" s="23"/>
    </row>
    <row r="276" spans="1:14">
      <c r="A276" s="8"/>
      <c r="B276" s="8"/>
      <c r="C276" s="8"/>
      <c r="D276" s="8"/>
      <c r="E276" s="8"/>
      <c r="F276" s="8"/>
      <c r="G276" s="8"/>
      <c r="H276" s="8"/>
      <c r="J276" s="24" t="s">
        <v>102</v>
      </c>
    </row>
    <row r="277" spans="1:14">
      <c r="A277" s="8"/>
      <c r="C277" s="24" t="s">
        <v>21</v>
      </c>
      <c r="D277" s="24"/>
      <c r="E277" s="24"/>
      <c r="F277" s="24"/>
      <c r="G277" s="8"/>
      <c r="H277" s="8"/>
      <c r="J277" s="24" t="str">
        <f>Honor_penjaga!O308</f>
        <v>Dibayar Lunas Tgl. 03 September 2024</v>
      </c>
    </row>
    <row r="278" spans="1:14">
      <c r="A278" s="8"/>
      <c r="C278" s="24" t="s">
        <v>22</v>
      </c>
      <c r="D278" s="24"/>
      <c r="E278" s="24"/>
      <c r="F278" s="24"/>
      <c r="G278" s="8"/>
      <c r="H278" s="8"/>
      <c r="J278" s="24" t="s">
        <v>23</v>
      </c>
    </row>
    <row r="279" spans="1:14">
      <c r="A279" s="8"/>
      <c r="C279" s="24"/>
      <c r="D279" s="24"/>
      <c r="E279" s="24"/>
      <c r="F279" s="24"/>
      <c r="G279" s="8"/>
      <c r="H279" s="8"/>
      <c r="J279" s="25"/>
      <c r="N279" s="26"/>
    </row>
    <row r="280" spans="1:14">
      <c r="A280" s="8"/>
      <c r="C280" s="24"/>
      <c r="D280" s="24"/>
      <c r="E280" s="24"/>
      <c r="F280" s="24"/>
      <c r="G280" s="8"/>
      <c r="H280" s="8"/>
      <c r="J280" s="25"/>
    </row>
    <row r="281" spans="1:14">
      <c r="A281" s="8"/>
      <c r="C281" s="24"/>
      <c r="D281" s="24"/>
      <c r="E281" s="24"/>
      <c r="F281" s="24"/>
      <c r="G281" s="8"/>
      <c r="H281" s="8"/>
      <c r="J281" s="25"/>
    </row>
    <row r="282" spans="1:14">
      <c r="A282" s="8"/>
      <c r="C282" s="24"/>
      <c r="D282" s="24"/>
      <c r="E282" s="24"/>
      <c r="F282" s="24"/>
      <c r="G282" s="8"/>
      <c r="H282" s="8"/>
      <c r="J282" s="25"/>
    </row>
    <row r="283" spans="1:14">
      <c r="A283" s="8"/>
      <c r="C283" s="24"/>
      <c r="D283" s="24"/>
      <c r="E283" s="24"/>
      <c r="F283" s="24"/>
      <c r="G283" s="8"/>
      <c r="H283" s="8"/>
      <c r="J283" s="25"/>
    </row>
    <row r="284" spans="1:14" ht="15" customHeight="1">
      <c r="A284" s="8"/>
      <c r="C284" s="27" t="str">
        <f>C250</f>
        <v>BADRUDDIN, S.Ag.</v>
      </c>
      <c r="D284" s="28"/>
      <c r="E284" s="28"/>
      <c r="F284" s="8"/>
      <c r="G284" s="8"/>
      <c r="J284" s="27" t="str">
        <f>J250</f>
        <v>DEDE GUNAWAN, S.Pd</v>
      </c>
    </row>
    <row r="285" spans="1:14" ht="13.5" customHeight="1">
      <c r="A285" s="8"/>
      <c r="C285" s="43" t="str">
        <f>C251</f>
        <v>NIP. 197405082014121002</v>
      </c>
      <c r="D285" s="25"/>
      <c r="E285" s="25"/>
      <c r="F285" s="8"/>
      <c r="G285" s="8"/>
      <c r="J285" s="43" t="str">
        <f>J251</f>
        <v>NIP. 198507172020121003</v>
      </c>
    </row>
    <row r="286" spans="1:14" ht="15" customHeight="1">
      <c r="A286" s="8"/>
      <c r="C286" s="28"/>
      <c r="D286" s="28"/>
      <c r="E286" s="28"/>
      <c r="F286" s="28"/>
      <c r="G286" s="8"/>
      <c r="H286" s="8"/>
      <c r="J286" s="29"/>
    </row>
    <row r="287" spans="1:14" ht="13.5" customHeight="1"/>
    <row r="288" spans="1:14" ht="13.5" customHeight="1"/>
    <row r="289" spans="1:11" ht="13.5" customHeight="1"/>
    <row r="290" spans="1:11" ht="13.5" customHeight="1"/>
    <row r="295" spans="1:11" ht="17.25" customHeight="1">
      <c r="A295" s="76" t="str">
        <f>$A$1</f>
        <v>DAFTAR BUKTI PENERIMA PERJALANAN DINAS KOORDINASI PENGELOLAAN DANA BOSP (Transaksi Non Tunai)</v>
      </c>
      <c r="B295" s="76"/>
      <c r="C295" s="76"/>
      <c r="D295" s="76"/>
      <c r="E295" s="76"/>
      <c r="F295" s="76"/>
      <c r="G295" s="76"/>
      <c r="H295" s="76"/>
      <c r="I295" s="76"/>
      <c r="J295" s="76"/>
      <c r="K295" s="76"/>
    </row>
    <row r="296" spans="1:11" ht="17.25" customHeight="1">
      <c r="A296" s="64" t="s">
        <v>80</v>
      </c>
      <c r="B296" s="64"/>
      <c r="C296" s="64"/>
      <c r="D296" s="64"/>
      <c r="E296" s="64"/>
      <c r="F296" s="64"/>
      <c r="G296" s="64"/>
      <c r="H296" s="64"/>
      <c r="I296" s="64"/>
      <c r="J296" s="64"/>
      <c r="K296" s="64"/>
    </row>
    <row r="297" spans="1:11" ht="1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" customHeight="1">
      <c r="C298" s="4" t="s">
        <v>0</v>
      </c>
      <c r="D298" s="5" t="s">
        <v>56</v>
      </c>
      <c r="F298" s="6"/>
      <c r="G298" s="7"/>
      <c r="H298" s="7"/>
      <c r="I298" s="4" t="s">
        <v>26</v>
      </c>
      <c r="J298" s="4" t="str">
        <f>J264</f>
        <v>: 06 Pengembangan Standar Pengelolaan</v>
      </c>
    </row>
    <row r="299" spans="1:11" ht="15" customHeight="1">
      <c r="C299" s="4" t="s">
        <v>2</v>
      </c>
      <c r="D299" s="4" t="str">
        <f>D265</f>
        <v>: SD NEGERI LEBAKLEUNGSIR</v>
      </c>
      <c r="F299" s="6"/>
      <c r="H299" s="8"/>
      <c r="I299" s="4" t="s">
        <v>27</v>
      </c>
      <c r="J299" s="4" t="str">
        <f t="shared" ref="J299:J301" si="26">J265</f>
        <v>: Perjalanan Dinas koordinasi</v>
      </c>
    </row>
    <row r="300" spans="1:11" ht="15" customHeight="1">
      <c r="C300" s="4" t="s">
        <v>3</v>
      </c>
      <c r="D300" s="4" t="str">
        <f t="shared" ref="D300:D301" si="27">D266</f>
        <v>: Cikalongwetan</v>
      </c>
      <c r="F300" s="6"/>
      <c r="H300" s="8"/>
      <c r="I300" s="8" t="s">
        <v>28</v>
      </c>
      <c r="J300" s="4" t="str">
        <f t="shared" si="26"/>
        <v>: 5.1.02.04.01.0003</v>
      </c>
    </row>
    <row r="301" spans="1:11" ht="15" customHeight="1">
      <c r="C301" s="4" t="s">
        <v>5</v>
      </c>
      <c r="D301" s="4" t="str">
        <f t="shared" si="27"/>
        <v>: Bandung Barat</v>
      </c>
      <c r="F301" s="6"/>
      <c r="H301" s="8"/>
      <c r="I301" s="4" t="s">
        <v>7</v>
      </c>
      <c r="J301" s="4" t="str">
        <f t="shared" si="26"/>
        <v>: 5</v>
      </c>
    </row>
    <row r="302" spans="1:11" ht="15" customHeight="1">
      <c r="H302" s="8"/>
      <c r="I302" s="8"/>
      <c r="J302" s="8"/>
    </row>
    <row r="303" spans="1:11" ht="41.25" customHeight="1">
      <c r="A303" s="9" t="s">
        <v>8</v>
      </c>
      <c r="B303" s="65" t="s">
        <v>9</v>
      </c>
      <c r="C303" s="66"/>
      <c r="D303" s="9" t="s">
        <v>10</v>
      </c>
      <c r="E303" s="10" t="s">
        <v>11</v>
      </c>
      <c r="F303" s="9" t="s">
        <v>45</v>
      </c>
      <c r="G303" s="9" t="s">
        <v>24</v>
      </c>
      <c r="H303" s="10" t="s">
        <v>13</v>
      </c>
      <c r="I303" s="10" t="s">
        <v>14</v>
      </c>
      <c r="J303" s="69" t="s">
        <v>17</v>
      </c>
      <c r="K303" s="71"/>
    </row>
    <row r="304" spans="1:11" ht="22.5" customHeight="1">
      <c r="A304" s="11">
        <v>1</v>
      </c>
      <c r="B304" s="12" t="s">
        <v>38</v>
      </c>
      <c r="C304" s="13"/>
      <c r="D304" s="12" t="str">
        <f>IF(D270="","",D270)</f>
        <v>Guru/Bendahara</v>
      </c>
      <c r="E304" s="11" t="s">
        <v>101</v>
      </c>
      <c r="F304" s="11">
        <f>IF(F270="","",F270)</f>
        <v>1</v>
      </c>
      <c r="G304" s="11" t="str">
        <f>IF(G270="","",G270)</f>
        <v>Perjalanan</v>
      </c>
      <c r="H304" s="44"/>
      <c r="I304" s="16">
        <f>IFERROR(SUM(F304*H304),"")</f>
        <v>0</v>
      </c>
      <c r="J304" s="54">
        <v>1</v>
      </c>
      <c r="K304" s="56">
        <v>2</v>
      </c>
    </row>
    <row r="305" spans="1:14" ht="22.5" customHeight="1">
      <c r="A305" s="11">
        <v>2</v>
      </c>
      <c r="B305" s="12" t="str">
        <f t="shared" ref="B305:B307" si="28">IF(B271="","",B271)</f>
        <v/>
      </c>
      <c r="C305" s="13"/>
      <c r="D305" s="12" t="str">
        <f t="shared" ref="D305:H307" si="29">IF(D271="","",D271)</f>
        <v/>
      </c>
      <c r="E305" s="11" t="str">
        <f t="shared" si="29"/>
        <v/>
      </c>
      <c r="F305" s="11" t="str">
        <f t="shared" si="29"/>
        <v/>
      </c>
      <c r="G305" s="11" t="str">
        <f t="shared" si="29"/>
        <v/>
      </c>
      <c r="H305" s="44" t="str">
        <f t="shared" si="29"/>
        <v/>
      </c>
      <c r="I305" s="16" t="str">
        <f t="shared" ref="I305:I307" si="30">IFERROR(SUM(F305*H305),"")</f>
        <v/>
      </c>
      <c r="J305" s="55"/>
      <c r="K305" s="57"/>
    </row>
    <row r="306" spans="1:14" ht="22.5" hidden="1" customHeight="1">
      <c r="A306" s="11">
        <v>3</v>
      </c>
      <c r="B306" s="12" t="str">
        <f t="shared" si="28"/>
        <v/>
      </c>
      <c r="C306" s="13"/>
      <c r="D306" s="12" t="str">
        <f t="shared" si="29"/>
        <v/>
      </c>
      <c r="E306" s="11" t="str">
        <f t="shared" si="29"/>
        <v/>
      </c>
      <c r="F306" s="11" t="str">
        <f t="shared" si="29"/>
        <v/>
      </c>
      <c r="G306" s="11" t="str">
        <f t="shared" si="29"/>
        <v/>
      </c>
      <c r="H306" s="44" t="str">
        <f t="shared" si="29"/>
        <v/>
      </c>
      <c r="I306" s="16" t="str">
        <f t="shared" si="30"/>
        <v/>
      </c>
      <c r="J306" s="54">
        <v>3</v>
      </c>
      <c r="K306" s="56">
        <v>4</v>
      </c>
    </row>
    <row r="307" spans="1:14" ht="22.5" hidden="1" customHeight="1">
      <c r="A307" s="11">
        <v>4</v>
      </c>
      <c r="B307" s="12" t="str">
        <f t="shared" si="28"/>
        <v/>
      </c>
      <c r="C307" s="13"/>
      <c r="D307" s="12" t="str">
        <f t="shared" si="29"/>
        <v/>
      </c>
      <c r="E307" s="11" t="str">
        <f t="shared" si="29"/>
        <v/>
      </c>
      <c r="F307" s="11" t="str">
        <f t="shared" si="29"/>
        <v/>
      </c>
      <c r="G307" s="11" t="str">
        <f t="shared" si="29"/>
        <v/>
      </c>
      <c r="H307" s="44" t="str">
        <f t="shared" si="29"/>
        <v/>
      </c>
      <c r="I307" s="16" t="str">
        <f t="shared" si="30"/>
        <v/>
      </c>
      <c r="J307" s="55"/>
      <c r="K307" s="57"/>
    </row>
    <row r="308" spans="1:14" s="21" customFormat="1" ht="22.5" customHeight="1">
      <c r="A308" s="69" t="s">
        <v>20</v>
      </c>
      <c r="B308" s="70"/>
      <c r="C308" s="70"/>
      <c r="D308" s="70"/>
      <c r="E308" s="70"/>
      <c r="F308" s="70"/>
      <c r="G308" s="70"/>
      <c r="H308" s="71"/>
      <c r="I308" s="18">
        <f>SUM(I304:I307)</f>
        <v>0</v>
      </c>
      <c r="J308" s="20"/>
      <c r="K308" s="20"/>
      <c r="N308" s="22"/>
    </row>
    <row r="309" spans="1:14" ht="23.25" customHeight="1">
      <c r="A309" s="7"/>
      <c r="B309" s="7"/>
      <c r="C309" s="7"/>
      <c r="D309" s="7"/>
      <c r="E309" s="7"/>
      <c r="F309" s="7"/>
      <c r="G309" s="7"/>
      <c r="H309" s="23"/>
      <c r="I309" s="23"/>
    </row>
    <row r="310" spans="1:14">
      <c r="A310" s="8"/>
      <c r="B310" s="8"/>
      <c r="C310" s="8"/>
      <c r="D310" s="8"/>
      <c r="E310" s="8"/>
      <c r="F310" s="8"/>
      <c r="G310" s="8"/>
      <c r="H310" s="8"/>
      <c r="J310" s="24" t="s">
        <v>81</v>
      </c>
    </row>
    <row r="311" spans="1:14">
      <c r="A311" s="8"/>
      <c r="C311" s="24" t="s">
        <v>21</v>
      </c>
      <c r="D311" s="24"/>
      <c r="E311" s="24"/>
      <c r="F311" s="24"/>
      <c r="G311" s="8"/>
      <c r="H311" s="8"/>
      <c r="J311" s="24" t="str">
        <f>Honor_penjaga!O344</f>
        <v>Dibayar Lunas Tgl. 01 Oktober 2024</v>
      </c>
    </row>
    <row r="312" spans="1:14">
      <c r="A312" s="8"/>
      <c r="C312" s="24" t="s">
        <v>22</v>
      </c>
      <c r="D312" s="24"/>
      <c r="E312" s="24"/>
      <c r="F312" s="24"/>
      <c r="G312" s="8"/>
      <c r="H312" s="8"/>
      <c r="J312" s="24" t="s">
        <v>23</v>
      </c>
    </row>
    <row r="313" spans="1:14">
      <c r="A313" s="8"/>
      <c r="C313" s="24"/>
      <c r="D313" s="24"/>
      <c r="E313" s="24"/>
      <c r="F313" s="24"/>
      <c r="G313" s="8"/>
      <c r="H313" s="8"/>
      <c r="J313" s="25"/>
      <c r="N313" s="26"/>
    </row>
    <row r="314" spans="1:14">
      <c r="A314" s="8"/>
      <c r="C314" s="24"/>
      <c r="D314" s="24"/>
      <c r="E314" s="24"/>
      <c r="F314" s="24"/>
      <c r="G314" s="8"/>
      <c r="H314" s="8"/>
      <c r="J314" s="25"/>
    </row>
    <row r="315" spans="1:14">
      <c r="A315" s="8"/>
      <c r="C315" s="24"/>
      <c r="D315" s="24"/>
      <c r="E315" s="24"/>
      <c r="F315" s="24"/>
      <c r="G315" s="8"/>
      <c r="H315" s="8"/>
      <c r="J315" s="25"/>
    </row>
    <row r="316" spans="1:14">
      <c r="A316" s="8"/>
      <c r="C316" s="24"/>
      <c r="D316" s="24"/>
      <c r="E316" s="24"/>
      <c r="F316" s="24"/>
      <c r="G316" s="8"/>
      <c r="H316" s="8"/>
      <c r="J316" s="25"/>
    </row>
    <row r="317" spans="1:14">
      <c r="A317" s="8"/>
      <c r="C317" s="24"/>
      <c r="D317" s="24"/>
      <c r="E317" s="24"/>
      <c r="F317" s="24"/>
      <c r="G317" s="8"/>
      <c r="H317" s="8"/>
      <c r="J317" s="25"/>
    </row>
    <row r="318" spans="1:14" ht="15" customHeight="1">
      <c r="A318" s="8"/>
      <c r="C318" s="27" t="str">
        <f>C284</f>
        <v>BADRUDDIN, S.Ag.</v>
      </c>
      <c r="D318" s="28"/>
      <c r="E318" s="28"/>
      <c r="F318" s="8"/>
      <c r="G318" s="8"/>
      <c r="J318" s="27" t="str">
        <f>J284</f>
        <v>DEDE GUNAWAN, S.Pd</v>
      </c>
    </row>
    <row r="319" spans="1:14" ht="13.5" customHeight="1">
      <c r="A319" s="8"/>
      <c r="C319" s="43" t="str">
        <f>C285</f>
        <v>NIP. 197405082014121002</v>
      </c>
      <c r="D319" s="25"/>
      <c r="E319" s="25"/>
      <c r="F319" s="8"/>
      <c r="G319" s="8"/>
      <c r="J319" s="43" t="str">
        <f>J285</f>
        <v>NIP. 198507172020121003</v>
      </c>
    </row>
    <row r="320" spans="1:14" ht="15" customHeight="1">
      <c r="A320" s="8"/>
      <c r="C320" s="28"/>
      <c r="D320" s="28"/>
      <c r="E320" s="28"/>
      <c r="F320" s="28"/>
      <c r="G320" s="8"/>
      <c r="H320" s="8"/>
      <c r="J320" s="29"/>
    </row>
    <row r="321" spans="1:11" ht="13.5" customHeight="1"/>
    <row r="322" spans="1:11" ht="13.5" customHeight="1"/>
    <row r="323" spans="1:11" ht="13.5" customHeight="1"/>
    <row r="324" spans="1:11" ht="13.5" customHeight="1"/>
    <row r="329" spans="1:11" ht="17.25" customHeight="1">
      <c r="A329" s="76" t="str">
        <f>$A$1</f>
        <v>DAFTAR BUKTI PENERIMA PERJALANAN DINAS KOORDINASI PENGELOLAAN DANA BOSP (Transaksi Non Tunai)</v>
      </c>
      <c r="B329" s="76"/>
      <c r="C329" s="76"/>
      <c r="D329" s="76"/>
      <c r="E329" s="76"/>
      <c r="F329" s="76"/>
      <c r="G329" s="76"/>
      <c r="H329" s="76"/>
      <c r="I329" s="76"/>
      <c r="J329" s="76"/>
      <c r="K329" s="76"/>
    </row>
    <row r="330" spans="1:11" ht="17.25" customHeight="1">
      <c r="A330" s="64" t="s">
        <v>82</v>
      </c>
      <c r="B330" s="64"/>
      <c r="C330" s="64"/>
      <c r="D330" s="64"/>
      <c r="E330" s="64"/>
      <c r="F330" s="64"/>
      <c r="G330" s="64"/>
      <c r="H330" s="64"/>
      <c r="I330" s="64"/>
      <c r="J330" s="64"/>
      <c r="K330" s="64"/>
    </row>
    <row r="331" spans="1:11" ht="1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" customHeight="1">
      <c r="C332" s="4" t="s">
        <v>0</v>
      </c>
      <c r="D332" s="5" t="s">
        <v>56</v>
      </c>
      <c r="F332" s="6"/>
      <c r="G332" s="7"/>
      <c r="H332" s="7"/>
      <c r="I332" s="4" t="s">
        <v>26</v>
      </c>
      <c r="J332" s="4" t="str">
        <f>J298</f>
        <v>: 06 Pengembangan Standar Pengelolaan</v>
      </c>
    </row>
    <row r="333" spans="1:11" ht="15" customHeight="1">
      <c r="C333" s="4" t="s">
        <v>2</v>
      </c>
      <c r="D333" s="4" t="str">
        <f>D299</f>
        <v>: SD NEGERI LEBAKLEUNGSIR</v>
      </c>
      <c r="F333" s="6"/>
      <c r="H333" s="8"/>
      <c r="I333" s="4" t="s">
        <v>27</v>
      </c>
      <c r="J333" s="4" t="str">
        <f t="shared" ref="J333:J335" si="31">J299</f>
        <v>: Perjalanan Dinas koordinasi</v>
      </c>
    </row>
    <row r="334" spans="1:11" ht="15" customHeight="1">
      <c r="C334" s="4" t="s">
        <v>3</v>
      </c>
      <c r="D334" s="4" t="str">
        <f t="shared" ref="D334:D335" si="32">D300</f>
        <v>: Cikalongwetan</v>
      </c>
      <c r="F334" s="6"/>
      <c r="H334" s="8"/>
      <c r="I334" s="8" t="s">
        <v>28</v>
      </c>
      <c r="J334" s="4" t="str">
        <f t="shared" si="31"/>
        <v>: 5.1.02.04.01.0003</v>
      </c>
    </row>
    <row r="335" spans="1:11" ht="15" customHeight="1">
      <c r="C335" s="4" t="s">
        <v>5</v>
      </c>
      <c r="D335" s="4" t="str">
        <f t="shared" si="32"/>
        <v>: Bandung Barat</v>
      </c>
      <c r="F335" s="6"/>
      <c r="H335" s="8"/>
      <c r="I335" s="4" t="s">
        <v>7</v>
      </c>
      <c r="J335" s="4" t="str">
        <f t="shared" si="31"/>
        <v>: 5</v>
      </c>
    </row>
    <row r="336" spans="1:11" ht="15" customHeight="1">
      <c r="H336" s="8"/>
      <c r="I336" s="8"/>
      <c r="J336" s="8"/>
    </row>
    <row r="337" spans="1:14" ht="41.25" customHeight="1">
      <c r="A337" s="9" t="s">
        <v>8</v>
      </c>
      <c r="B337" s="65" t="s">
        <v>9</v>
      </c>
      <c r="C337" s="66"/>
      <c r="D337" s="9" t="s">
        <v>10</v>
      </c>
      <c r="E337" s="10" t="s">
        <v>11</v>
      </c>
      <c r="F337" s="9" t="s">
        <v>45</v>
      </c>
      <c r="G337" s="9" t="s">
        <v>24</v>
      </c>
      <c r="H337" s="10" t="s">
        <v>13</v>
      </c>
      <c r="I337" s="10" t="s">
        <v>14</v>
      </c>
      <c r="J337" s="69" t="s">
        <v>17</v>
      </c>
      <c r="K337" s="71"/>
    </row>
    <row r="338" spans="1:14" ht="22.5" customHeight="1">
      <c r="A338" s="11">
        <v>1</v>
      </c>
      <c r="B338" s="12" t="s">
        <v>38</v>
      </c>
      <c r="C338" s="13"/>
      <c r="D338" s="12" t="str">
        <f>IF(D304="","",D304)</f>
        <v>Guru/Bendahara</v>
      </c>
      <c r="E338" s="11" t="s">
        <v>101</v>
      </c>
      <c r="F338" s="11">
        <f>IF(F304="","",F304)</f>
        <v>1</v>
      </c>
      <c r="G338" s="11" t="str">
        <f>IF(G304="","",G304)</f>
        <v>Perjalanan</v>
      </c>
      <c r="H338" s="44" t="str">
        <f>IF(H304="","",H304)</f>
        <v/>
      </c>
      <c r="I338" s="16" t="str">
        <f>IFERROR(SUM(F338*H338),"")</f>
        <v/>
      </c>
      <c r="J338" s="54">
        <v>1</v>
      </c>
      <c r="K338" s="56">
        <v>2</v>
      </c>
    </row>
    <row r="339" spans="1:14" ht="22.5" customHeight="1">
      <c r="A339" s="11">
        <v>2</v>
      </c>
      <c r="B339" s="12" t="str">
        <f t="shared" ref="B339:B341" si="33">IF(B305="","",B305)</f>
        <v/>
      </c>
      <c r="C339" s="13"/>
      <c r="D339" s="12" t="str">
        <f t="shared" ref="D339:H341" si="34">IF(D305="","",D305)</f>
        <v/>
      </c>
      <c r="E339" s="11" t="str">
        <f t="shared" si="34"/>
        <v/>
      </c>
      <c r="F339" s="11" t="str">
        <f t="shared" si="34"/>
        <v/>
      </c>
      <c r="G339" s="11" t="str">
        <f t="shared" si="34"/>
        <v/>
      </c>
      <c r="H339" s="44" t="str">
        <f t="shared" si="34"/>
        <v/>
      </c>
      <c r="I339" s="16" t="str">
        <f t="shared" ref="I339:I341" si="35">IFERROR(SUM(F339*H339),"")</f>
        <v/>
      </c>
      <c r="J339" s="55"/>
      <c r="K339" s="57"/>
    </row>
    <row r="340" spans="1:14" ht="22.5" hidden="1" customHeight="1">
      <c r="A340" s="11">
        <v>3</v>
      </c>
      <c r="B340" s="12" t="str">
        <f t="shared" si="33"/>
        <v/>
      </c>
      <c r="C340" s="13"/>
      <c r="D340" s="12" t="str">
        <f t="shared" si="34"/>
        <v/>
      </c>
      <c r="E340" s="11" t="str">
        <f t="shared" si="34"/>
        <v/>
      </c>
      <c r="F340" s="11" t="str">
        <f t="shared" si="34"/>
        <v/>
      </c>
      <c r="G340" s="11" t="str">
        <f t="shared" si="34"/>
        <v/>
      </c>
      <c r="H340" s="44" t="str">
        <f t="shared" si="34"/>
        <v/>
      </c>
      <c r="I340" s="16" t="str">
        <f t="shared" si="35"/>
        <v/>
      </c>
      <c r="J340" s="54">
        <v>3</v>
      </c>
      <c r="K340" s="56">
        <v>4</v>
      </c>
    </row>
    <row r="341" spans="1:14" ht="22.5" hidden="1" customHeight="1">
      <c r="A341" s="11">
        <v>4</v>
      </c>
      <c r="B341" s="12" t="str">
        <f t="shared" si="33"/>
        <v/>
      </c>
      <c r="C341" s="13"/>
      <c r="D341" s="12" t="str">
        <f t="shared" si="34"/>
        <v/>
      </c>
      <c r="E341" s="11" t="str">
        <f t="shared" si="34"/>
        <v/>
      </c>
      <c r="F341" s="11" t="str">
        <f t="shared" si="34"/>
        <v/>
      </c>
      <c r="G341" s="11" t="str">
        <f t="shared" si="34"/>
        <v/>
      </c>
      <c r="H341" s="44" t="str">
        <f t="shared" si="34"/>
        <v/>
      </c>
      <c r="I341" s="16" t="str">
        <f t="shared" si="35"/>
        <v/>
      </c>
      <c r="J341" s="55"/>
      <c r="K341" s="57"/>
    </row>
    <row r="342" spans="1:14" s="21" customFormat="1" ht="22.5" customHeight="1">
      <c r="A342" s="69" t="s">
        <v>20</v>
      </c>
      <c r="B342" s="70"/>
      <c r="C342" s="70"/>
      <c r="D342" s="70"/>
      <c r="E342" s="70"/>
      <c r="F342" s="70"/>
      <c r="G342" s="70"/>
      <c r="H342" s="71"/>
      <c r="I342" s="18">
        <f>SUM(I338:I341)</f>
        <v>0</v>
      </c>
      <c r="J342" s="20"/>
      <c r="K342" s="20"/>
      <c r="N342" s="22"/>
    </row>
    <row r="343" spans="1:14" ht="23.25" customHeight="1">
      <c r="A343" s="7"/>
      <c r="B343" s="7"/>
      <c r="C343" s="7"/>
      <c r="D343" s="7"/>
      <c r="E343" s="7"/>
      <c r="F343" s="7"/>
      <c r="G343" s="7"/>
      <c r="H343" s="23"/>
      <c r="I343" s="23"/>
    </row>
    <row r="344" spans="1:14">
      <c r="A344" s="8"/>
      <c r="B344" s="8"/>
      <c r="C344" s="8"/>
      <c r="D344" s="8"/>
      <c r="E344" s="8"/>
      <c r="F344" s="8"/>
      <c r="G344" s="8"/>
      <c r="H344" s="8"/>
      <c r="J344" s="24" t="s">
        <v>103</v>
      </c>
    </row>
    <row r="345" spans="1:14">
      <c r="A345" s="8"/>
      <c r="C345" s="24" t="s">
        <v>21</v>
      </c>
      <c r="D345" s="24"/>
      <c r="E345" s="24"/>
      <c r="F345" s="24"/>
      <c r="G345" s="8"/>
      <c r="H345" s="8"/>
      <c r="J345" s="24" t="str">
        <f>Honor_penjaga!O380</f>
        <v>Dibayar Lunas Tgl. 05 November 2024</v>
      </c>
    </row>
    <row r="346" spans="1:14">
      <c r="A346" s="8"/>
      <c r="C346" s="24" t="s">
        <v>22</v>
      </c>
      <c r="D346" s="24"/>
      <c r="E346" s="24"/>
      <c r="F346" s="24"/>
      <c r="G346" s="8"/>
      <c r="H346" s="8"/>
      <c r="J346" s="24" t="s">
        <v>23</v>
      </c>
    </row>
    <row r="347" spans="1:14">
      <c r="A347" s="8"/>
      <c r="C347" s="24"/>
      <c r="D347" s="24"/>
      <c r="E347" s="24"/>
      <c r="F347" s="24"/>
      <c r="G347" s="8"/>
      <c r="H347" s="8"/>
      <c r="J347" s="25"/>
      <c r="N347" s="26"/>
    </row>
    <row r="348" spans="1:14">
      <c r="A348" s="8"/>
      <c r="C348" s="24"/>
      <c r="D348" s="24"/>
      <c r="E348" s="24"/>
      <c r="F348" s="24"/>
      <c r="G348" s="8"/>
      <c r="H348" s="8"/>
      <c r="J348" s="25"/>
    </row>
    <row r="349" spans="1:14">
      <c r="A349" s="8"/>
      <c r="C349" s="24"/>
      <c r="D349" s="24"/>
      <c r="E349" s="24"/>
      <c r="F349" s="24"/>
      <c r="G349" s="8"/>
      <c r="H349" s="8"/>
      <c r="J349" s="25"/>
    </row>
    <row r="350" spans="1:14">
      <c r="A350" s="8"/>
      <c r="C350" s="24"/>
      <c r="D350" s="24"/>
      <c r="E350" s="24"/>
      <c r="F350" s="24"/>
      <c r="G350" s="8"/>
      <c r="H350" s="8"/>
      <c r="J350" s="25"/>
    </row>
    <row r="351" spans="1:14">
      <c r="A351" s="8"/>
      <c r="C351" s="24"/>
      <c r="D351" s="24"/>
      <c r="E351" s="24"/>
      <c r="F351" s="24"/>
      <c r="G351" s="8"/>
      <c r="H351" s="8"/>
      <c r="J351" s="25"/>
    </row>
    <row r="352" spans="1:14" ht="15" customHeight="1">
      <c r="A352" s="8"/>
      <c r="C352" s="27" t="str">
        <f>C318</f>
        <v>BADRUDDIN, S.Ag.</v>
      </c>
      <c r="D352" s="28"/>
      <c r="E352" s="28"/>
      <c r="F352" s="8"/>
      <c r="G352" s="8"/>
      <c r="J352" s="27" t="str">
        <f>J318</f>
        <v>DEDE GUNAWAN, S.Pd</v>
      </c>
    </row>
    <row r="353" spans="1:11" ht="13.5" customHeight="1">
      <c r="A353" s="8"/>
      <c r="C353" s="43" t="str">
        <f>C319</f>
        <v>NIP. 197405082014121002</v>
      </c>
      <c r="D353" s="25"/>
      <c r="E353" s="25"/>
      <c r="F353" s="8"/>
      <c r="G353" s="8"/>
      <c r="J353" s="43" t="str">
        <f>J319</f>
        <v>NIP. 198507172020121003</v>
      </c>
    </row>
    <row r="354" spans="1:11" ht="15" customHeight="1">
      <c r="A354" s="8"/>
      <c r="C354" s="28"/>
      <c r="D354" s="28"/>
      <c r="E354" s="28"/>
      <c r="F354" s="28"/>
      <c r="G354" s="8"/>
      <c r="H354" s="8"/>
      <c r="J354" s="29"/>
    </row>
    <row r="355" spans="1:11" ht="13.5" customHeight="1"/>
    <row r="356" spans="1:11" ht="13.5" customHeight="1"/>
    <row r="357" spans="1:11" ht="13.5" customHeight="1"/>
    <row r="358" spans="1:11" ht="13.5" customHeight="1"/>
    <row r="363" spans="1:11" ht="17.25" customHeight="1">
      <c r="A363" s="76" t="str">
        <f>$A$1</f>
        <v>DAFTAR BUKTI PENERIMA PERJALANAN DINAS KOORDINASI PENGELOLAAN DANA BOSP (Transaksi Non Tunai)</v>
      </c>
      <c r="B363" s="76"/>
      <c r="C363" s="76"/>
      <c r="D363" s="76"/>
      <c r="E363" s="76"/>
      <c r="F363" s="76"/>
      <c r="G363" s="76"/>
      <c r="H363" s="76"/>
      <c r="I363" s="76"/>
      <c r="J363" s="76"/>
      <c r="K363" s="76"/>
    </row>
    <row r="364" spans="1:11" ht="17.25" customHeight="1">
      <c r="A364" s="64" t="s">
        <v>84</v>
      </c>
      <c r="B364" s="64"/>
      <c r="C364" s="64"/>
      <c r="D364" s="64"/>
      <c r="E364" s="64"/>
      <c r="F364" s="64"/>
      <c r="G364" s="64"/>
      <c r="H364" s="64"/>
      <c r="I364" s="64"/>
      <c r="J364" s="64"/>
      <c r="K364" s="64"/>
    </row>
    <row r="365" spans="1:11" ht="1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" customHeight="1">
      <c r="C366" s="4" t="s">
        <v>0</v>
      </c>
      <c r="D366" s="5" t="s">
        <v>56</v>
      </c>
      <c r="F366" s="6"/>
      <c r="G366" s="7"/>
      <c r="H366" s="7"/>
      <c r="I366" s="4" t="s">
        <v>26</v>
      </c>
      <c r="J366" s="4" t="str">
        <f>J332</f>
        <v>: 06 Pengembangan Standar Pengelolaan</v>
      </c>
    </row>
    <row r="367" spans="1:11" ht="15" customHeight="1">
      <c r="C367" s="4" t="s">
        <v>2</v>
      </c>
      <c r="D367" s="4" t="str">
        <f>D333</f>
        <v>: SD NEGERI LEBAKLEUNGSIR</v>
      </c>
      <c r="F367" s="6"/>
      <c r="H367" s="8"/>
      <c r="I367" s="4" t="s">
        <v>27</v>
      </c>
      <c r="J367" s="4" t="str">
        <f t="shared" ref="J367:J369" si="36">J333</f>
        <v>: Perjalanan Dinas koordinasi</v>
      </c>
    </row>
    <row r="368" spans="1:11" ht="15" customHeight="1">
      <c r="C368" s="4" t="s">
        <v>3</v>
      </c>
      <c r="D368" s="4" t="str">
        <f t="shared" ref="D368:D369" si="37">D334</f>
        <v>: Cikalongwetan</v>
      </c>
      <c r="F368" s="6"/>
      <c r="H368" s="8"/>
      <c r="I368" s="8" t="s">
        <v>28</v>
      </c>
      <c r="J368" s="4" t="str">
        <f t="shared" si="36"/>
        <v>: 5.1.02.04.01.0003</v>
      </c>
    </row>
    <row r="369" spans="1:14" ht="15" customHeight="1">
      <c r="C369" s="4" t="s">
        <v>5</v>
      </c>
      <c r="D369" s="4" t="str">
        <f t="shared" si="37"/>
        <v>: Bandung Barat</v>
      </c>
      <c r="F369" s="6"/>
      <c r="H369" s="8"/>
      <c r="I369" s="4" t="s">
        <v>7</v>
      </c>
      <c r="J369" s="4" t="str">
        <f t="shared" si="36"/>
        <v>: 5</v>
      </c>
    </row>
    <row r="370" spans="1:14" ht="15" customHeight="1">
      <c r="H370" s="8"/>
      <c r="I370" s="8"/>
      <c r="J370" s="8"/>
    </row>
    <row r="371" spans="1:14" ht="41.25" customHeight="1">
      <c r="A371" s="9" t="s">
        <v>8</v>
      </c>
      <c r="B371" s="65" t="s">
        <v>9</v>
      </c>
      <c r="C371" s="66"/>
      <c r="D371" s="9" t="s">
        <v>10</v>
      </c>
      <c r="E371" s="10" t="s">
        <v>11</v>
      </c>
      <c r="F371" s="9" t="s">
        <v>45</v>
      </c>
      <c r="G371" s="9" t="s">
        <v>24</v>
      </c>
      <c r="H371" s="10" t="s">
        <v>13</v>
      </c>
      <c r="I371" s="10" t="s">
        <v>14</v>
      </c>
      <c r="J371" s="69" t="s">
        <v>17</v>
      </c>
      <c r="K371" s="71"/>
    </row>
    <row r="372" spans="1:14" ht="22.5" customHeight="1">
      <c r="A372" s="11">
        <v>1</v>
      </c>
      <c r="B372" s="12" t="s">
        <v>38</v>
      </c>
      <c r="C372" s="13"/>
      <c r="D372" s="12" t="str">
        <f>IF(D338="","",D338)</f>
        <v>Guru/Bendahara</v>
      </c>
      <c r="E372" s="11" t="s">
        <v>101</v>
      </c>
      <c r="F372" s="11">
        <f>IF(F338="","",F338)</f>
        <v>1</v>
      </c>
      <c r="G372" s="11" t="str">
        <f>IF(G338="","",G338)</f>
        <v>Perjalanan</v>
      </c>
      <c r="H372" s="44">
        <v>100000</v>
      </c>
      <c r="I372" s="16">
        <f>IFERROR(SUM(F372*H372),"")</f>
        <v>100000</v>
      </c>
      <c r="J372" s="54">
        <v>1</v>
      </c>
      <c r="K372" s="56">
        <v>2</v>
      </c>
    </row>
    <row r="373" spans="1:14" ht="22.5" customHeight="1">
      <c r="A373" s="11">
        <v>2</v>
      </c>
      <c r="B373" s="12" t="str">
        <f t="shared" ref="B373:B375" si="38">IF(B339="","",B339)</f>
        <v/>
      </c>
      <c r="C373" s="13"/>
      <c r="D373" s="12" t="str">
        <f t="shared" ref="D373:H375" si="39">IF(D339="","",D339)</f>
        <v/>
      </c>
      <c r="E373" s="11" t="str">
        <f t="shared" si="39"/>
        <v/>
      </c>
      <c r="F373" s="11" t="str">
        <f t="shared" si="39"/>
        <v/>
      </c>
      <c r="G373" s="11" t="str">
        <f t="shared" si="39"/>
        <v/>
      </c>
      <c r="H373" s="44" t="str">
        <f t="shared" si="39"/>
        <v/>
      </c>
      <c r="I373" s="16" t="str">
        <f t="shared" ref="I373:I375" si="40">IFERROR(SUM(F373*H373),"")</f>
        <v/>
      </c>
      <c r="J373" s="55"/>
      <c r="K373" s="57"/>
    </row>
    <row r="374" spans="1:14" ht="22.5" hidden="1" customHeight="1">
      <c r="A374" s="11">
        <v>3</v>
      </c>
      <c r="B374" s="12" t="str">
        <f t="shared" si="38"/>
        <v/>
      </c>
      <c r="C374" s="13"/>
      <c r="D374" s="12" t="str">
        <f t="shared" si="39"/>
        <v/>
      </c>
      <c r="E374" s="11" t="str">
        <f t="shared" si="39"/>
        <v/>
      </c>
      <c r="F374" s="11" t="str">
        <f t="shared" si="39"/>
        <v/>
      </c>
      <c r="G374" s="11" t="str">
        <f t="shared" si="39"/>
        <v/>
      </c>
      <c r="H374" s="44" t="str">
        <f t="shared" si="39"/>
        <v/>
      </c>
      <c r="I374" s="16" t="str">
        <f t="shared" si="40"/>
        <v/>
      </c>
      <c r="J374" s="54">
        <v>3</v>
      </c>
      <c r="K374" s="56">
        <v>4</v>
      </c>
    </row>
    <row r="375" spans="1:14" ht="22.5" hidden="1" customHeight="1">
      <c r="A375" s="11">
        <v>4</v>
      </c>
      <c r="B375" s="12" t="str">
        <f t="shared" si="38"/>
        <v/>
      </c>
      <c r="C375" s="13"/>
      <c r="D375" s="12" t="str">
        <f t="shared" si="39"/>
        <v/>
      </c>
      <c r="E375" s="11" t="str">
        <f t="shared" si="39"/>
        <v/>
      </c>
      <c r="F375" s="11" t="str">
        <f t="shared" si="39"/>
        <v/>
      </c>
      <c r="G375" s="11" t="str">
        <f t="shared" si="39"/>
        <v/>
      </c>
      <c r="H375" s="44" t="str">
        <f t="shared" si="39"/>
        <v/>
      </c>
      <c r="I375" s="16" t="str">
        <f t="shared" si="40"/>
        <v/>
      </c>
      <c r="J375" s="55"/>
      <c r="K375" s="57"/>
    </row>
    <row r="376" spans="1:14" s="21" customFormat="1" ht="22.5" customHeight="1">
      <c r="A376" s="69" t="s">
        <v>20</v>
      </c>
      <c r="B376" s="70"/>
      <c r="C376" s="70"/>
      <c r="D376" s="70"/>
      <c r="E376" s="70"/>
      <c r="F376" s="70"/>
      <c r="G376" s="70"/>
      <c r="H376" s="71"/>
      <c r="I376" s="18">
        <f>SUM(I372:I375)</f>
        <v>100000</v>
      </c>
      <c r="J376" s="20"/>
      <c r="K376" s="20"/>
      <c r="N376" s="22"/>
    </row>
    <row r="377" spans="1:14" ht="23.25" customHeight="1">
      <c r="A377" s="7"/>
      <c r="B377" s="7"/>
      <c r="C377" s="7"/>
      <c r="D377" s="7"/>
      <c r="E377" s="7"/>
      <c r="F377" s="7"/>
      <c r="G377" s="7"/>
      <c r="H377" s="23"/>
      <c r="I377" s="23"/>
    </row>
    <row r="378" spans="1:14">
      <c r="A378" s="8"/>
      <c r="B378" s="8"/>
      <c r="C378" s="8"/>
      <c r="D378" s="8"/>
      <c r="E378" s="8"/>
      <c r="F378" s="8"/>
      <c r="G378" s="8"/>
      <c r="H378" s="8"/>
      <c r="J378" s="24" t="s">
        <v>104</v>
      </c>
    </row>
    <row r="379" spans="1:14">
      <c r="A379" s="8"/>
      <c r="C379" s="24" t="s">
        <v>21</v>
      </c>
      <c r="D379" s="24"/>
      <c r="E379" s="24"/>
      <c r="F379" s="24"/>
      <c r="G379" s="8"/>
      <c r="H379" s="8"/>
      <c r="J379" s="24" t="str">
        <f>Honor_penjaga!O416</f>
        <v>Dibayar Lunas Tgl. 04 Desember 2024</v>
      </c>
    </row>
    <row r="380" spans="1:14">
      <c r="A380" s="8"/>
      <c r="C380" s="24" t="s">
        <v>22</v>
      </c>
      <c r="D380" s="24"/>
      <c r="E380" s="24"/>
      <c r="F380" s="24"/>
      <c r="G380" s="8"/>
      <c r="H380" s="8"/>
      <c r="J380" s="24" t="s">
        <v>23</v>
      </c>
    </row>
    <row r="381" spans="1:14">
      <c r="A381" s="8"/>
      <c r="C381" s="24"/>
      <c r="D381" s="24"/>
      <c r="E381" s="24"/>
      <c r="F381" s="24"/>
      <c r="G381" s="8"/>
      <c r="H381" s="8"/>
      <c r="J381" s="25"/>
      <c r="N381" s="26"/>
    </row>
    <row r="382" spans="1:14">
      <c r="A382" s="8"/>
      <c r="C382" s="24"/>
      <c r="D382" s="24"/>
      <c r="E382" s="24"/>
      <c r="F382" s="24"/>
      <c r="G382" s="8"/>
      <c r="H382" s="8"/>
      <c r="J382" s="25"/>
    </row>
    <row r="383" spans="1:14">
      <c r="A383" s="8"/>
      <c r="C383" s="24"/>
      <c r="D383" s="24"/>
      <c r="E383" s="24"/>
      <c r="F383" s="24"/>
      <c r="G383" s="8"/>
      <c r="H383" s="8"/>
      <c r="J383" s="25"/>
    </row>
    <row r="384" spans="1:14">
      <c r="A384" s="8"/>
      <c r="C384" s="24"/>
      <c r="D384" s="24"/>
      <c r="E384" s="24"/>
      <c r="F384" s="24"/>
      <c r="G384" s="8"/>
      <c r="H384" s="8"/>
      <c r="J384" s="25"/>
    </row>
    <row r="385" spans="1:10">
      <c r="A385" s="8"/>
      <c r="C385" s="24"/>
      <c r="D385" s="24"/>
      <c r="E385" s="24"/>
      <c r="F385" s="24"/>
      <c r="G385" s="8"/>
      <c r="H385" s="8"/>
      <c r="J385" s="25"/>
    </row>
    <row r="386" spans="1:10" ht="15" customHeight="1">
      <c r="A386" s="8"/>
      <c r="C386" s="27" t="str">
        <f>C352</f>
        <v>BADRUDDIN, S.Ag.</v>
      </c>
      <c r="D386" s="28"/>
      <c r="E386" s="28"/>
      <c r="F386" s="8"/>
      <c r="G386" s="8"/>
      <c r="J386" s="27" t="str">
        <f>J352</f>
        <v>DEDE GUNAWAN, S.Pd</v>
      </c>
    </row>
    <row r="387" spans="1:10" ht="13.5" customHeight="1">
      <c r="A387" s="8"/>
      <c r="C387" s="43" t="str">
        <f>C353</f>
        <v>NIP. 197405082014121002</v>
      </c>
      <c r="D387" s="25"/>
      <c r="E387" s="25"/>
      <c r="F387" s="8"/>
      <c r="G387" s="8"/>
      <c r="J387" s="43" t="str">
        <f>J353</f>
        <v>NIP. 198507172020121003</v>
      </c>
    </row>
    <row r="388" spans="1:10" ht="15" customHeight="1">
      <c r="A388" s="8"/>
      <c r="C388" s="28"/>
      <c r="D388" s="28"/>
      <c r="E388" s="28"/>
      <c r="F388" s="28"/>
      <c r="G388" s="8"/>
      <c r="H388" s="8"/>
      <c r="J388" s="29"/>
    </row>
    <row r="389" spans="1:10" ht="13.5" customHeight="1"/>
    <row r="390" spans="1:10" ht="13.5" customHeight="1"/>
    <row r="391" spans="1:10" ht="13.5" customHeight="1"/>
    <row r="392" spans="1:10" ht="13.5" customHeight="1"/>
  </sheetData>
  <mergeCells count="108">
    <mergeCell ref="J12:J13"/>
    <mergeCell ref="K12:K13"/>
    <mergeCell ref="A14:H14"/>
    <mergeCell ref="A33:K33"/>
    <mergeCell ref="A34:K34"/>
    <mergeCell ref="B41:C41"/>
    <mergeCell ref="J41:K41"/>
    <mergeCell ref="A1:K1"/>
    <mergeCell ref="A2:K2"/>
    <mergeCell ref="B9:C9"/>
    <mergeCell ref="J9:K9"/>
    <mergeCell ref="J10:J11"/>
    <mergeCell ref="K10:K11"/>
    <mergeCell ref="A66:K66"/>
    <mergeCell ref="B73:C73"/>
    <mergeCell ref="J73:K73"/>
    <mergeCell ref="J74:J75"/>
    <mergeCell ref="K74:K75"/>
    <mergeCell ref="J76:J77"/>
    <mergeCell ref="K76:K77"/>
    <mergeCell ref="J42:J43"/>
    <mergeCell ref="K42:K43"/>
    <mergeCell ref="J44:J45"/>
    <mergeCell ref="K44:K45"/>
    <mergeCell ref="A46:H46"/>
    <mergeCell ref="A65:K65"/>
    <mergeCell ref="J108:J109"/>
    <mergeCell ref="K108:K109"/>
    <mergeCell ref="A110:H110"/>
    <mergeCell ref="A129:K129"/>
    <mergeCell ref="A130:K130"/>
    <mergeCell ref="B137:C137"/>
    <mergeCell ref="J137:K137"/>
    <mergeCell ref="A78:H78"/>
    <mergeCell ref="A97:K97"/>
    <mergeCell ref="A98:K98"/>
    <mergeCell ref="B105:C105"/>
    <mergeCell ref="J105:K105"/>
    <mergeCell ref="J106:J107"/>
    <mergeCell ref="K106:K107"/>
    <mergeCell ref="A162:K162"/>
    <mergeCell ref="B169:C169"/>
    <mergeCell ref="J169:K169"/>
    <mergeCell ref="J170:J171"/>
    <mergeCell ref="K170:K171"/>
    <mergeCell ref="J172:J173"/>
    <mergeCell ref="K172:K173"/>
    <mergeCell ref="J138:J139"/>
    <mergeCell ref="K138:K139"/>
    <mergeCell ref="J140:J141"/>
    <mergeCell ref="K140:K141"/>
    <mergeCell ref="A142:H142"/>
    <mergeCell ref="A161:K161"/>
    <mergeCell ref="J204:J205"/>
    <mergeCell ref="K204:K205"/>
    <mergeCell ref="A206:H206"/>
    <mergeCell ref="A227:K227"/>
    <mergeCell ref="A228:K228"/>
    <mergeCell ref="B235:C235"/>
    <mergeCell ref="J235:K235"/>
    <mergeCell ref="A174:H174"/>
    <mergeCell ref="A193:K193"/>
    <mergeCell ref="A194:K194"/>
    <mergeCell ref="B201:C201"/>
    <mergeCell ref="J201:K201"/>
    <mergeCell ref="J202:J203"/>
    <mergeCell ref="K202:K203"/>
    <mergeCell ref="A262:K262"/>
    <mergeCell ref="B269:C269"/>
    <mergeCell ref="J269:K269"/>
    <mergeCell ref="J270:J271"/>
    <mergeCell ref="K270:K271"/>
    <mergeCell ref="J272:J273"/>
    <mergeCell ref="K272:K273"/>
    <mergeCell ref="J236:J237"/>
    <mergeCell ref="K236:K237"/>
    <mergeCell ref="J238:J239"/>
    <mergeCell ref="K238:K239"/>
    <mergeCell ref="A240:H240"/>
    <mergeCell ref="A261:K261"/>
    <mergeCell ref="J306:J307"/>
    <mergeCell ref="K306:K307"/>
    <mergeCell ref="A308:H308"/>
    <mergeCell ref="A329:K329"/>
    <mergeCell ref="A330:K330"/>
    <mergeCell ref="B337:C337"/>
    <mergeCell ref="J337:K337"/>
    <mergeCell ref="A274:H274"/>
    <mergeCell ref="A295:K295"/>
    <mergeCell ref="A296:K296"/>
    <mergeCell ref="B303:C303"/>
    <mergeCell ref="J303:K303"/>
    <mergeCell ref="J304:J305"/>
    <mergeCell ref="K304:K305"/>
    <mergeCell ref="A376:H376"/>
    <mergeCell ref="A364:K364"/>
    <mergeCell ref="B371:C371"/>
    <mergeCell ref="J371:K371"/>
    <mergeCell ref="J372:J373"/>
    <mergeCell ref="K372:K373"/>
    <mergeCell ref="J374:J375"/>
    <mergeCell ref="K374:K375"/>
    <mergeCell ref="J338:J339"/>
    <mergeCell ref="K338:K339"/>
    <mergeCell ref="J340:J341"/>
    <mergeCell ref="K340:K341"/>
    <mergeCell ref="A342:H342"/>
    <mergeCell ref="A363:K363"/>
  </mergeCells>
  <pageMargins left="1.06" right="0.99" top="1.1599999999999999" bottom="0.53" header="0.31496062992125984" footer="0.31496062992125984"/>
  <pageSetup paperSize="14" fitToHeight="0" orientation="landscape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64FF-0482-4AE1-857C-65B8CBDC80C4}">
  <sheetPr>
    <tabColor rgb="FF00B0F0"/>
    <pageSetUpPr fitToPage="1"/>
  </sheetPr>
  <dimension ref="A1:N395"/>
  <sheetViews>
    <sheetView showGridLines="0" topLeftCell="A22" zoomScale="90" zoomScaleNormal="90" zoomScaleSheetLayoutView="80" workbookViewId="0">
      <selection activeCell="F22" sqref="F22"/>
    </sheetView>
  </sheetViews>
  <sheetFormatPr defaultRowHeight="11.5"/>
  <cols>
    <col min="1" max="1" width="4.453125" style="1" customWidth="1"/>
    <col min="2" max="2" width="7.453125" style="1" customWidth="1"/>
    <col min="3" max="3" width="21.81640625" style="1" customWidth="1"/>
    <col min="4" max="4" width="19.1796875" style="1" customWidth="1"/>
    <col min="5" max="5" width="7.81640625" style="1" customWidth="1"/>
    <col min="6" max="6" width="5.54296875" style="1" customWidth="1"/>
    <col min="7" max="7" width="14" style="1" customWidth="1"/>
    <col min="8" max="8" width="11.453125" style="1" customWidth="1"/>
    <col min="9" max="9" width="17" style="1" customWidth="1"/>
    <col min="10" max="10" width="15.453125" style="1" customWidth="1"/>
    <col min="11" max="11" width="16" style="1" customWidth="1"/>
    <col min="12" max="12" width="5.54296875" style="1" customWidth="1"/>
    <col min="13" max="13" width="15.26953125" style="1" customWidth="1"/>
    <col min="14" max="14" width="35.26953125" style="2" customWidth="1"/>
    <col min="15" max="15" width="10.26953125" style="1" customWidth="1"/>
    <col min="16" max="16" width="12.54296875" style="1" customWidth="1"/>
    <col min="17" max="17" width="16" style="1" customWidth="1"/>
    <col min="18" max="18" width="16.54296875" style="1" customWidth="1"/>
    <col min="19" max="19" width="21.81640625" style="1" customWidth="1"/>
    <col min="20" max="250" width="8.7265625" style="1"/>
    <col min="251" max="251" width="7.81640625" style="1" customWidth="1"/>
    <col min="252" max="252" width="8.54296875" style="1" customWidth="1"/>
    <col min="253" max="253" width="20.1796875" style="1" customWidth="1"/>
    <col min="254" max="254" width="16.453125" style="1" customWidth="1"/>
    <col min="255" max="255" width="22.26953125" style="1" customWidth="1"/>
    <col min="256" max="256" width="17.81640625" style="1" customWidth="1"/>
    <col min="257" max="257" width="22.81640625" style="1" customWidth="1"/>
    <col min="258" max="258" width="25.453125" style="1" customWidth="1"/>
    <col min="259" max="260" width="6.7265625" style="1" customWidth="1"/>
    <col min="261" max="261" width="26.453125" style="1" customWidth="1"/>
    <col min="262" max="262" width="18.54296875" style="1" customWidth="1"/>
    <col min="263" max="263" width="29.81640625" style="1" customWidth="1"/>
    <col min="264" max="264" width="23.54296875" style="1" customWidth="1"/>
    <col min="265" max="265" width="31.453125" style="1" customWidth="1"/>
    <col min="266" max="506" width="8.7265625" style="1"/>
    <col min="507" max="507" width="7.81640625" style="1" customWidth="1"/>
    <col min="508" max="508" width="8.54296875" style="1" customWidth="1"/>
    <col min="509" max="509" width="20.1796875" style="1" customWidth="1"/>
    <col min="510" max="510" width="16.453125" style="1" customWidth="1"/>
    <col min="511" max="511" width="22.26953125" style="1" customWidth="1"/>
    <col min="512" max="512" width="17.81640625" style="1" customWidth="1"/>
    <col min="513" max="513" width="22.81640625" style="1" customWidth="1"/>
    <col min="514" max="514" width="25.453125" style="1" customWidth="1"/>
    <col min="515" max="516" width="6.7265625" style="1" customWidth="1"/>
    <col min="517" max="517" width="26.453125" style="1" customWidth="1"/>
    <col min="518" max="518" width="18.54296875" style="1" customWidth="1"/>
    <col min="519" max="519" width="29.81640625" style="1" customWidth="1"/>
    <col min="520" max="520" width="23.54296875" style="1" customWidth="1"/>
    <col min="521" max="521" width="31.453125" style="1" customWidth="1"/>
    <col min="522" max="762" width="8.7265625" style="1"/>
    <col min="763" max="763" width="7.81640625" style="1" customWidth="1"/>
    <col min="764" max="764" width="8.54296875" style="1" customWidth="1"/>
    <col min="765" max="765" width="20.1796875" style="1" customWidth="1"/>
    <col min="766" max="766" width="16.453125" style="1" customWidth="1"/>
    <col min="767" max="767" width="22.26953125" style="1" customWidth="1"/>
    <col min="768" max="768" width="17.81640625" style="1" customWidth="1"/>
    <col min="769" max="769" width="22.81640625" style="1" customWidth="1"/>
    <col min="770" max="770" width="25.453125" style="1" customWidth="1"/>
    <col min="771" max="772" width="6.7265625" style="1" customWidth="1"/>
    <col min="773" max="773" width="26.453125" style="1" customWidth="1"/>
    <col min="774" max="774" width="18.54296875" style="1" customWidth="1"/>
    <col min="775" max="775" width="29.81640625" style="1" customWidth="1"/>
    <col min="776" max="776" width="23.54296875" style="1" customWidth="1"/>
    <col min="777" max="777" width="31.453125" style="1" customWidth="1"/>
    <col min="778" max="1018" width="8.7265625" style="1"/>
    <col min="1019" max="1019" width="7.81640625" style="1" customWidth="1"/>
    <col min="1020" max="1020" width="8.54296875" style="1" customWidth="1"/>
    <col min="1021" max="1021" width="20.1796875" style="1" customWidth="1"/>
    <col min="1022" max="1022" width="16.453125" style="1" customWidth="1"/>
    <col min="1023" max="1023" width="22.26953125" style="1" customWidth="1"/>
    <col min="1024" max="1024" width="17.81640625" style="1" customWidth="1"/>
    <col min="1025" max="1025" width="22.81640625" style="1" customWidth="1"/>
    <col min="1026" max="1026" width="25.453125" style="1" customWidth="1"/>
    <col min="1027" max="1028" width="6.7265625" style="1" customWidth="1"/>
    <col min="1029" max="1029" width="26.453125" style="1" customWidth="1"/>
    <col min="1030" max="1030" width="18.54296875" style="1" customWidth="1"/>
    <col min="1031" max="1031" width="29.81640625" style="1" customWidth="1"/>
    <col min="1032" max="1032" width="23.54296875" style="1" customWidth="1"/>
    <col min="1033" max="1033" width="31.453125" style="1" customWidth="1"/>
    <col min="1034" max="1274" width="8.7265625" style="1"/>
    <col min="1275" max="1275" width="7.81640625" style="1" customWidth="1"/>
    <col min="1276" max="1276" width="8.54296875" style="1" customWidth="1"/>
    <col min="1277" max="1277" width="20.1796875" style="1" customWidth="1"/>
    <col min="1278" max="1278" width="16.453125" style="1" customWidth="1"/>
    <col min="1279" max="1279" width="22.26953125" style="1" customWidth="1"/>
    <col min="1280" max="1280" width="17.81640625" style="1" customWidth="1"/>
    <col min="1281" max="1281" width="22.81640625" style="1" customWidth="1"/>
    <col min="1282" max="1282" width="25.453125" style="1" customWidth="1"/>
    <col min="1283" max="1284" width="6.7265625" style="1" customWidth="1"/>
    <col min="1285" max="1285" width="26.453125" style="1" customWidth="1"/>
    <col min="1286" max="1286" width="18.54296875" style="1" customWidth="1"/>
    <col min="1287" max="1287" width="29.81640625" style="1" customWidth="1"/>
    <col min="1288" max="1288" width="23.54296875" style="1" customWidth="1"/>
    <col min="1289" max="1289" width="31.453125" style="1" customWidth="1"/>
    <col min="1290" max="1530" width="8.7265625" style="1"/>
    <col min="1531" max="1531" width="7.81640625" style="1" customWidth="1"/>
    <col min="1532" max="1532" width="8.54296875" style="1" customWidth="1"/>
    <col min="1533" max="1533" width="20.1796875" style="1" customWidth="1"/>
    <col min="1534" max="1534" width="16.453125" style="1" customWidth="1"/>
    <col min="1535" max="1535" width="22.26953125" style="1" customWidth="1"/>
    <col min="1536" max="1536" width="17.81640625" style="1" customWidth="1"/>
    <col min="1537" max="1537" width="22.81640625" style="1" customWidth="1"/>
    <col min="1538" max="1538" width="25.453125" style="1" customWidth="1"/>
    <col min="1539" max="1540" width="6.7265625" style="1" customWidth="1"/>
    <col min="1541" max="1541" width="26.453125" style="1" customWidth="1"/>
    <col min="1542" max="1542" width="18.54296875" style="1" customWidth="1"/>
    <col min="1543" max="1543" width="29.81640625" style="1" customWidth="1"/>
    <col min="1544" max="1544" width="23.54296875" style="1" customWidth="1"/>
    <col min="1545" max="1545" width="31.453125" style="1" customWidth="1"/>
    <col min="1546" max="1786" width="8.7265625" style="1"/>
    <col min="1787" max="1787" width="7.81640625" style="1" customWidth="1"/>
    <col min="1788" max="1788" width="8.54296875" style="1" customWidth="1"/>
    <col min="1789" max="1789" width="20.1796875" style="1" customWidth="1"/>
    <col min="1790" max="1790" width="16.453125" style="1" customWidth="1"/>
    <col min="1791" max="1791" width="22.26953125" style="1" customWidth="1"/>
    <col min="1792" max="1792" width="17.81640625" style="1" customWidth="1"/>
    <col min="1793" max="1793" width="22.81640625" style="1" customWidth="1"/>
    <col min="1794" max="1794" width="25.453125" style="1" customWidth="1"/>
    <col min="1795" max="1796" width="6.7265625" style="1" customWidth="1"/>
    <col min="1797" max="1797" width="26.453125" style="1" customWidth="1"/>
    <col min="1798" max="1798" width="18.54296875" style="1" customWidth="1"/>
    <col min="1799" max="1799" width="29.81640625" style="1" customWidth="1"/>
    <col min="1800" max="1800" width="23.54296875" style="1" customWidth="1"/>
    <col min="1801" max="1801" width="31.453125" style="1" customWidth="1"/>
    <col min="1802" max="2042" width="8.7265625" style="1"/>
    <col min="2043" max="2043" width="7.81640625" style="1" customWidth="1"/>
    <col min="2044" max="2044" width="8.54296875" style="1" customWidth="1"/>
    <col min="2045" max="2045" width="20.1796875" style="1" customWidth="1"/>
    <col min="2046" max="2046" width="16.453125" style="1" customWidth="1"/>
    <col min="2047" max="2047" width="22.26953125" style="1" customWidth="1"/>
    <col min="2048" max="2048" width="17.81640625" style="1" customWidth="1"/>
    <col min="2049" max="2049" width="22.81640625" style="1" customWidth="1"/>
    <col min="2050" max="2050" width="25.453125" style="1" customWidth="1"/>
    <col min="2051" max="2052" width="6.7265625" style="1" customWidth="1"/>
    <col min="2053" max="2053" width="26.453125" style="1" customWidth="1"/>
    <col min="2054" max="2054" width="18.54296875" style="1" customWidth="1"/>
    <col min="2055" max="2055" width="29.81640625" style="1" customWidth="1"/>
    <col min="2056" max="2056" width="23.54296875" style="1" customWidth="1"/>
    <col min="2057" max="2057" width="31.453125" style="1" customWidth="1"/>
    <col min="2058" max="2298" width="8.7265625" style="1"/>
    <col min="2299" max="2299" width="7.81640625" style="1" customWidth="1"/>
    <col min="2300" max="2300" width="8.54296875" style="1" customWidth="1"/>
    <col min="2301" max="2301" width="20.1796875" style="1" customWidth="1"/>
    <col min="2302" max="2302" width="16.453125" style="1" customWidth="1"/>
    <col min="2303" max="2303" width="22.26953125" style="1" customWidth="1"/>
    <col min="2304" max="2304" width="17.81640625" style="1" customWidth="1"/>
    <col min="2305" max="2305" width="22.81640625" style="1" customWidth="1"/>
    <col min="2306" max="2306" width="25.453125" style="1" customWidth="1"/>
    <col min="2307" max="2308" width="6.7265625" style="1" customWidth="1"/>
    <col min="2309" max="2309" width="26.453125" style="1" customWidth="1"/>
    <col min="2310" max="2310" width="18.54296875" style="1" customWidth="1"/>
    <col min="2311" max="2311" width="29.81640625" style="1" customWidth="1"/>
    <col min="2312" max="2312" width="23.54296875" style="1" customWidth="1"/>
    <col min="2313" max="2313" width="31.453125" style="1" customWidth="1"/>
    <col min="2314" max="2554" width="8.7265625" style="1"/>
    <col min="2555" max="2555" width="7.81640625" style="1" customWidth="1"/>
    <col min="2556" max="2556" width="8.54296875" style="1" customWidth="1"/>
    <col min="2557" max="2557" width="20.1796875" style="1" customWidth="1"/>
    <col min="2558" max="2558" width="16.453125" style="1" customWidth="1"/>
    <col min="2559" max="2559" width="22.26953125" style="1" customWidth="1"/>
    <col min="2560" max="2560" width="17.81640625" style="1" customWidth="1"/>
    <col min="2561" max="2561" width="22.81640625" style="1" customWidth="1"/>
    <col min="2562" max="2562" width="25.453125" style="1" customWidth="1"/>
    <col min="2563" max="2564" width="6.7265625" style="1" customWidth="1"/>
    <col min="2565" max="2565" width="26.453125" style="1" customWidth="1"/>
    <col min="2566" max="2566" width="18.54296875" style="1" customWidth="1"/>
    <col min="2567" max="2567" width="29.81640625" style="1" customWidth="1"/>
    <col min="2568" max="2568" width="23.54296875" style="1" customWidth="1"/>
    <col min="2569" max="2569" width="31.453125" style="1" customWidth="1"/>
    <col min="2570" max="2810" width="8.7265625" style="1"/>
    <col min="2811" max="2811" width="7.81640625" style="1" customWidth="1"/>
    <col min="2812" max="2812" width="8.54296875" style="1" customWidth="1"/>
    <col min="2813" max="2813" width="20.1796875" style="1" customWidth="1"/>
    <col min="2814" max="2814" width="16.453125" style="1" customWidth="1"/>
    <col min="2815" max="2815" width="22.26953125" style="1" customWidth="1"/>
    <col min="2816" max="2816" width="17.81640625" style="1" customWidth="1"/>
    <col min="2817" max="2817" width="22.81640625" style="1" customWidth="1"/>
    <col min="2818" max="2818" width="25.453125" style="1" customWidth="1"/>
    <col min="2819" max="2820" width="6.7265625" style="1" customWidth="1"/>
    <col min="2821" max="2821" width="26.453125" style="1" customWidth="1"/>
    <col min="2822" max="2822" width="18.54296875" style="1" customWidth="1"/>
    <col min="2823" max="2823" width="29.81640625" style="1" customWidth="1"/>
    <col min="2824" max="2824" width="23.54296875" style="1" customWidth="1"/>
    <col min="2825" max="2825" width="31.453125" style="1" customWidth="1"/>
    <col min="2826" max="3066" width="8.7265625" style="1"/>
    <col min="3067" max="3067" width="7.81640625" style="1" customWidth="1"/>
    <col min="3068" max="3068" width="8.54296875" style="1" customWidth="1"/>
    <col min="3069" max="3069" width="20.1796875" style="1" customWidth="1"/>
    <col min="3070" max="3070" width="16.453125" style="1" customWidth="1"/>
    <col min="3071" max="3071" width="22.26953125" style="1" customWidth="1"/>
    <col min="3072" max="3072" width="17.81640625" style="1" customWidth="1"/>
    <col min="3073" max="3073" width="22.81640625" style="1" customWidth="1"/>
    <col min="3074" max="3074" width="25.453125" style="1" customWidth="1"/>
    <col min="3075" max="3076" width="6.7265625" style="1" customWidth="1"/>
    <col min="3077" max="3077" width="26.453125" style="1" customWidth="1"/>
    <col min="3078" max="3078" width="18.54296875" style="1" customWidth="1"/>
    <col min="3079" max="3079" width="29.81640625" style="1" customWidth="1"/>
    <col min="3080" max="3080" width="23.54296875" style="1" customWidth="1"/>
    <col min="3081" max="3081" width="31.453125" style="1" customWidth="1"/>
    <col min="3082" max="3322" width="8.7265625" style="1"/>
    <col min="3323" max="3323" width="7.81640625" style="1" customWidth="1"/>
    <col min="3324" max="3324" width="8.54296875" style="1" customWidth="1"/>
    <col min="3325" max="3325" width="20.1796875" style="1" customWidth="1"/>
    <col min="3326" max="3326" width="16.453125" style="1" customWidth="1"/>
    <col min="3327" max="3327" width="22.26953125" style="1" customWidth="1"/>
    <col min="3328" max="3328" width="17.81640625" style="1" customWidth="1"/>
    <col min="3329" max="3329" width="22.81640625" style="1" customWidth="1"/>
    <col min="3330" max="3330" width="25.453125" style="1" customWidth="1"/>
    <col min="3331" max="3332" width="6.7265625" style="1" customWidth="1"/>
    <col min="3333" max="3333" width="26.453125" style="1" customWidth="1"/>
    <col min="3334" max="3334" width="18.54296875" style="1" customWidth="1"/>
    <col min="3335" max="3335" width="29.81640625" style="1" customWidth="1"/>
    <col min="3336" max="3336" width="23.54296875" style="1" customWidth="1"/>
    <col min="3337" max="3337" width="31.453125" style="1" customWidth="1"/>
    <col min="3338" max="3578" width="8.7265625" style="1"/>
    <col min="3579" max="3579" width="7.81640625" style="1" customWidth="1"/>
    <col min="3580" max="3580" width="8.54296875" style="1" customWidth="1"/>
    <col min="3581" max="3581" width="20.1796875" style="1" customWidth="1"/>
    <col min="3582" max="3582" width="16.453125" style="1" customWidth="1"/>
    <col min="3583" max="3583" width="22.26953125" style="1" customWidth="1"/>
    <col min="3584" max="3584" width="17.81640625" style="1" customWidth="1"/>
    <col min="3585" max="3585" width="22.81640625" style="1" customWidth="1"/>
    <col min="3586" max="3586" width="25.453125" style="1" customWidth="1"/>
    <col min="3587" max="3588" width="6.7265625" style="1" customWidth="1"/>
    <col min="3589" max="3589" width="26.453125" style="1" customWidth="1"/>
    <col min="3590" max="3590" width="18.54296875" style="1" customWidth="1"/>
    <col min="3591" max="3591" width="29.81640625" style="1" customWidth="1"/>
    <col min="3592" max="3592" width="23.54296875" style="1" customWidth="1"/>
    <col min="3593" max="3593" width="31.453125" style="1" customWidth="1"/>
    <col min="3594" max="3834" width="8.7265625" style="1"/>
    <col min="3835" max="3835" width="7.81640625" style="1" customWidth="1"/>
    <col min="3836" max="3836" width="8.54296875" style="1" customWidth="1"/>
    <col min="3837" max="3837" width="20.1796875" style="1" customWidth="1"/>
    <col min="3838" max="3838" width="16.453125" style="1" customWidth="1"/>
    <col min="3839" max="3839" width="22.26953125" style="1" customWidth="1"/>
    <col min="3840" max="3840" width="17.81640625" style="1" customWidth="1"/>
    <col min="3841" max="3841" width="22.81640625" style="1" customWidth="1"/>
    <col min="3842" max="3842" width="25.453125" style="1" customWidth="1"/>
    <col min="3843" max="3844" width="6.7265625" style="1" customWidth="1"/>
    <col min="3845" max="3845" width="26.453125" style="1" customWidth="1"/>
    <col min="3846" max="3846" width="18.54296875" style="1" customWidth="1"/>
    <col min="3847" max="3847" width="29.81640625" style="1" customWidth="1"/>
    <col min="3848" max="3848" width="23.54296875" style="1" customWidth="1"/>
    <col min="3849" max="3849" width="31.453125" style="1" customWidth="1"/>
    <col min="3850" max="4090" width="8.7265625" style="1"/>
    <col min="4091" max="4091" width="7.81640625" style="1" customWidth="1"/>
    <col min="4092" max="4092" width="8.54296875" style="1" customWidth="1"/>
    <col min="4093" max="4093" width="20.1796875" style="1" customWidth="1"/>
    <col min="4094" max="4094" width="16.453125" style="1" customWidth="1"/>
    <col min="4095" max="4095" width="22.26953125" style="1" customWidth="1"/>
    <col min="4096" max="4096" width="17.81640625" style="1" customWidth="1"/>
    <col min="4097" max="4097" width="22.81640625" style="1" customWidth="1"/>
    <col min="4098" max="4098" width="25.453125" style="1" customWidth="1"/>
    <col min="4099" max="4100" width="6.7265625" style="1" customWidth="1"/>
    <col min="4101" max="4101" width="26.453125" style="1" customWidth="1"/>
    <col min="4102" max="4102" width="18.54296875" style="1" customWidth="1"/>
    <col min="4103" max="4103" width="29.81640625" style="1" customWidth="1"/>
    <col min="4104" max="4104" width="23.54296875" style="1" customWidth="1"/>
    <col min="4105" max="4105" width="31.453125" style="1" customWidth="1"/>
    <col min="4106" max="4346" width="8.7265625" style="1"/>
    <col min="4347" max="4347" width="7.81640625" style="1" customWidth="1"/>
    <col min="4348" max="4348" width="8.54296875" style="1" customWidth="1"/>
    <col min="4349" max="4349" width="20.1796875" style="1" customWidth="1"/>
    <col min="4350" max="4350" width="16.453125" style="1" customWidth="1"/>
    <col min="4351" max="4351" width="22.26953125" style="1" customWidth="1"/>
    <col min="4352" max="4352" width="17.81640625" style="1" customWidth="1"/>
    <col min="4353" max="4353" width="22.81640625" style="1" customWidth="1"/>
    <col min="4354" max="4354" width="25.453125" style="1" customWidth="1"/>
    <col min="4355" max="4356" width="6.7265625" style="1" customWidth="1"/>
    <col min="4357" max="4357" width="26.453125" style="1" customWidth="1"/>
    <col min="4358" max="4358" width="18.54296875" style="1" customWidth="1"/>
    <col min="4359" max="4359" width="29.81640625" style="1" customWidth="1"/>
    <col min="4360" max="4360" width="23.54296875" style="1" customWidth="1"/>
    <col min="4361" max="4361" width="31.453125" style="1" customWidth="1"/>
    <col min="4362" max="4602" width="8.7265625" style="1"/>
    <col min="4603" max="4603" width="7.81640625" style="1" customWidth="1"/>
    <col min="4604" max="4604" width="8.54296875" style="1" customWidth="1"/>
    <col min="4605" max="4605" width="20.1796875" style="1" customWidth="1"/>
    <col min="4606" max="4606" width="16.453125" style="1" customWidth="1"/>
    <col min="4607" max="4607" width="22.26953125" style="1" customWidth="1"/>
    <col min="4608" max="4608" width="17.81640625" style="1" customWidth="1"/>
    <col min="4609" max="4609" width="22.81640625" style="1" customWidth="1"/>
    <col min="4610" max="4610" width="25.453125" style="1" customWidth="1"/>
    <col min="4611" max="4612" width="6.7265625" style="1" customWidth="1"/>
    <col min="4613" max="4613" width="26.453125" style="1" customWidth="1"/>
    <col min="4614" max="4614" width="18.54296875" style="1" customWidth="1"/>
    <col min="4615" max="4615" width="29.81640625" style="1" customWidth="1"/>
    <col min="4616" max="4616" width="23.54296875" style="1" customWidth="1"/>
    <col min="4617" max="4617" width="31.453125" style="1" customWidth="1"/>
    <col min="4618" max="4858" width="8.7265625" style="1"/>
    <col min="4859" max="4859" width="7.81640625" style="1" customWidth="1"/>
    <col min="4860" max="4860" width="8.54296875" style="1" customWidth="1"/>
    <col min="4861" max="4861" width="20.1796875" style="1" customWidth="1"/>
    <col min="4862" max="4862" width="16.453125" style="1" customWidth="1"/>
    <col min="4863" max="4863" width="22.26953125" style="1" customWidth="1"/>
    <col min="4864" max="4864" width="17.81640625" style="1" customWidth="1"/>
    <col min="4865" max="4865" width="22.81640625" style="1" customWidth="1"/>
    <col min="4866" max="4866" width="25.453125" style="1" customWidth="1"/>
    <col min="4867" max="4868" width="6.7265625" style="1" customWidth="1"/>
    <col min="4869" max="4869" width="26.453125" style="1" customWidth="1"/>
    <col min="4870" max="4870" width="18.54296875" style="1" customWidth="1"/>
    <col min="4871" max="4871" width="29.81640625" style="1" customWidth="1"/>
    <col min="4872" max="4872" width="23.54296875" style="1" customWidth="1"/>
    <col min="4873" max="4873" width="31.453125" style="1" customWidth="1"/>
    <col min="4874" max="5114" width="8.7265625" style="1"/>
    <col min="5115" max="5115" width="7.81640625" style="1" customWidth="1"/>
    <col min="5116" max="5116" width="8.54296875" style="1" customWidth="1"/>
    <col min="5117" max="5117" width="20.1796875" style="1" customWidth="1"/>
    <col min="5118" max="5118" width="16.453125" style="1" customWidth="1"/>
    <col min="5119" max="5119" width="22.26953125" style="1" customWidth="1"/>
    <col min="5120" max="5120" width="17.81640625" style="1" customWidth="1"/>
    <col min="5121" max="5121" width="22.81640625" style="1" customWidth="1"/>
    <col min="5122" max="5122" width="25.453125" style="1" customWidth="1"/>
    <col min="5123" max="5124" width="6.7265625" style="1" customWidth="1"/>
    <col min="5125" max="5125" width="26.453125" style="1" customWidth="1"/>
    <col min="5126" max="5126" width="18.54296875" style="1" customWidth="1"/>
    <col min="5127" max="5127" width="29.81640625" style="1" customWidth="1"/>
    <col min="5128" max="5128" width="23.54296875" style="1" customWidth="1"/>
    <col min="5129" max="5129" width="31.453125" style="1" customWidth="1"/>
    <col min="5130" max="5370" width="8.7265625" style="1"/>
    <col min="5371" max="5371" width="7.81640625" style="1" customWidth="1"/>
    <col min="5372" max="5372" width="8.54296875" style="1" customWidth="1"/>
    <col min="5373" max="5373" width="20.1796875" style="1" customWidth="1"/>
    <col min="5374" max="5374" width="16.453125" style="1" customWidth="1"/>
    <col min="5375" max="5375" width="22.26953125" style="1" customWidth="1"/>
    <col min="5376" max="5376" width="17.81640625" style="1" customWidth="1"/>
    <col min="5377" max="5377" width="22.81640625" style="1" customWidth="1"/>
    <col min="5378" max="5378" width="25.453125" style="1" customWidth="1"/>
    <col min="5379" max="5380" width="6.7265625" style="1" customWidth="1"/>
    <col min="5381" max="5381" width="26.453125" style="1" customWidth="1"/>
    <col min="5382" max="5382" width="18.54296875" style="1" customWidth="1"/>
    <col min="5383" max="5383" width="29.81640625" style="1" customWidth="1"/>
    <col min="5384" max="5384" width="23.54296875" style="1" customWidth="1"/>
    <col min="5385" max="5385" width="31.453125" style="1" customWidth="1"/>
    <col min="5386" max="5626" width="8.7265625" style="1"/>
    <col min="5627" max="5627" width="7.81640625" style="1" customWidth="1"/>
    <col min="5628" max="5628" width="8.54296875" style="1" customWidth="1"/>
    <col min="5629" max="5629" width="20.1796875" style="1" customWidth="1"/>
    <col min="5630" max="5630" width="16.453125" style="1" customWidth="1"/>
    <col min="5631" max="5631" width="22.26953125" style="1" customWidth="1"/>
    <col min="5632" max="5632" width="17.81640625" style="1" customWidth="1"/>
    <col min="5633" max="5633" width="22.81640625" style="1" customWidth="1"/>
    <col min="5634" max="5634" width="25.453125" style="1" customWidth="1"/>
    <col min="5635" max="5636" width="6.7265625" style="1" customWidth="1"/>
    <col min="5637" max="5637" width="26.453125" style="1" customWidth="1"/>
    <col min="5638" max="5638" width="18.54296875" style="1" customWidth="1"/>
    <col min="5639" max="5639" width="29.81640625" style="1" customWidth="1"/>
    <col min="5640" max="5640" width="23.54296875" style="1" customWidth="1"/>
    <col min="5641" max="5641" width="31.453125" style="1" customWidth="1"/>
    <col min="5642" max="5882" width="8.7265625" style="1"/>
    <col min="5883" max="5883" width="7.81640625" style="1" customWidth="1"/>
    <col min="5884" max="5884" width="8.54296875" style="1" customWidth="1"/>
    <col min="5885" max="5885" width="20.1796875" style="1" customWidth="1"/>
    <col min="5886" max="5886" width="16.453125" style="1" customWidth="1"/>
    <col min="5887" max="5887" width="22.26953125" style="1" customWidth="1"/>
    <col min="5888" max="5888" width="17.81640625" style="1" customWidth="1"/>
    <col min="5889" max="5889" width="22.81640625" style="1" customWidth="1"/>
    <col min="5890" max="5890" width="25.453125" style="1" customWidth="1"/>
    <col min="5891" max="5892" width="6.7265625" style="1" customWidth="1"/>
    <col min="5893" max="5893" width="26.453125" style="1" customWidth="1"/>
    <col min="5894" max="5894" width="18.54296875" style="1" customWidth="1"/>
    <col min="5895" max="5895" width="29.81640625" style="1" customWidth="1"/>
    <col min="5896" max="5896" width="23.54296875" style="1" customWidth="1"/>
    <col min="5897" max="5897" width="31.453125" style="1" customWidth="1"/>
    <col min="5898" max="6138" width="8.7265625" style="1"/>
    <col min="6139" max="6139" width="7.81640625" style="1" customWidth="1"/>
    <col min="6140" max="6140" width="8.54296875" style="1" customWidth="1"/>
    <col min="6141" max="6141" width="20.1796875" style="1" customWidth="1"/>
    <col min="6142" max="6142" width="16.453125" style="1" customWidth="1"/>
    <col min="6143" max="6143" width="22.26953125" style="1" customWidth="1"/>
    <col min="6144" max="6144" width="17.81640625" style="1" customWidth="1"/>
    <col min="6145" max="6145" width="22.81640625" style="1" customWidth="1"/>
    <col min="6146" max="6146" width="25.453125" style="1" customWidth="1"/>
    <col min="6147" max="6148" width="6.7265625" style="1" customWidth="1"/>
    <col min="6149" max="6149" width="26.453125" style="1" customWidth="1"/>
    <col min="6150" max="6150" width="18.54296875" style="1" customWidth="1"/>
    <col min="6151" max="6151" width="29.81640625" style="1" customWidth="1"/>
    <col min="6152" max="6152" width="23.54296875" style="1" customWidth="1"/>
    <col min="6153" max="6153" width="31.453125" style="1" customWidth="1"/>
    <col min="6154" max="6394" width="8.7265625" style="1"/>
    <col min="6395" max="6395" width="7.81640625" style="1" customWidth="1"/>
    <col min="6396" max="6396" width="8.54296875" style="1" customWidth="1"/>
    <col min="6397" max="6397" width="20.1796875" style="1" customWidth="1"/>
    <col min="6398" max="6398" width="16.453125" style="1" customWidth="1"/>
    <col min="6399" max="6399" width="22.26953125" style="1" customWidth="1"/>
    <col min="6400" max="6400" width="17.81640625" style="1" customWidth="1"/>
    <col min="6401" max="6401" width="22.81640625" style="1" customWidth="1"/>
    <col min="6402" max="6402" width="25.453125" style="1" customWidth="1"/>
    <col min="6403" max="6404" width="6.7265625" style="1" customWidth="1"/>
    <col min="6405" max="6405" width="26.453125" style="1" customWidth="1"/>
    <col min="6406" max="6406" width="18.54296875" style="1" customWidth="1"/>
    <col min="6407" max="6407" width="29.81640625" style="1" customWidth="1"/>
    <col min="6408" max="6408" width="23.54296875" style="1" customWidth="1"/>
    <col min="6409" max="6409" width="31.453125" style="1" customWidth="1"/>
    <col min="6410" max="6650" width="8.7265625" style="1"/>
    <col min="6651" max="6651" width="7.81640625" style="1" customWidth="1"/>
    <col min="6652" max="6652" width="8.54296875" style="1" customWidth="1"/>
    <col min="6653" max="6653" width="20.1796875" style="1" customWidth="1"/>
    <col min="6654" max="6654" width="16.453125" style="1" customWidth="1"/>
    <col min="6655" max="6655" width="22.26953125" style="1" customWidth="1"/>
    <col min="6656" max="6656" width="17.81640625" style="1" customWidth="1"/>
    <col min="6657" max="6657" width="22.81640625" style="1" customWidth="1"/>
    <col min="6658" max="6658" width="25.453125" style="1" customWidth="1"/>
    <col min="6659" max="6660" width="6.7265625" style="1" customWidth="1"/>
    <col min="6661" max="6661" width="26.453125" style="1" customWidth="1"/>
    <col min="6662" max="6662" width="18.54296875" style="1" customWidth="1"/>
    <col min="6663" max="6663" width="29.81640625" style="1" customWidth="1"/>
    <col min="6664" max="6664" width="23.54296875" style="1" customWidth="1"/>
    <col min="6665" max="6665" width="31.453125" style="1" customWidth="1"/>
    <col min="6666" max="6906" width="8.7265625" style="1"/>
    <col min="6907" max="6907" width="7.81640625" style="1" customWidth="1"/>
    <col min="6908" max="6908" width="8.54296875" style="1" customWidth="1"/>
    <col min="6909" max="6909" width="20.1796875" style="1" customWidth="1"/>
    <col min="6910" max="6910" width="16.453125" style="1" customWidth="1"/>
    <col min="6911" max="6911" width="22.26953125" style="1" customWidth="1"/>
    <col min="6912" max="6912" width="17.81640625" style="1" customWidth="1"/>
    <col min="6913" max="6913" width="22.81640625" style="1" customWidth="1"/>
    <col min="6914" max="6914" width="25.453125" style="1" customWidth="1"/>
    <col min="6915" max="6916" width="6.7265625" style="1" customWidth="1"/>
    <col min="6917" max="6917" width="26.453125" style="1" customWidth="1"/>
    <col min="6918" max="6918" width="18.54296875" style="1" customWidth="1"/>
    <col min="6919" max="6919" width="29.81640625" style="1" customWidth="1"/>
    <col min="6920" max="6920" width="23.54296875" style="1" customWidth="1"/>
    <col min="6921" max="6921" width="31.453125" style="1" customWidth="1"/>
    <col min="6922" max="7162" width="8.7265625" style="1"/>
    <col min="7163" max="7163" width="7.81640625" style="1" customWidth="1"/>
    <col min="7164" max="7164" width="8.54296875" style="1" customWidth="1"/>
    <col min="7165" max="7165" width="20.1796875" style="1" customWidth="1"/>
    <col min="7166" max="7166" width="16.453125" style="1" customWidth="1"/>
    <col min="7167" max="7167" width="22.26953125" style="1" customWidth="1"/>
    <col min="7168" max="7168" width="17.81640625" style="1" customWidth="1"/>
    <col min="7169" max="7169" width="22.81640625" style="1" customWidth="1"/>
    <col min="7170" max="7170" width="25.453125" style="1" customWidth="1"/>
    <col min="7171" max="7172" width="6.7265625" style="1" customWidth="1"/>
    <col min="7173" max="7173" width="26.453125" style="1" customWidth="1"/>
    <col min="7174" max="7174" width="18.54296875" style="1" customWidth="1"/>
    <col min="7175" max="7175" width="29.81640625" style="1" customWidth="1"/>
    <col min="7176" max="7176" width="23.54296875" style="1" customWidth="1"/>
    <col min="7177" max="7177" width="31.453125" style="1" customWidth="1"/>
    <col min="7178" max="7418" width="8.7265625" style="1"/>
    <col min="7419" max="7419" width="7.81640625" style="1" customWidth="1"/>
    <col min="7420" max="7420" width="8.54296875" style="1" customWidth="1"/>
    <col min="7421" max="7421" width="20.1796875" style="1" customWidth="1"/>
    <col min="7422" max="7422" width="16.453125" style="1" customWidth="1"/>
    <col min="7423" max="7423" width="22.26953125" style="1" customWidth="1"/>
    <col min="7424" max="7424" width="17.81640625" style="1" customWidth="1"/>
    <col min="7425" max="7425" width="22.81640625" style="1" customWidth="1"/>
    <col min="7426" max="7426" width="25.453125" style="1" customWidth="1"/>
    <col min="7427" max="7428" width="6.7265625" style="1" customWidth="1"/>
    <col min="7429" max="7429" width="26.453125" style="1" customWidth="1"/>
    <col min="7430" max="7430" width="18.54296875" style="1" customWidth="1"/>
    <col min="7431" max="7431" width="29.81640625" style="1" customWidth="1"/>
    <col min="7432" max="7432" width="23.54296875" style="1" customWidth="1"/>
    <col min="7433" max="7433" width="31.453125" style="1" customWidth="1"/>
    <col min="7434" max="7674" width="8.7265625" style="1"/>
    <col min="7675" max="7675" width="7.81640625" style="1" customWidth="1"/>
    <col min="7676" max="7676" width="8.54296875" style="1" customWidth="1"/>
    <col min="7677" max="7677" width="20.1796875" style="1" customWidth="1"/>
    <col min="7678" max="7678" width="16.453125" style="1" customWidth="1"/>
    <col min="7679" max="7679" width="22.26953125" style="1" customWidth="1"/>
    <col min="7680" max="7680" width="17.81640625" style="1" customWidth="1"/>
    <col min="7681" max="7681" width="22.81640625" style="1" customWidth="1"/>
    <col min="7682" max="7682" width="25.453125" style="1" customWidth="1"/>
    <col min="7683" max="7684" width="6.7265625" style="1" customWidth="1"/>
    <col min="7685" max="7685" width="26.453125" style="1" customWidth="1"/>
    <col min="7686" max="7686" width="18.54296875" style="1" customWidth="1"/>
    <col min="7687" max="7687" width="29.81640625" style="1" customWidth="1"/>
    <col min="7688" max="7688" width="23.54296875" style="1" customWidth="1"/>
    <col min="7689" max="7689" width="31.453125" style="1" customWidth="1"/>
    <col min="7690" max="7930" width="8.7265625" style="1"/>
    <col min="7931" max="7931" width="7.81640625" style="1" customWidth="1"/>
    <col min="7932" max="7932" width="8.54296875" style="1" customWidth="1"/>
    <col min="7933" max="7933" width="20.1796875" style="1" customWidth="1"/>
    <col min="7934" max="7934" width="16.453125" style="1" customWidth="1"/>
    <col min="7935" max="7935" width="22.26953125" style="1" customWidth="1"/>
    <col min="7936" max="7936" width="17.81640625" style="1" customWidth="1"/>
    <col min="7937" max="7937" width="22.81640625" style="1" customWidth="1"/>
    <col min="7938" max="7938" width="25.453125" style="1" customWidth="1"/>
    <col min="7939" max="7940" width="6.7265625" style="1" customWidth="1"/>
    <col min="7941" max="7941" width="26.453125" style="1" customWidth="1"/>
    <col min="7942" max="7942" width="18.54296875" style="1" customWidth="1"/>
    <col min="7943" max="7943" width="29.81640625" style="1" customWidth="1"/>
    <col min="7944" max="7944" width="23.54296875" style="1" customWidth="1"/>
    <col min="7945" max="7945" width="31.453125" style="1" customWidth="1"/>
    <col min="7946" max="8186" width="8.7265625" style="1"/>
    <col min="8187" max="8187" width="7.81640625" style="1" customWidth="1"/>
    <col min="8188" max="8188" width="8.54296875" style="1" customWidth="1"/>
    <col min="8189" max="8189" width="20.1796875" style="1" customWidth="1"/>
    <col min="8190" max="8190" width="16.453125" style="1" customWidth="1"/>
    <col min="8191" max="8191" width="22.26953125" style="1" customWidth="1"/>
    <col min="8192" max="8192" width="17.81640625" style="1" customWidth="1"/>
    <col min="8193" max="8193" width="22.81640625" style="1" customWidth="1"/>
    <col min="8194" max="8194" width="25.453125" style="1" customWidth="1"/>
    <col min="8195" max="8196" width="6.7265625" style="1" customWidth="1"/>
    <col min="8197" max="8197" width="26.453125" style="1" customWidth="1"/>
    <col min="8198" max="8198" width="18.54296875" style="1" customWidth="1"/>
    <col min="8199" max="8199" width="29.81640625" style="1" customWidth="1"/>
    <col min="8200" max="8200" width="23.54296875" style="1" customWidth="1"/>
    <col min="8201" max="8201" width="31.453125" style="1" customWidth="1"/>
    <col min="8202" max="8442" width="8.7265625" style="1"/>
    <col min="8443" max="8443" width="7.81640625" style="1" customWidth="1"/>
    <col min="8444" max="8444" width="8.54296875" style="1" customWidth="1"/>
    <col min="8445" max="8445" width="20.1796875" style="1" customWidth="1"/>
    <col min="8446" max="8446" width="16.453125" style="1" customWidth="1"/>
    <col min="8447" max="8447" width="22.26953125" style="1" customWidth="1"/>
    <col min="8448" max="8448" width="17.81640625" style="1" customWidth="1"/>
    <col min="8449" max="8449" width="22.81640625" style="1" customWidth="1"/>
    <col min="8450" max="8450" width="25.453125" style="1" customWidth="1"/>
    <col min="8451" max="8452" width="6.7265625" style="1" customWidth="1"/>
    <col min="8453" max="8453" width="26.453125" style="1" customWidth="1"/>
    <col min="8454" max="8454" width="18.54296875" style="1" customWidth="1"/>
    <col min="8455" max="8455" width="29.81640625" style="1" customWidth="1"/>
    <col min="8456" max="8456" width="23.54296875" style="1" customWidth="1"/>
    <col min="8457" max="8457" width="31.453125" style="1" customWidth="1"/>
    <col min="8458" max="8698" width="8.7265625" style="1"/>
    <col min="8699" max="8699" width="7.81640625" style="1" customWidth="1"/>
    <col min="8700" max="8700" width="8.54296875" style="1" customWidth="1"/>
    <col min="8701" max="8701" width="20.1796875" style="1" customWidth="1"/>
    <col min="8702" max="8702" width="16.453125" style="1" customWidth="1"/>
    <col min="8703" max="8703" width="22.26953125" style="1" customWidth="1"/>
    <col min="8704" max="8704" width="17.81640625" style="1" customWidth="1"/>
    <col min="8705" max="8705" width="22.81640625" style="1" customWidth="1"/>
    <col min="8706" max="8706" width="25.453125" style="1" customWidth="1"/>
    <col min="8707" max="8708" width="6.7265625" style="1" customWidth="1"/>
    <col min="8709" max="8709" width="26.453125" style="1" customWidth="1"/>
    <col min="8710" max="8710" width="18.54296875" style="1" customWidth="1"/>
    <col min="8711" max="8711" width="29.81640625" style="1" customWidth="1"/>
    <col min="8712" max="8712" width="23.54296875" style="1" customWidth="1"/>
    <col min="8713" max="8713" width="31.453125" style="1" customWidth="1"/>
    <col min="8714" max="8954" width="8.7265625" style="1"/>
    <col min="8955" max="8955" width="7.81640625" style="1" customWidth="1"/>
    <col min="8956" max="8956" width="8.54296875" style="1" customWidth="1"/>
    <col min="8957" max="8957" width="20.1796875" style="1" customWidth="1"/>
    <col min="8958" max="8958" width="16.453125" style="1" customWidth="1"/>
    <col min="8959" max="8959" width="22.26953125" style="1" customWidth="1"/>
    <col min="8960" max="8960" width="17.81640625" style="1" customWidth="1"/>
    <col min="8961" max="8961" width="22.81640625" style="1" customWidth="1"/>
    <col min="8962" max="8962" width="25.453125" style="1" customWidth="1"/>
    <col min="8963" max="8964" width="6.7265625" style="1" customWidth="1"/>
    <col min="8965" max="8965" width="26.453125" style="1" customWidth="1"/>
    <col min="8966" max="8966" width="18.54296875" style="1" customWidth="1"/>
    <col min="8967" max="8967" width="29.81640625" style="1" customWidth="1"/>
    <col min="8968" max="8968" width="23.54296875" style="1" customWidth="1"/>
    <col min="8969" max="8969" width="31.453125" style="1" customWidth="1"/>
    <col min="8970" max="9210" width="8.7265625" style="1"/>
    <col min="9211" max="9211" width="7.81640625" style="1" customWidth="1"/>
    <col min="9212" max="9212" width="8.54296875" style="1" customWidth="1"/>
    <col min="9213" max="9213" width="20.1796875" style="1" customWidth="1"/>
    <col min="9214" max="9214" width="16.453125" style="1" customWidth="1"/>
    <col min="9215" max="9215" width="22.26953125" style="1" customWidth="1"/>
    <col min="9216" max="9216" width="17.81640625" style="1" customWidth="1"/>
    <col min="9217" max="9217" width="22.81640625" style="1" customWidth="1"/>
    <col min="9218" max="9218" width="25.453125" style="1" customWidth="1"/>
    <col min="9219" max="9220" width="6.7265625" style="1" customWidth="1"/>
    <col min="9221" max="9221" width="26.453125" style="1" customWidth="1"/>
    <col min="9222" max="9222" width="18.54296875" style="1" customWidth="1"/>
    <col min="9223" max="9223" width="29.81640625" style="1" customWidth="1"/>
    <col min="9224" max="9224" width="23.54296875" style="1" customWidth="1"/>
    <col min="9225" max="9225" width="31.453125" style="1" customWidth="1"/>
    <col min="9226" max="9466" width="8.7265625" style="1"/>
    <col min="9467" max="9467" width="7.81640625" style="1" customWidth="1"/>
    <col min="9468" max="9468" width="8.54296875" style="1" customWidth="1"/>
    <col min="9469" max="9469" width="20.1796875" style="1" customWidth="1"/>
    <col min="9470" max="9470" width="16.453125" style="1" customWidth="1"/>
    <col min="9471" max="9471" width="22.26953125" style="1" customWidth="1"/>
    <col min="9472" max="9472" width="17.81640625" style="1" customWidth="1"/>
    <col min="9473" max="9473" width="22.81640625" style="1" customWidth="1"/>
    <col min="9474" max="9474" width="25.453125" style="1" customWidth="1"/>
    <col min="9475" max="9476" width="6.7265625" style="1" customWidth="1"/>
    <col min="9477" max="9477" width="26.453125" style="1" customWidth="1"/>
    <col min="9478" max="9478" width="18.54296875" style="1" customWidth="1"/>
    <col min="9479" max="9479" width="29.81640625" style="1" customWidth="1"/>
    <col min="9480" max="9480" width="23.54296875" style="1" customWidth="1"/>
    <col min="9481" max="9481" width="31.453125" style="1" customWidth="1"/>
    <col min="9482" max="9722" width="8.7265625" style="1"/>
    <col min="9723" max="9723" width="7.81640625" style="1" customWidth="1"/>
    <col min="9724" max="9724" width="8.54296875" style="1" customWidth="1"/>
    <col min="9725" max="9725" width="20.1796875" style="1" customWidth="1"/>
    <col min="9726" max="9726" width="16.453125" style="1" customWidth="1"/>
    <col min="9727" max="9727" width="22.26953125" style="1" customWidth="1"/>
    <col min="9728" max="9728" width="17.81640625" style="1" customWidth="1"/>
    <col min="9729" max="9729" width="22.81640625" style="1" customWidth="1"/>
    <col min="9730" max="9730" width="25.453125" style="1" customWidth="1"/>
    <col min="9731" max="9732" width="6.7265625" style="1" customWidth="1"/>
    <col min="9733" max="9733" width="26.453125" style="1" customWidth="1"/>
    <col min="9734" max="9734" width="18.54296875" style="1" customWidth="1"/>
    <col min="9735" max="9735" width="29.81640625" style="1" customWidth="1"/>
    <col min="9736" max="9736" width="23.54296875" style="1" customWidth="1"/>
    <col min="9737" max="9737" width="31.453125" style="1" customWidth="1"/>
    <col min="9738" max="9978" width="8.7265625" style="1"/>
    <col min="9979" max="9979" width="7.81640625" style="1" customWidth="1"/>
    <col min="9980" max="9980" width="8.54296875" style="1" customWidth="1"/>
    <col min="9981" max="9981" width="20.1796875" style="1" customWidth="1"/>
    <col min="9982" max="9982" width="16.453125" style="1" customWidth="1"/>
    <col min="9983" max="9983" width="22.26953125" style="1" customWidth="1"/>
    <col min="9984" max="9984" width="17.81640625" style="1" customWidth="1"/>
    <col min="9985" max="9985" width="22.81640625" style="1" customWidth="1"/>
    <col min="9986" max="9986" width="25.453125" style="1" customWidth="1"/>
    <col min="9987" max="9988" width="6.7265625" style="1" customWidth="1"/>
    <col min="9989" max="9989" width="26.453125" style="1" customWidth="1"/>
    <col min="9990" max="9990" width="18.54296875" style="1" customWidth="1"/>
    <col min="9991" max="9991" width="29.81640625" style="1" customWidth="1"/>
    <col min="9992" max="9992" width="23.54296875" style="1" customWidth="1"/>
    <col min="9993" max="9993" width="31.453125" style="1" customWidth="1"/>
    <col min="9994" max="10234" width="8.7265625" style="1"/>
    <col min="10235" max="10235" width="7.81640625" style="1" customWidth="1"/>
    <col min="10236" max="10236" width="8.54296875" style="1" customWidth="1"/>
    <col min="10237" max="10237" width="20.1796875" style="1" customWidth="1"/>
    <col min="10238" max="10238" width="16.453125" style="1" customWidth="1"/>
    <col min="10239" max="10239" width="22.26953125" style="1" customWidth="1"/>
    <col min="10240" max="10240" width="17.81640625" style="1" customWidth="1"/>
    <col min="10241" max="10241" width="22.81640625" style="1" customWidth="1"/>
    <col min="10242" max="10242" width="25.453125" style="1" customWidth="1"/>
    <col min="10243" max="10244" width="6.7265625" style="1" customWidth="1"/>
    <col min="10245" max="10245" width="26.453125" style="1" customWidth="1"/>
    <col min="10246" max="10246" width="18.54296875" style="1" customWidth="1"/>
    <col min="10247" max="10247" width="29.81640625" style="1" customWidth="1"/>
    <col min="10248" max="10248" width="23.54296875" style="1" customWidth="1"/>
    <col min="10249" max="10249" width="31.453125" style="1" customWidth="1"/>
    <col min="10250" max="10490" width="8.7265625" style="1"/>
    <col min="10491" max="10491" width="7.81640625" style="1" customWidth="1"/>
    <col min="10492" max="10492" width="8.54296875" style="1" customWidth="1"/>
    <col min="10493" max="10493" width="20.1796875" style="1" customWidth="1"/>
    <col min="10494" max="10494" width="16.453125" style="1" customWidth="1"/>
    <col min="10495" max="10495" width="22.26953125" style="1" customWidth="1"/>
    <col min="10496" max="10496" width="17.81640625" style="1" customWidth="1"/>
    <col min="10497" max="10497" width="22.81640625" style="1" customWidth="1"/>
    <col min="10498" max="10498" width="25.453125" style="1" customWidth="1"/>
    <col min="10499" max="10500" width="6.7265625" style="1" customWidth="1"/>
    <col min="10501" max="10501" width="26.453125" style="1" customWidth="1"/>
    <col min="10502" max="10502" width="18.54296875" style="1" customWidth="1"/>
    <col min="10503" max="10503" width="29.81640625" style="1" customWidth="1"/>
    <col min="10504" max="10504" width="23.54296875" style="1" customWidth="1"/>
    <col min="10505" max="10505" width="31.453125" style="1" customWidth="1"/>
    <col min="10506" max="10746" width="8.7265625" style="1"/>
    <col min="10747" max="10747" width="7.81640625" style="1" customWidth="1"/>
    <col min="10748" max="10748" width="8.54296875" style="1" customWidth="1"/>
    <col min="10749" max="10749" width="20.1796875" style="1" customWidth="1"/>
    <col min="10750" max="10750" width="16.453125" style="1" customWidth="1"/>
    <col min="10751" max="10751" width="22.26953125" style="1" customWidth="1"/>
    <col min="10752" max="10752" width="17.81640625" style="1" customWidth="1"/>
    <col min="10753" max="10753" width="22.81640625" style="1" customWidth="1"/>
    <col min="10754" max="10754" width="25.453125" style="1" customWidth="1"/>
    <col min="10755" max="10756" width="6.7265625" style="1" customWidth="1"/>
    <col min="10757" max="10757" width="26.453125" style="1" customWidth="1"/>
    <col min="10758" max="10758" width="18.54296875" style="1" customWidth="1"/>
    <col min="10759" max="10759" width="29.81640625" style="1" customWidth="1"/>
    <col min="10760" max="10760" width="23.54296875" style="1" customWidth="1"/>
    <col min="10761" max="10761" width="31.453125" style="1" customWidth="1"/>
    <col min="10762" max="11002" width="8.7265625" style="1"/>
    <col min="11003" max="11003" width="7.81640625" style="1" customWidth="1"/>
    <col min="11004" max="11004" width="8.54296875" style="1" customWidth="1"/>
    <col min="11005" max="11005" width="20.1796875" style="1" customWidth="1"/>
    <col min="11006" max="11006" width="16.453125" style="1" customWidth="1"/>
    <col min="11007" max="11007" width="22.26953125" style="1" customWidth="1"/>
    <col min="11008" max="11008" width="17.81640625" style="1" customWidth="1"/>
    <col min="11009" max="11009" width="22.81640625" style="1" customWidth="1"/>
    <col min="11010" max="11010" width="25.453125" style="1" customWidth="1"/>
    <col min="11011" max="11012" width="6.7265625" style="1" customWidth="1"/>
    <col min="11013" max="11013" width="26.453125" style="1" customWidth="1"/>
    <col min="11014" max="11014" width="18.54296875" style="1" customWidth="1"/>
    <col min="11015" max="11015" width="29.81640625" style="1" customWidth="1"/>
    <col min="11016" max="11016" width="23.54296875" style="1" customWidth="1"/>
    <col min="11017" max="11017" width="31.453125" style="1" customWidth="1"/>
    <col min="11018" max="11258" width="8.7265625" style="1"/>
    <col min="11259" max="11259" width="7.81640625" style="1" customWidth="1"/>
    <col min="11260" max="11260" width="8.54296875" style="1" customWidth="1"/>
    <col min="11261" max="11261" width="20.1796875" style="1" customWidth="1"/>
    <col min="11262" max="11262" width="16.453125" style="1" customWidth="1"/>
    <col min="11263" max="11263" width="22.26953125" style="1" customWidth="1"/>
    <col min="11264" max="11264" width="17.81640625" style="1" customWidth="1"/>
    <col min="11265" max="11265" width="22.81640625" style="1" customWidth="1"/>
    <col min="11266" max="11266" width="25.453125" style="1" customWidth="1"/>
    <col min="11267" max="11268" width="6.7265625" style="1" customWidth="1"/>
    <col min="11269" max="11269" width="26.453125" style="1" customWidth="1"/>
    <col min="11270" max="11270" width="18.54296875" style="1" customWidth="1"/>
    <col min="11271" max="11271" width="29.81640625" style="1" customWidth="1"/>
    <col min="11272" max="11272" width="23.54296875" style="1" customWidth="1"/>
    <col min="11273" max="11273" width="31.453125" style="1" customWidth="1"/>
    <col min="11274" max="11514" width="8.7265625" style="1"/>
    <col min="11515" max="11515" width="7.81640625" style="1" customWidth="1"/>
    <col min="11516" max="11516" width="8.54296875" style="1" customWidth="1"/>
    <col min="11517" max="11517" width="20.1796875" style="1" customWidth="1"/>
    <col min="11518" max="11518" width="16.453125" style="1" customWidth="1"/>
    <col min="11519" max="11519" width="22.26953125" style="1" customWidth="1"/>
    <col min="11520" max="11520" width="17.81640625" style="1" customWidth="1"/>
    <col min="11521" max="11521" width="22.81640625" style="1" customWidth="1"/>
    <col min="11522" max="11522" width="25.453125" style="1" customWidth="1"/>
    <col min="11523" max="11524" width="6.7265625" style="1" customWidth="1"/>
    <col min="11525" max="11525" width="26.453125" style="1" customWidth="1"/>
    <col min="11526" max="11526" width="18.54296875" style="1" customWidth="1"/>
    <col min="11527" max="11527" width="29.81640625" style="1" customWidth="1"/>
    <col min="11528" max="11528" width="23.54296875" style="1" customWidth="1"/>
    <col min="11529" max="11529" width="31.453125" style="1" customWidth="1"/>
    <col min="11530" max="11770" width="8.7265625" style="1"/>
    <col min="11771" max="11771" width="7.81640625" style="1" customWidth="1"/>
    <col min="11772" max="11772" width="8.54296875" style="1" customWidth="1"/>
    <col min="11773" max="11773" width="20.1796875" style="1" customWidth="1"/>
    <col min="11774" max="11774" width="16.453125" style="1" customWidth="1"/>
    <col min="11775" max="11775" width="22.26953125" style="1" customWidth="1"/>
    <col min="11776" max="11776" width="17.81640625" style="1" customWidth="1"/>
    <col min="11777" max="11777" width="22.81640625" style="1" customWidth="1"/>
    <col min="11778" max="11778" width="25.453125" style="1" customWidth="1"/>
    <col min="11779" max="11780" width="6.7265625" style="1" customWidth="1"/>
    <col min="11781" max="11781" width="26.453125" style="1" customWidth="1"/>
    <col min="11782" max="11782" width="18.54296875" style="1" customWidth="1"/>
    <col min="11783" max="11783" width="29.81640625" style="1" customWidth="1"/>
    <col min="11784" max="11784" width="23.54296875" style="1" customWidth="1"/>
    <col min="11785" max="11785" width="31.453125" style="1" customWidth="1"/>
    <col min="11786" max="12026" width="8.7265625" style="1"/>
    <col min="12027" max="12027" width="7.81640625" style="1" customWidth="1"/>
    <col min="12028" max="12028" width="8.54296875" style="1" customWidth="1"/>
    <col min="12029" max="12029" width="20.1796875" style="1" customWidth="1"/>
    <col min="12030" max="12030" width="16.453125" style="1" customWidth="1"/>
    <col min="12031" max="12031" width="22.26953125" style="1" customWidth="1"/>
    <col min="12032" max="12032" width="17.81640625" style="1" customWidth="1"/>
    <col min="12033" max="12033" width="22.81640625" style="1" customWidth="1"/>
    <col min="12034" max="12034" width="25.453125" style="1" customWidth="1"/>
    <col min="12035" max="12036" width="6.7265625" style="1" customWidth="1"/>
    <col min="12037" max="12037" width="26.453125" style="1" customWidth="1"/>
    <col min="12038" max="12038" width="18.54296875" style="1" customWidth="1"/>
    <col min="12039" max="12039" width="29.81640625" style="1" customWidth="1"/>
    <col min="12040" max="12040" width="23.54296875" style="1" customWidth="1"/>
    <col min="12041" max="12041" width="31.453125" style="1" customWidth="1"/>
    <col min="12042" max="12282" width="8.7265625" style="1"/>
    <col min="12283" max="12283" width="7.81640625" style="1" customWidth="1"/>
    <col min="12284" max="12284" width="8.54296875" style="1" customWidth="1"/>
    <col min="12285" max="12285" width="20.1796875" style="1" customWidth="1"/>
    <col min="12286" max="12286" width="16.453125" style="1" customWidth="1"/>
    <col min="12287" max="12287" width="22.26953125" style="1" customWidth="1"/>
    <col min="12288" max="12288" width="17.81640625" style="1" customWidth="1"/>
    <col min="12289" max="12289" width="22.81640625" style="1" customWidth="1"/>
    <col min="12290" max="12290" width="25.453125" style="1" customWidth="1"/>
    <col min="12291" max="12292" width="6.7265625" style="1" customWidth="1"/>
    <col min="12293" max="12293" width="26.453125" style="1" customWidth="1"/>
    <col min="12294" max="12294" width="18.54296875" style="1" customWidth="1"/>
    <col min="12295" max="12295" width="29.81640625" style="1" customWidth="1"/>
    <col min="12296" max="12296" width="23.54296875" style="1" customWidth="1"/>
    <col min="12297" max="12297" width="31.453125" style="1" customWidth="1"/>
    <col min="12298" max="12538" width="8.7265625" style="1"/>
    <col min="12539" max="12539" width="7.81640625" style="1" customWidth="1"/>
    <col min="12540" max="12540" width="8.54296875" style="1" customWidth="1"/>
    <col min="12541" max="12541" width="20.1796875" style="1" customWidth="1"/>
    <col min="12542" max="12542" width="16.453125" style="1" customWidth="1"/>
    <col min="12543" max="12543" width="22.26953125" style="1" customWidth="1"/>
    <col min="12544" max="12544" width="17.81640625" style="1" customWidth="1"/>
    <col min="12545" max="12545" width="22.81640625" style="1" customWidth="1"/>
    <col min="12546" max="12546" width="25.453125" style="1" customWidth="1"/>
    <col min="12547" max="12548" width="6.7265625" style="1" customWidth="1"/>
    <col min="12549" max="12549" width="26.453125" style="1" customWidth="1"/>
    <col min="12550" max="12550" width="18.54296875" style="1" customWidth="1"/>
    <col min="12551" max="12551" width="29.81640625" style="1" customWidth="1"/>
    <col min="12552" max="12552" width="23.54296875" style="1" customWidth="1"/>
    <col min="12553" max="12553" width="31.453125" style="1" customWidth="1"/>
    <col min="12554" max="12794" width="8.7265625" style="1"/>
    <col min="12795" max="12795" width="7.81640625" style="1" customWidth="1"/>
    <col min="12796" max="12796" width="8.54296875" style="1" customWidth="1"/>
    <col min="12797" max="12797" width="20.1796875" style="1" customWidth="1"/>
    <col min="12798" max="12798" width="16.453125" style="1" customWidth="1"/>
    <col min="12799" max="12799" width="22.26953125" style="1" customWidth="1"/>
    <col min="12800" max="12800" width="17.81640625" style="1" customWidth="1"/>
    <col min="12801" max="12801" width="22.81640625" style="1" customWidth="1"/>
    <col min="12802" max="12802" width="25.453125" style="1" customWidth="1"/>
    <col min="12803" max="12804" width="6.7265625" style="1" customWidth="1"/>
    <col min="12805" max="12805" width="26.453125" style="1" customWidth="1"/>
    <col min="12806" max="12806" width="18.54296875" style="1" customWidth="1"/>
    <col min="12807" max="12807" width="29.81640625" style="1" customWidth="1"/>
    <col min="12808" max="12808" width="23.54296875" style="1" customWidth="1"/>
    <col min="12809" max="12809" width="31.453125" style="1" customWidth="1"/>
    <col min="12810" max="13050" width="8.7265625" style="1"/>
    <col min="13051" max="13051" width="7.81640625" style="1" customWidth="1"/>
    <col min="13052" max="13052" width="8.54296875" style="1" customWidth="1"/>
    <col min="13053" max="13053" width="20.1796875" style="1" customWidth="1"/>
    <col min="13054" max="13054" width="16.453125" style="1" customWidth="1"/>
    <col min="13055" max="13055" width="22.26953125" style="1" customWidth="1"/>
    <col min="13056" max="13056" width="17.81640625" style="1" customWidth="1"/>
    <col min="13057" max="13057" width="22.81640625" style="1" customWidth="1"/>
    <col min="13058" max="13058" width="25.453125" style="1" customWidth="1"/>
    <col min="13059" max="13060" width="6.7265625" style="1" customWidth="1"/>
    <col min="13061" max="13061" width="26.453125" style="1" customWidth="1"/>
    <col min="13062" max="13062" width="18.54296875" style="1" customWidth="1"/>
    <col min="13063" max="13063" width="29.81640625" style="1" customWidth="1"/>
    <col min="13064" max="13064" width="23.54296875" style="1" customWidth="1"/>
    <col min="13065" max="13065" width="31.453125" style="1" customWidth="1"/>
    <col min="13066" max="13306" width="8.7265625" style="1"/>
    <col min="13307" max="13307" width="7.81640625" style="1" customWidth="1"/>
    <col min="13308" max="13308" width="8.54296875" style="1" customWidth="1"/>
    <col min="13309" max="13309" width="20.1796875" style="1" customWidth="1"/>
    <col min="13310" max="13310" width="16.453125" style="1" customWidth="1"/>
    <col min="13311" max="13311" width="22.26953125" style="1" customWidth="1"/>
    <col min="13312" max="13312" width="17.81640625" style="1" customWidth="1"/>
    <col min="13313" max="13313" width="22.81640625" style="1" customWidth="1"/>
    <col min="13314" max="13314" width="25.453125" style="1" customWidth="1"/>
    <col min="13315" max="13316" width="6.7265625" style="1" customWidth="1"/>
    <col min="13317" max="13317" width="26.453125" style="1" customWidth="1"/>
    <col min="13318" max="13318" width="18.54296875" style="1" customWidth="1"/>
    <col min="13319" max="13319" width="29.81640625" style="1" customWidth="1"/>
    <col min="13320" max="13320" width="23.54296875" style="1" customWidth="1"/>
    <col min="13321" max="13321" width="31.453125" style="1" customWidth="1"/>
    <col min="13322" max="13562" width="8.7265625" style="1"/>
    <col min="13563" max="13563" width="7.81640625" style="1" customWidth="1"/>
    <col min="13564" max="13564" width="8.54296875" style="1" customWidth="1"/>
    <col min="13565" max="13565" width="20.1796875" style="1" customWidth="1"/>
    <col min="13566" max="13566" width="16.453125" style="1" customWidth="1"/>
    <col min="13567" max="13567" width="22.26953125" style="1" customWidth="1"/>
    <col min="13568" max="13568" width="17.81640625" style="1" customWidth="1"/>
    <col min="13569" max="13569" width="22.81640625" style="1" customWidth="1"/>
    <col min="13570" max="13570" width="25.453125" style="1" customWidth="1"/>
    <col min="13571" max="13572" width="6.7265625" style="1" customWidth="1"/>
    <col min="13573" max="13573" width="26.453125" style="1" customWidth="1"/>
    <col min="13574" max="13574" width="18.54296875" style="1" customWidth="1"/>
    <col min="13575" max="13575" width="29.81640625" style="1" customWidth="1"/>
    <col min="13576" max="13576" width="23.54296875" style="1" customWidth="1"/>
    <col min="13577" max="13577" width="31.453125" style="1" customWidth="1"/>
    <col min="13578" max="13818" width="8.7265625" style="1"/>
    <col min="13819" max="13819" width="7.81640625" style="1" customWidth="1"/>
    <col min="13820" max="13820" width="8.54296875" style="1" customWidth="1"/>
    <col min="13821" max="13821" width="20.1796875" style="1" customWidth="1"/>
    <col min="13822" max="13822" width="16.453125" style="1" customWidth="1"/>
    <col min="13823" max="13823" width="22.26953125" style="1" customWidth="1"/>
    <col min="13824" max="13824" width="17.81640625" style="1" customWidth="1"/>
    <col min="13825" max="13825" width="22.81640625" style="1" customWidth="1"/>
    <col min="13826" max="13826" width="25.453125" style="1" customWidth="1"/>
    <col min="13827" max="13828" width="6.7265625" style="1" customWidth="1"/>
    <col min="13829" max="13829" width="26.453125" style="1" customWidth="1"/>
    <col min="13830" max="13830" width="18.54296875" style="1" customWidth="1"/>
    <col min="13831" max="13831" width="29.81640625" style="1" customWidth="1"/>
    <col min="13832" max="13832" width="23.54296875" style="1" customWidth="1"/>
    <col min="13833" max="13833" width="31.453125" style="1" customWidth="1"/>
    <col min="13834" max="14074" width="8.7265625" style="1"/>
    <col min="14075" max="14075" width="7.81640625" style="1" customWidth="1"/>
    <col min="14076" max="14076" width="8.54296875" style="1" customWidth="1"/>
    <col min="14077" max="14077" width="20.1796875" style="1" customWidth="1"/>
    <col min="14078" max="14078" width="16.453125" style="1" customWidth="1"/>
    <col min="14079" max="14079" width="22.26953125" style="1" customWidth="1"/>
    <col min="14080" max="14080" width="17.81640625" style="1" customWidth="1"/>
    <col min="14081" max="14081" width="22.81640625" style="1" customWidth="1"/>
    <col min="14082" max="14082" width="25.453125" style="1" customWidth="1"/>
    <col min="14083" max="14084" width="6.7265625" style="1" customWidth="1"/>
    <col min="14085" max="14085" width="26.453125" style="1" customWidth="1"/>
    <col min="14086" max="14086" width="18.54296875" style="1" customWidth="1"/>
    <col min="14087" max="14087" width="29.81640625" style="1" customWidth="1"/>
    <col min="14088" max="14088" width="23.54296875" style="1" customWidth="1"/>
    <col min="14089" max="14089" width="31.453125" style="1" customWidth="1"/>
    <col min="14090" max="14330" width="8.7265625" style="1"/>
    <col min="14331" max="14331" width="7.81640625" style="1" customWidth="1"/>
    <col min="14332" max="14332" width="8.54296875" style="1" customWidth="1"/>
    <col min="14333" max="14333" width="20.1796875" style="1" customWidth="1"/>
    <col min="14334" max="14334" width="16.453125" style="1" customWidth="1"/>
    <col min="14335" max="14335" width="22.26953125" style="1" customWidth="1"/>
    <col min="14336" max="14336" width="17.81640625" style="1" customWidth="1"/>
    <col min="14337" max="14337" width="22.81640625" style="1" customWidth="1"/>
    <col min="14338" max="14338" width="25.453125" style="1" customWidth="1"/>
    <col min="14339" max="14340" width="6.7265625" style="1" customWidth="1"/>
    <col min="14341" max="14341" width="26.453125" style="1" customWidth="1"/>
    <col min="14342" max="14342" width="18.54296875" style="1" customWidth="1"/>
    <col min="14343" max="14343" width="29.81640625" style="1" customWidth="1"/>
    <col min="14344" max="14344" width="23.54296875" style="1" customWidth="1"/>
    <col min="14345" max="14345" width="31.453125" style="1" customWidth="1"/>
    <col min="14346" max="14586" width="8.7265625" style="1"/>
    <col min="14587" max="14587" width="7.81640625" style="1" customWidth="1"/>
    <col min="14588" max="14588" width="8.54296875" style="1" customWidth="1"/>
    <col min="14589" max="14589" width="20.1796875" style="1" customWidth="1"/>
    <col min="14590" max="14590" width="16.453125" style="1" customWidth="1"/>
    <col min="14591" max="14591" width="22.26953125" style="1" customWidth="1"/>
    <col min="14592" max="14592" width="17.81640625" style="1" customWidth="1"/>
    <col min="14593" max="14593" width="22.81640625" style="1" customWidth="1"/>
    <col min="14594" max="14594" width="25.453125" style="1" customWidth="1"/>
    <col min="14595" max="14596" width="6.7265625" style="1" customWidth="1"/>
    <col min="14597" max="14597" width="26.453125" style="1" customWidth="1"/>
    <col min="14598" max="14598" width="18.54296875" style="1" customWidth="1"/>
    <col min="14599" max="14599" width="29.81640625" style="1" customWidth="1"/>
    <col min="14600" max="14600" width="23.54296875" style="1" customWidth="1"/>
    <col min="14601" max="14601" width="31.453125" style="1" customWidth="1"/>
    <col min="14602" max="14842" width="8.7265625" style="1"/>
    <col min="14843" max="14843" width="7.81640625" style="1" customWidth="1"/>
    <col min="14844" max="14844" width="8.54296875" style="1" customWidth="1"/>
    <col min="14845" max="14845" width="20.1796875" style="1" customWidth="1"/>
    <col min="14846" max="14846" width="16.453125" style="1" customWidth="1"/>
    <col min="14847" max="14847" width="22.26953125" style="1" customWidth="1"/>
    <col min="14848" max="14848" width="17.81640625" style="1" customWidth="1"/>
    <col min="14849" max="14849" width="22.81640625" style="1" customWidth="1"/>
    <col min="14850" max="14850" width="25.453125" style="1" customWidth="1"/>
    <col min="14851" max="14852" width="6.7265625" style="1" customWidth="1"/>
    <col min="14853" max="14853" width="26.453125" style="1" customWidth="1"/>
    <col min="14854" max="14854" width="18.54296875" style="1" customWidth="1"/>
    <col min="14855" max="14855" width="29.81640625" style="1" customWidth="1"/>
    <col min="14856" max="14856" width="23.54296875" style="1" customWidth="1"/>
    <col min="14857" max="14857" width="31.453125" style="1" customWidth="1"/>
    <col min="14858" max="15098" width="8.7265625" style="1"/>
    <col min="15099" max="15099" width="7.81640625" style="1" customWidth="1"/>
    <col min="15100" max="15100" width="8.54296875" style="1" customWidth="1"/>
    <col min="15101" max="15101" width="20.1796875" style="1" customWidth="1"/>
    <col min="15102" max="15102" width="16.453125" style="1" customWidth="1"/>
    <col min="15103" max="15103" width="22.26953125" style="1" customWidth="1"/>
    <col min="15104" max="15104" width="17.81640625" style="1" customWidth="1"/>
    <col min="15105" max="15105" width="22.81640625" style="1" customWidth="1"/>
    <col min="15106" max="15106" width="25.453125" style="1" customWidth="1"/>
    <col min="15107" max="15108" width="6.7265625" style="1" customWidth="1"/>
    <col min="15109" max="15109" width="26.453125" style="1" customWidth="1"/>
    <col min="15110" max="15110" width="18.54296875" style="1" customWidth="1"/>
    <col min="15111" max="15111" width="29.81640625" style="1" customWidth="1"/>
    <col min="15112" max="15112" width="23.54296875" style="1" customWidth="1"/>
    <col min="15113" max="15113" width="31.453125" style="1" customWidth="1"/>
    <col min="15114" max="15354" width="8.7265625" style="1"/>
    <col min="15355" max="15355" width="7.81640625" style="1" customWidth="1"/>
    <col min="15356" max="15356" width="8.54296875" style="1" customWidth="1"/>
    <col min="15357" max="15357" width="20.1796875" style="1" customWidth="1"/>
    <col min="15358" max="15358" width="16.453125" style="1" customWidth="1"/>
    <col min="15359" max="15359" width="22.26953125" style="1" customWidth="1"/>
    <col min="15360" max="15360" width="17.81640625" style="1" customWidth="1"/>
    <col min="15361" max="15361" width="22.81640625" style="1" customWidth="1"/>
    <col min="15362" max="15362" width="25.453125" style="1" customWidth="1"/>
    <col min="15363" max="15364" width="6.7265625" style="1" customWidth="1"/>
    <col min="15365" max="15365" width="26.453125" style="1" customWidth="1"/>
    <col min="15366" max="15366" width="18.54296875" style="1" customWidth="1"/>
    <col min="15367" max="15367" width="29.81640625" style="1" customWidth="1"/>
    <col min="15368" max="15368" width="23.54296875" style="1" customWidth="1"/>
    <col min="15369" max="15369" width="31.453125" style="1" customWidth="1"/>
    <col min="15370" max="15610" width="8.7265625" style="1"/>
    <col min="15611" max="15611" width="7.81640625" style="1" customWidth="1"/>
    <col min="15612" max="15612" width="8.54296875" style="1" customWidth="1"/>
    <col min="15613" max="15613" width="20.1796875" style="1" customWidth="1"/>
    <col min="15614" max="15614" width="16.453125" style="1" customWidth="1"/>
    <col min="15615" max="15615" width="22.26953125" style="1" customWidth="1"/>
    <col min="15616" max="15616" width="17.81640625" style="1" customWidth="1"/>
    <col min="15617" max="15617" width="22.81640625" style="1" customWidth="1"/>
    <col min="15618" max="15618" width="25.453125" style="1" customWidth="1"/>
    <col min="15619" max="15620" width="6.7265625" style="1" customWidth="1"/>
    <col min="15621" max="15621" width="26.453125" style="1" customWidth="1"/>
    <col min="15622" max="15622" width="18.54296875" style="1" customWidth="1"/>
    <col min="15623" max="15623" width="29.81640625" style="1" customWidth="1"/>
    <col min="15624" max="15624" width="23.54296875" style="1" customWidth="1"/>
    <col min="15625" max="15625" width="31.453125" style="1" customWidth="1"/>
    <col min="15626" max="15866" width="8.7265625" style="1"/>
    <col min="15867" max="15867" width="7.81640625" style="1" customWidth="1"/>
    <col min="15868" max="15868" width="8.54296875" style="1" customWidth="1"/>
    <col min="15869" max="15869" width="20.1796875" style="1" customWidth="1"/>
    <col min="15870" max="15870" width="16.453125" style="1" customWidth="1"/>
    <col min="15871" max="15871" width="22.26953125" style="1" customWidth="1"/>
    <col min="15872" max="15872" width="17.81640625" style="1" customWidth="1"/>
    <col min="15873" max="15873" width="22.81640625" style="1" customWidth="1"/>
    <col min="15874" max="15874" width="25.453125" style="1" customWidth="1"/>
    <col min="15875" max="15876" width="6.7265625" style="1" customWidth="1"/>
    <col min="15877" max="15877" width="26.453125" style="1" customWidth="1"/>
    <col min="15878" max="15878" width="18.54296875" style="1" customWidth="1"/>
    <col min="15879" max="15879" width="29.81640625" style="1" customWidth="1"/>
    <col min="15880" max="15880" width="23.54296875" style="1" customWidth="1"/>
    <col min="15881" max="15881" width="31.453125" style="1" customWidth="1"/>
    <col min="15882" max="16122" width="8.7265625" style="1"/>
    <col min="16123" max="16123" width="7.81640625" style="1" customWidth="1"/>
    <col min="16124" max="16124" width="8.54296875" style="1" customWidth="1"/>
    <col min="16125" max="16125" width="20.1796875" style="1" customWidth="1"/>
    <col min="16126" max="16126" width="16.453125" style="1" customWidth="1"/>
    <col min="16127" max="16127" width="22.26953125" style="1" customWidth="1"/>
    <col min="16128" max="16128" width="17.81640625" style="1" customWidth="1"/>
    <col min="16129" max="16129" width="22.81640625" style="1" customWidth="1"/>
    <col min="16130" max="16130" width="25.453125" style="1" customWidth="1"/>
    <col min="16131" max="16132" width="6.7265625" style="1" customWidth="1"/>
    <col min="16133" max="16133" width="26.453125" style="1" customWidth="1"/>
    <col min="16134" max="16134" width="18.54296875" style="1" customWidth="1"/>
    <col min="16135" max="16135" width="29.81640625" style="1" customWidth="1"/>
    <col min="16136" max="16136" width="23.54296875" style="1" customWidth="1"/>
    <col min="16137" max="16137" width="31.453125" style="1" customWidth="1"/>
    <col min="16138" max="16384" width="8.7265625" style="1"/>
  </cols>
  <sheetData>
    <row r="1" spans="1:14" ht="17.25" customHeight="1">
      <c r="A1" s="76" t="s">
        <v>108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4" ht="17.25" customHeight="1">
      <c r="A2" s="64" t="str">
        <f>Transpor_koordinasi!A2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4" ht="14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" customHeight="1">
      <c r="C4" s="4" t="s">
        <v>0</v>
      </c>
      <c r="D4" s="5" t="str">
        <f>Transpor_koordinasi!D4</f>
        <v>: ____________________________</v>
      </c>
      <c r="F4" s="6"/>
      <c r="G4" s="7"/>
      <c r="H4" s="7"/>
      <c r="I4" s="4" t="s">
        <v>26</v>
      </c>
      <c r="J4" s="4" t="s">
        <v>43</v>
      </c>
    </row>
    <row r="5" spans="1:14" ht="15" customHeight="1">
      <c r="C5" s="4" t="s">
        <v>2</v>
      </c>
      <c r="D5" s="5" t="str">
        <f>Transpor_koordinasi!D5</f>
        <v>: SD NEGERI LEBAKLEUNGSIR</v>
      </c>
      <c r="F5" s="6"/>
      <c r="H5" s="8"/>
      <c r="I5" s="4" t="s">
        <v>27</v>
      </c>
      <c r="J5" s="4" t="s">
        <v>109</v>
      </c>
    </row>
    <row r="6" spans="1:14" ht="15" customHeight="1">
      <c r="C6" s="4" t="s">
        <v>3</v>
      </c>
      <c r="D6" s="5" t="str">
        <f>Transpor_koordinasi!D6</f>
        <v>: Cikalongwetan</v>
      </c>
      <c r="F6" s="6"/>
      <c r="H6" s="8"/>
      <c r="I6" s="8" t="s">
        <v>28</v>
      </c>
      <c r="J6" s="4" t="s">
        <v>57</v>
      </c>
    </row>
    <row r="7" spans="1:14" ht="15" customHeight="1">
      <c r="C7" s="4" t="s">
        <v>5</v>
      </c>
      <c r="D7" s="5" t="str">
        <f>Transpor_koordinasi!D7</f>
        <v>: Bandung Barat</v>
      </c>
      <c r="F7" s="6"/>
      <c r="H7" s="8"/>
      <c r="I7" s="4" t="s">
        <v>7</v>
      </c>
      <c r="J7" s="30" t="s">
        <v>29</v>
      </c>
    </row>
    <row r="8" spans="1:14" ht="15" customHeight="1">
      <c r="H8" s="8"/>
      <c r="I8" s="8"/>
      <c r="J8" s="8"/>
    </row>
    <row r="9" spans="1:14" ht="41.25" customHeight="1">
      <c r="A9" s="9" t="s">
        <v>8</v>
      </c>
      <c r="B9" s="65" t="s">
        <v>9</v>
      </c>
      <c r="C9" s="66"/>
      <c r="D9" s="9" t="s">
        <v>10</v>
      </c>
      <c r="E9" s="10" t="s">
        <v>11</v>
      </c>
      <c r="F9" s="9" t="s">
        <v>45</v>
      </c>
      <c r="G9" s="9" t="s">
        <v>24</v>
      </c>
      <c r="H9" s="10" t="s">
        <v>13</v>
      </c>
      <c r="I9" s="10" t="s">
        <v>14</v>
      </c>
      <c r="J9" s="69" t="s">
        <v>17</v>
      </c>
      <c r="K9" s="71"/>
    </row>
    <row r="10" spans="1:14" ht="28.5" customHeight="1">
      <c r="A10" s="11">
        <v>1</v>
      </c>
      <c r="B10" s="12" t="s">
        <v>53</v>
      </c>
      <c r="C10" s="13"/>
      <c r="D10" s="13" t="s">
        <v>33</v>
      </c>
      <c r="E10" s="14" t="s">
        <v>34</v>
      </c>
      <c r="F10" s="14">
        <v>2</v>
      </c>
      <c r="G10" s="14" t="s">
        <v>25</v>
      </c>
      <c r="H10" s="15">
        <v>75000</v>
      </c>
      <c r="I10" s="16">
        <f>F10*H10</f>
        <v>150000</v>
      </c>
      <c r="J10" s="54">
        <v>1</v>
      </c>
      <c r="K10" s="56">
        <v>2</v>
      </c>
    </row>
    <row r="11" spans="1:14" ht="28.5" customHeight="1">
      <c r="A11" s="11">
        <v>2</v>
      </c>
      <c r="B11" s="12"/>
      <c r="C11" s="13"/>
      <c r="D11" s="13"/>
      <c r="E11" s="14"/>
      <c r="F11" s="14"/>
      <c r="G11" s="14"/>
      <c r="H11" s="15"/>
      <c r="I11" s="16">
        <f t="shared" ref="I11:I13" si="0">F11*H11</f>
        <v>0</v>
      </c>
      <c r="J11" s="55"/>
      <c r="K11" s="57"/>
    </row>
    <row r="12" spans="1:14" ht="22.5" hidden="1" customHeight="1">
      <c r="A12" s="11">
        <v>3</v>
      </c>
      <c r="B12" s="12"/>
      <c r="C12" s="13"/>
      <c r="D12" s="13"/>
      <c r="E12" s="14"/>
      <c r="F12" s="14"/>
      <c r="G12" s="14"/>
      <c r="H12" s="15"/>
      <c r="I12" s="16">
        <f t="shared" si="0"/>
        <v>0</v>
      </c>
      <c r="J12" s="54">
        <v>3</v>
      </c>
      <c r="K12" s="56">
        <v>4</v>
      </c>
    </row>
    <row r="13" spans="1:14" ht="22.5" hidden="1" customHeight="1">
      <c r="A13" s="11">
        <v>4</v>
      </c>
      <c r="B13" s="12"/>
      <c r="C13" s="13"/>
      <c r="D13" s="13"/>
      <c r="E13" s="14"/>
      <c r="F13" s="14"/>
      <c r="G13" s="14"/>
      <c r="H13" s="15"/>
      <c r="I13" s="16">
        <f t="shared" si="0"/>
        <v>0</v>
      </c>
      <c r="J13" s="55"/>
      <c r="K13" s="57"/>
    </row>
    <row r="14" spans="1:14" s="21" customFormat="1" ht="22.5" customHeight="1">
      <c r="A14" s="69" t="s">
        <v>20</v>
      </c>
      <c r="B14" s="70"/>
      <c r="C14" s="70"/>
      <c r="D14" s="70"/>
      <c r="E14" s="70"/>
      <c r="F14" s="70"/>
      <c r="G14" s="70"/>
      <c r="H14" s="71"/>
      <c r="I14" s="18">
        <f>SUM(I10:I13)</f>
        <v>150000</v>
      </c>
      <c r="J14" s="20"/>
      <c r="K14" s="20"/>
      <c r="N14" s="22"/>
    </row>
    <row r="15" spans="1:14" ht="23.25" customHeight="1">
      <c r="A15" s="7"/>
      <c r="B15" s="7"/>
      <c r="C15" s="7"/>
      <c r="D15" s="7"/>
      <c r="E15" s="7"/>
      <c r="F15" s="7"/>
      <c r="G15" s="7"/>
      <c r="H15" s="23"/>
      <c r="I15" s="23"/>
    </row>
    <row r="16" spans="1:14">
      <c r="A16" s="8"/>
      <c r="B16" s="8"/>
      <c r="C16" s="8"/>
      <c r="D16" s="8"/>
      <c r="E16" s="8"/>
      <c r="F16" s="8"/>
      <c r="G16" s="8"/>
      <c r="H16" s="8"/>
      <c r="J16" s="24" t="s">
        <v>156</v>
      </c>
    </row>
    <row r="17" spans="1:14">
      <c r="A17" s="8"/>
      <c r="C17" s="24" t="s">
        <v>21</v>
      </c>
      <c r="D17" s="24"/>
      <c r="E17" s="24"/>
      <c r="F17" s="24"/>
      <c r="G17" s="8"/>
      <c r="H17" s="8"/>
      <c r="J17" s="24" t="str">
        <f>Honor_penjaga!O20</f>
        <v>Dibayar Lunas Tgl. 4 Februari 2026</v>
      </c>
    </row>
    <row r="18" spans="1:14">
      <c r="A18" s="8"/>
      <c r="C18" s="24" t="s">
        <v>22</v>
      </c>
      <c r="D18" s="24"/>
      <c r="E18" s="24"/>
      <c r="F18" s="24"/>
      <c r="G18" s="8"/>
      <c r="H18" s="8"/>
      <c r="J18" s="24" t="s">
        <v>23</v>
      </c>
    </row>
    <row r="19" spans="1:14">
      <c r="A19" s="8"/>
      <c r="C19" s="24"/>
      <c r="D19" s="24"/>
      <c r="E19" s="24"/>
      <c r="F19" s="24"/>
      <c r="G19" s="8"/>
      <c r="H19" s="8"/>
      <c r="J19" s="25"/>
      <c r="N19" s="26"/>
    </row>
    <row r="20" spans="1:14">
      <c r="A20" s="8"/>
      <c r="C20" s="24"/>
      <c r="D20" s="24"/>
      <c r="E20" s="24"/>
      <c r="F20" s="24"/>
      <c r="G20" s="8"/>
      <c r="H20" s="8"/>
      <c r="J20" s="25"/>
    </row>
    <row r="21" spans="1:14">
      <c r="A21" s="8"/>
      <c r="C21" s="24"/>
      <c r="D21" s="24"/>
      <c r="E21" s="24"/>
      <c r="F21" s="24"/>
      <c r="G21" s="8"/>
      <c r="H21" s="8"/>
      <c r="J21" s="25"/>
    </row>
    <row r="22" spans="1:14">
      <c r="A22" s="8"/>
      <c r="C22" s="24"/>
      <c r="D22" s="24"/>
      <c r="E22" s="24"/>
      <c r="F22" s="24"/>
      <c r="G22" s="8"/>
      <c r="H22" s="8"/>
      <c r="J22" s="25"/>
    </row>
    <row r="23" spans="1:14">
      <c r="A23" s="8"/>
      <c r="C23" s="24"/>
      <c r="D23" s="24"/>
      <c r="E23" s="24"/>
      <c r="F23" s="24"/>
      <c r="G23" s="8"/>
      <c r="H23" s="8"/>
      <c r="J23" s="25"/>
    </row>
    <row r="24" spans="1:14" ht="15" customHeight="1">
      <c r="A24" s="8"/>
      <c r="C24" s="27" t="str">
        <f>Transpor_koordinasi!C24</f>
        <v>BADRUDDIN, S.Ag.</v>
      </c>
      <c r="D24" s="28"/>
      <c r="E24" s="28"/>
      <c r="F24" s="8"/>
      <c r="G24" s="8"/>
      <c r="J24" s="50" t="str">
        <f>Transpor_koordinasi!J24</f>
        <v>DEDE GUNAWAN, S.Pd.</v>
      </c>
    </row>
    <row r="25" spans="1:14" ht="13.5" customHeight="1">
      <c r="A25" s="8"/>
      <c r="C25" s="43" t="str">
        <f>Transpor_koordinasi!C25</f>
        <v>NIP. 197405082014121002</v>
      </c>
      <c r="D25" s="25"/>
      <c r="E25" s="25"/>
      <c r="F25" s="8"/>
      <c r="G25" s="8"/>
      <c r="J25" s="51" t="str">
        <f>Transpor_koordinasi!J25</f>
        <v>NIP. 198507172020121003</v>
      </c>
    </row>
    <row r="26" spans="1:14" ht="15" customHeight="1">
      <c r="A26" s="8"/>
      <c r="C26" s="28"/>
      <c r="D26" s="28"/>
      <c r="E26" s="28"/>
      <c r="F26" s="28"/>
      <c r="G26" s="8"/>
      <c r="H26" s="8"/>
      <c r="J26" s="29"/>
    </row>
    <row r="27" spans="1:14" ht="13.5" customHeight="1"/>
    <row r="28" spans="1:14" ht="13.5" customHeight="1"/>
    <row r="29" spans="1:14" ht="13.5" customHeight="1"/>
    <row r="30" spans="1:14" ht="13.5" customHeight="1"/>
    <row r="33" spans="1:14" ht="17.25" customHeight="1">
      <c r="A33" s="76" t="str">
        <f>$A$1</f>
        <v>DAFTAR BUKTI PENERIMA PERJALANAN DINAS RAPAT KERJA TEKNIS OPERATOR TK. GUGUS (Transaksi Non Tunai)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4" ht="17.25" customHeight="1">
      <c r="A34" s="64" t="str">
        <f>Transpor_koordinasi!A34</f>
        <v>BULAN FEBRUARI 2026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4" ht="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4" ht="15" customHeight="1">
      <c r="C36" s="4" t="s">
        <v>0</v>
      </c>
      <c r="D36" s="5" t="s">
        <v>56</v>
      </c>
      <c r="F36" s="6"/>
      <c r="G36" s="7"/>
      <c r="H36" s="7"/>
      <c r="I36" s="4" t="s">
        <v>26</v>
      </c>
      <c r="J36" s="4" t="str">
        <f>J4</f>
        <v>: 06 Pengembangan Standar Pengelolaan</v>
      </c>
    </row>
    <row r="37" spans="1:14" ht="15" customHeight="1">
      <c r="C37" s="4" t="s">
        <v>2</v>
      </c>
      <c r="D37" s="4" t="str">
        <f>D5</f>
        <v>: SD NEGERI LEBAKLEUNGSIR</v>
      </c>
      <c r="F37" s="6"/>
      <c r="H37" s="8"/>
      <c r="I37" s="4" t="s">
        <v>27</v>
      </c>
      <c r="J37" s="4" t="str">
        <f>J5</f>
        <v>: Perjalanan Dinas Rakernis Operator</v>
      </c>
    </row>
    <row r="38" spans="1:14" ht="15" customHeight="1">
      <c r="C38" s="4" t="s">
        <v>3</v>
      </c>
      <c r="D38" s="4" t="str">
        <f>D6</f>
        <v>: Cikalongwetan</v>
      </c>
      <c r="F38" s="6"/>
      <c r="H38" s="8"/>
      <c r="I38" s="8" t="s">
        <v>28</v>
      </c>
      <c r="J38" s="4" t="str">
        <f>J6</f>
        <v>: 5.1.02.04.01.0003</v>
      </c>
    </row>
    <row r="39" spans="1:14" ht="15" customHeight="1">
      <c r="C39" s="4" t="s">
        <v>5</v>
      </c>
      <c r="D39" s="4" t="str">
        <f>D7</f>
        <v>: Bandung Barat</v>
      </c>
      <c r="F39" s="6"/>
      <c r="H39" s="8"/>
      <c r="I39" s="4" t="s">
        <v>7</v>
      </c>
      <c r="J39" s="4" t="str">
        <f>J7</f>
        <v>: 5</v>
      </c>
    </row>
    <row r="40" spans="1:14" ht="15" customHeight="1">
      <c r="H40" s="8"/>
      <c r="I40" s="8"/>
      <c r="J40" s="8"/>
    </row>
    <row r="41" spans="1:14" ht="41.25" customHeight="1">
      <c r="A41" s="9" t="s">
        <v>8</v>
      </c>
      <c r="B41" s="65" t="s">
        <v>9</v>
      </c>
      <c r="C41" s="66"/>
      <c r="D41" s="9" t="s">
        <v>10</v>
      </c>
      <c r="E41" s="10" t="s">
        <v>11</v>
      </c>
      <c r="F41" s="9" t="s">
        <v>45</v>
      </c>
      <c r="G41" s="9" t="s">
        <v>24</v>
      </c>
      <c r="H41" s="10" t="s">
        <v>13</v>
      </c>
      <c r="I41" s="10" t="s">
        <v>14</v>
      </c>
      <c r="J41" s="69" t="s">
        <v>17</v>
      </c>
      <c r="K41" s="71"/>
    </row>
    <row r="42" spans="1:14" ht="29.5" customHeight="1">
      <c r="A42" s="11">
        <v>1</v>
      </c>
      <c r="B42" s="12" t="str">
        <f>IF(B10="","",B10)</f>
        <v>RISNA MARSELA HARTINI</v>
      </c>
      <c r="C42" s="13"/>
      <c r="D42" s="12" t="str">
        <f t="shared" ref="D42:E45" si="1">IF(D10="","",D10)</f>
        <v>Operator</v>
      </c>
      <c r="E42" s="11" t="str">
        <f t="shared" si="1"/>
        <v>-</v>
      </c>
      <c r="F42" s="11">
        <v>4</v>
      </c>
      <c r="G42" s="11" t="str">
        <f>IF(G10="","",G10)</f>
        <v>Perjalanan</v>
      </c>
      <c r="H42" s="44">
        <v>50000</v>
      </c>
      <c r="I42" s="16">
        <f>IFERROR(SUM(F42*H42),"")</f>
        <v>200000</v>
      </c>
      <c r="J42" s="54">
        <v>1</v>
      </c>
      <c r="K42" s="56">
        <v>2</v>
      </c>
    </row>
    <row r="43" spans="1:14" ht="29.5" customHeight="1">
      <c r="A43" s="11">
        <v>2</v>
      </c>
      <c r="B43" s="12" t="str">
        <f>IF(B11="","",B11)</f>
        <v/>
      </c>
      <c r="C43" s="13"/>
      <c r="D43" s="12" t="str">
        <f t="shared" si="1"/>
        <v/>
      </c>
      <c r="E43" s="11" t="str">
        <f t="shared" si="1"/>
        <v/>
      </c>
      <c r="F43" s="11" t="str">
        <f>IF(F11="","",F11)</f>
        <v/>
      </c>
      <c r="G43" s="11" t="str">
        <f>IF(G11="","",G11)</f>
        <v/>
      </c>
      <c r="H43" s="44" t="str">
        <f>IF(H11="","",H11)</f>
        <v/>
      </c>
      <c r="I43" s="16" t="str">
        <f t="shared" ref="I43:I45" si="2">IFERROR(SUM(F43*H43),"")</f>
        <v/>
      </c>
      <c r="J43" s="55"/>
      <c r="K43" s="57"/>
    </row>
    <row r="44" spans="1:14" ht="22.5" hidden="1" customHeight="1">
      <c r="A44" s="11">
        <v>3</v>
      </c>
      <c r="B44" s="12" t="str">
        <f>IF(B12="","",B12)</f>
        <v/>
      </c>
      <c r="C44" s="13"/>
      <c r="D44" s="12" t="str">
        <f t="shared" si="1"/>
        <v/>
      </c>
      <c r="E44" s="11" t="str">
        <f t="shared" si="1"/>
        <v/>
      </c>
      <c r="F44" s="11" t="str">
        <f>IF(F12="","",F12)</f>
        <v/>
      </c>
      <c r="G44" s="11" t="str">
        <f>IF(G12="","",G12)</f>
        <v/>
      </c>
      <c r="H44" s="44" t="str">
        <f>IF(H12="","",H12)</f>
        <v/>
      </c>
      <c r="I44" s="16" t="str">
        <f t="shared" si="2"/>
        <v/>
      </c>
      <c r="J44" s="54">
        <v>3</v>
      </c>
      <c r="K44" s="56">
        <v>4</v>
      </c>
    </row>
    <row r="45" spans="1:14" ht="22.5" hidden="1" customHeight="1">
      <c r="A45" s="11">
        <v>4</v>
      </c>
      <c r="B45" s="12" t="str">
        <f>IF(B13="","",B13)</f>
        <v/>
      </c>
      <c r="C45" s="13"/>
      <c r="D45" s="12" t="str">
        <f t="shared" si="1"/>
        <v/>
      </c>
      <c r="E45" s="11" t="str">
        <f t="shared" si="1"/>
        <v/>
      </c>
      <c r="F45" s="11" t="str">
        <f>IF(F13="","",F13)</f>
        <v/>
      </c>
      <c r="G45" s="11" t="str">
        <f>IF(G13="","",G13)</f>
        <v/>
      </c>
      <c r="H45" s="44" t="str">
        <f>IF(H13="","",H13)</f>
        <v/>
      </c>
      <c r="I45" s="16" t="str">
        <f t="shared" si="2"/>
        <v/>
      </c>
      <c r="J45" s="55"/>
      <c r="K45" s="57"/>
    </row>
    <row r="46" spans="1:14" s="21" customFormat="1" ht="22.5" customHeight="1">
      <c r="A46" s="69" t="s">
        <v>20</v>
      </c>
      <c r="B46" s="70"/>
      <c r="C46" s="70"/>
      <c r="D46" s="70"/>
      <c r="E46" s="70"/>
      <c r="F46" s="70"/>
      <c r="G46" s="70"/>
      <c r="H46" s="71"/>
      <c r="I46" s="18">
        <f>SUM(I42:I45)</f>
        <v>200000</v>
      </c>
      <c r="J46" s="20"/>
      <c r="K46" s="20"/>
      <c r="N46" s="22"/>
    </row>
    <row r="47" spans="1:14" ht="23.25" customHeight="1">
      <c r="A47" s="7"/>
      <c r="B47" s="7"/>
      <c r="C47" s="7"/>
      <c r="D47" s="7"/>
      <c r="E47" s="7"/>
      <c r="F47" s="7"/>
      <c r="G47" s="7"/>
      <c r="H47" s="23"/>
      <c r="I47" s="23"/>
    </row>
    <row r="48" spans="1:14">
      <c r="A48" s="8"/>
      <c r="B48" s="8"/>
      <c r="C48" s="8"/>
      <c r="D48" s="8"/>
      <c r="E48" s="8"/>
      <c r="F48" s="8"/>
      <c r="G48" s="8"/>
      <c r="H48" s="8"/>
      <c r="J48" s="24" t="str">
        <f>Transpor_koordinasi!J48</f>
        <v>Cikalongwetan, 4 Februari 2026</v>
      </c>
    </row>
    <row r="49" spans="1:14">
      <c r="A49" s="8"/>
      <c r="C49" s="24" t="s">
        <v>21</v>
      </c>
      <c r="D49" s="24"/>
      <c r="E49" s="24"/>
      <c r="F49" s="24"/>
      <c r="G49" s="8"/>
      <c r="H49" s="8"/>
      <c r="J49" s="24" t="str">
        <f>Transpor_koordinasi!J49</f>
        <v>Dibayar Lunas Tgl. 4 Februari 2026</v>
      </c>
    </row>
    <row r="50" spans="1:14">
      <c r="A50" s="8"/>
      <c r="C50" s="24" t="s">
        <v>22</v>
      </c>
      <c r="D50" s="24"/>
      <c r="E50" s="24"/>
      <c r="F50" s="24"/>
      <c r="G50" s="8"/>
      <c r="H50" s="8"/>
      <c r="J50" s="24" t="s">
        <v>23</v>
      </c>
    </row>
    <row r="51" spans="1:14">
      <c r="A51" s="8"/>
      <c r="C51" s="24"/>
      <c r="D51" s="24"/>
      <c r="E51" s="24"/>
      <c r="F51" s="24"/>
      <c r="G51" s="8"/>
      <c r="H51" s="8"/>
      <c r="J51" s="25"/>
      <c r="N51" s="26"/>
    </row>
    <row r="52" spans="1:14">
      <c r="A52" s="8"/>
      <c r="C52" s="24"/>
      <c r="D52" s="24"/>
      <c r="E52" s="24"/>
      <c r="F52" s="24"/>
      <c r="G52" s="8"/>
      <c r="H52" s="8"/>
      <c r="J52" s="25"/>
    </row>
    <row r="53" spans="1:14">
      <c r="A53" s="8"/>
      <c r="C53" s="24"/>
      <c r="D53" s="24"/>
      <c r="E53" s="24"/>
      <c r="F53" s="24"/>
      <c r="G53" s="8"/>
      <c r="H53" s="8"/>
      <c r="J53" s="25"/>
    </row>
    <row r="54" spans="1:14">
      <c r="A54" s="8"/>
      <c r="C54" s="24"/>
      <c r="D54" s="24"/>
      <c r="E54" s="24"/>
      <c r="F54" s="24"/>
      <c r="G54" s="8"/>
      <c r="H54" s="8"/>
      <c r="J54" s="25"/>
    </row>
    <row r="55" spans="1:14">
      <c r="A55" s="8"/>
      <c r="C55" s="24"/>
      <c r="D55" s="24"/>
      <c r="E55" s="24"/>
      <c r="F55" s="24"/>
      <c r="G55" s="8"/>
      <c r="H55" s="8"/>
      <c r="J55" s="25"/>
    </row>
    <row r="56" spans="1:14" ht="15" customHeight="1">
      <c r="A56" s="8"/>
      <c r="C56" s="27" t="str">
        <f>C24</f>
        <v>BADRUDDIN, S.Ag.</v>
      </c>
      <c r="D56" s="28"/>
      <c r="E56" s="28"/>
      <c r="F56" s="8"/>
      <c r="G56" s="8"/>
      <c r="J56" s="27" t="str">
        <f>J24</f>
        <v>DEDE GUNAWAN, S.Pd.</v>
      </c>
    </row>
    <row r="57" spans="1:14" ht="13.5" customHeight="1">
      <c r="A57" s="8"/>
      <c r="C57" s="43" t="str">
        <f>C25</f>
        <v>NIP. 197405082014121002</v>
      </c>
      <c r="D57" s="25"/>
      <c r="E57" s="25"/>
      <c r="F57" s="8"/>
      <c r="G57" s="8"/>
      <c r="J57" s="43" t="str">
        <f>J25</f>
        <v>NIP. 198507172020121003</v>
      </c>
    </row>
    <row r="58" spans="1:14" ht="15" customHeight="1">
      <c r="A58" s="8"/>
      <c r="C58" s="28"/>
      <c r="D58" s="28"/>
      <c r="E58" s="28"/>
      <c r="F58" s="28"/>
      <c r="G58" s="8"/>
      <c r="H58" s="8"/>
      <c r="J58" s="29"/>
    </row>
    <row r="59" spans="1:14" ht="13.5" customHeight="1"/>
    <row r="60" spans="1:14" ht="13.5" customHeight="1"/>
    <row r="61" spans="1:14" ht="13.5" customHeight="1"/>
    <row r="62" spans="1:14" ht="13.5" customHeight="1"/>
    <row r="65" spans="1:14" ht="17.25" customHeight="1">
      <c r="A65" s="76" t="str">
        <f>$A$1</f>
        <v>DAFTAR BUKTI PENERIMA PERJALANAN DINAS RAPAT KERJA TEKNIS OPERATOR TK. GUGUS (Transaksi Non Tunai)</v>
      </c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4" ht="17.25" customHeight="1">
      <c r="A66" s="64" t="str">
        <f>Transpor_koordinasi!A66</f>
        <v>BULAN MARET 2026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4" ht="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4" ht="15" customHeight="1">
      <c r="C68" s="4" t="s">
        <v>0</v>
      </c>
      <c r="D68" s="5" t="s">
        <v>56</v>
      </c>
      <c r="F68" s="6"/>
      <c r="G68" s="7"/>
      <c r="H68" s="7"/>
      <c r="I68" s="4" t="s">
        <v>26</v>
      </c>
      <c r="J68" s="4" t="str">
        <f>J36</f>
        <v>: 06 Pengembangan Standar Pengelolaan</v>
      </c>
    </row>
    <row r="69" spans="1:14" ht="15" customHeight="1">
      <c r="C69" s="4" t="s">
        <v>2</v>
      </c>
      <c r="D69" s="4" t="str">
        <f>D37</f>
        <v>: SD NEGERI LEBAKLEUNGSIR</v>
      </c>
      <c r="F69" s="6"/>
      <c r="H69" s="8"/>
      <c r="I69" s="4" t="s">
        <v>27</v>
      </c>
      <c r="J69" s="4" t="str">
        <f>J37</f>
        <v>: Perjalanan Dinas Rakernis Operator</v>
      </c>
    </row>
    <row r="70" spans="1:14" ht="15" customHeight="1">
      <c r="C70" s="4" t="s">
        <v>3</v>
      </c>
      <c r="D70" s="4" t="str">
        <f>D38</f>
        <v>: Cikalongwetan</v>
      </c>
      <c r="F70" s="6"/>
      <c r="H70" s="8"/>
      <c r="I70" s="8" t="s">
        <v>28</v>
      </c>
      <c r="J70" s="4" t="str">
        <f>J38</f>
        <v>: 5.1.02.04.01.0003</v>
      </c>
    </row>
    <row r="71" spans="1:14" ht="15" customHeight="1">
      <c r="C71" s="4" t="s">
        <v>5</v>
      </c>
      <c r="D71" s="4" t="str">
        <f>D39</f>
        <v>: Bandung Barat</v>
      </c>
      <c r="F71" s="6"/>
      <c r="H71" s="8"/>
      <c r="I71" s="4" t="s">
        <v>7</v>
      </c>
      <c r="J71" s="4" t="str">
        <f>J39</f>
        <v>: 5</v>
      </c>
    </row>
    <row r="72" spans="1:14" ht="15" customHeight="1">
      <c r="H72" s="8"/>
      <c r="I72" s="8"/>
      <c r="J72" s="8"/>
    </row>
    <row r="73" spans="1:14" ht="41.25" customHeight="1">
      <c r="A73" s="9" t="s">
        <v>8</v>
      </c>
      <c r="B73" s="65" t="s">
        <v>9</v>
      </c>
      <c r="C73" s="66"/>
      <c r="D73" s="9" t="s">
        <v>10</v>
      </c>
      <c r="E73" s="10" t="s">
        <v>11</v>
      </c>
      <c r="F73" s="9" t="s">
        <v>45</v>
      </c>
      <c r="G73" s="9" t="s">
        <v>24</v>
      </c>
      <c r="H73" s="10" t="s">
        <v>13</v>
      </c>
      <c r="I73" s="10" t="s">
        <v>14</v>
      </c>
      <c r="J73" s="69" t="s">
        <v>17</v>
      </c>
      <c r="K73" s="71"/>
    </row>
    <row r="74" spans="1:14" ht="22.5" customHeight="1">
      <c r="A74" s="11">
        <v>1</v>
      </c>
      <c r="B74" s="12" t="str">
        <f>IF(B42="","",B42)</f>
        <v>RISNA MARSELA HARTINI</v>
      </c>
      <c r="C74" s="13"/>
      <c r="D74" s="12" t="str">
        <f t="shared" ref="D74:E77" si="3">IF(D42="","",D42)</f>
        <v>Operator</v>
      </c>
      <c r="E74" s="11" t="str">
        <f t="shared" si="3"/>
        <v>-</v>
      </c>
      <c r="F74" s="11">
        <v>2</v>
      </c>
      <c r="G74" s="11" t="str">
        <f t="shared" ref="G74:H77" si="4">IF(G42="","",G42)</f>
        <v>Perjalanan</v>
      </c>
      <c r="H74" s="44">
        <f t="shared" si="4"/>
        <v>50000</v>
      </c>
      <c r="I74" s="16">
        <f>IFERROR(SUM(F74*H74),"")</f>
        <v>100000</v>
      </c>
      <c r="J74" s="54">
        <v>1</v>
      </c>
      <c r="K74" s="56">
        <v>2</v>
      </c>
    </row>
    <row r="75" spans="1:14" ht="22.5" customHeight="1">
      <c r="A75" s="11">
        <v>2</v>
      </c>
      <c r="B75" s="12" t="str">
        <f>IF(B43="","",B43)</f>
        <v/>
      </c>
      <c r="C75" s="13"/>
      <c r="D75" s="12" t="str">
        <f t="shared" si="3"/>
        <v/>
      </c>
      <c r="E75" s="11" t="str">
        <f t="shared" si="3"/>
        <v/>
      </c>
      <c r="F75" s="11" t="str">
        <f>IF(F43="","",F43)</f>
        <v/>
      </c>
      <c r="G75" s="11" t="str">
        <f t="shared" si="4"/>
        <v/>
      </c>
      <c r="H75" s="44" t="str">
        <f t="shared" si="4"/>
        <v/>
      </c>
      <c r="I75" s="16" t="str">
        <f t="shared" ref="I75:I77" si="5">IFERROR(SUM(F75*H75),"")</f>
        <v/>
      </c>
      <c r="J75" s="55"/>
      <c r="K75" s="57"/>
    </row>
    <row r="76" spans="1:14" ht="22.5" hidden="1" customHeight="1">
      <c r="A76" s="11">
        <v>3</v>
      </c>
      <c r="B76" s="12" t="str">
        <f>IF(B44="","",B44)</f>
        <v/>
      </c>
      <c r="C76" s="13"/>
      <c r="D76" s="12" t="str">
        <f t="shared" si="3"/>
        <v/>
      </c>
      <c r="E76" s="11" t="str">
        <f t="shared" si="3"/>
        <v/>
      </c>
      <c r="F76" s="11" t="str">
        <f>IF(F44="","",F44)</f>
        <v/>
      </c>
      <c r="G76" s="11" t="str">
        <f t="shared" si="4"/>
        <v/>
      </c>
      <c r="H76" s="44" t="str">
        <f t="shared" si="4"/>
        <v/>
      </c>
      <c r="I76" s="16" t="str">
        <f t="shared" si="5"/>
        <v/>
      </c>
      <c r="J76" s="54">
        <v>3</v>
      </c>
      <c r="K76" s="56">
        <v>4</v>
      </c>
    </row>
    <row r="77" spans="1:14" ht="22.5" hidden="1" customHeight="1">
      <c r="A77" s="11">
        <v>4</v>
      </c>
      <c r="B77" s="12" t="str">
        <f>IF(B45="","",B45)</f>
        <v/>
      </c>
      <c r="C77" s="13"/>
      <c r="D77" s="12" t="str">
        <f t="shared" si="3"/>
        <v/>
      </c>
      <c r="E77" s="11" t="str">
        <f t="shared" si="3"/>
        <v/>
      </c>
      <c r="F77" s="11" t="str">
        <f>IF(F45="","",F45)</f>
        <v/>
      </c>
      <c r="G77" s="11" t="str">
        <f t="shared" si="4"/>
        <v/>
      </c>
      <c r="H77" s="44" t="str">
        <f t="shared" si="4"/>
        <v/>
      </c>
      <c r="I77" s="16" t="str">
        <f t="shared" si="5"/>
        <v/>
      </c>
      <c r="J77" s="55"/>
      <c r="K77" s="57"/>
    </row>
    <row r="78" spans="1:14" s="21" customFormat="1" ht="22.5" customHeight="1">
      <c r="A78" s="69" t="s">
        <v>20</v>
      </c>
      <c r="B78" s="70"/>
      <c r="C78" s="70"/>
      <c r="D78" s="70"/>
      <c r="E78" s="70"/>
      <c r="F78" s="70"/>
      <c r="G78" s="70"/>
      <c r="H78" s="71"/>
      <c r="I78" s="18">
        <f>SUM(I74:I77)</f>
        <v>100000</v>
      </c>
      <c r="J78" s="20"/>
      <c r="K78" s="20"/>
      <c r="N78" s="22"/>
    </row>
    <row r="79" spans="1:14" ht="23.25" customHeight="1">
      <c r="A79" s="7"/>
      <c r="B79" s="7"/>
      <c r="C79" s="7"/>
      <c r="D79" s="7"/>
      <c r="E79" s="7"/>
      <c r="F79" s="7"/>
      <c r="G79" s="7"/>
      <c r="H79" s="23"/>
      <c r="I79" s="23"/>
    </row>
    <row r="80" spans="1:14">
      <c r="A80" s="8"/>
      <c r="B80" s="8"/>
      <c r="C80" s="8"/>
      <c r="D80" s="8"/>
      <c r="E80" s="8"/>
      <c r="F80" s="8"/>
      <c r="G80" s="8"/>
      <c r="H80" s="8"/>
      <c r="J80" s="24" t="str">
        <f>Transpor_koordinasi!J80</f>
        <v>Cikalongwetan, 5 Maret 2026</v>
      </c>
    </row>
    <row r="81" spans="1:14">
      <c r="A81" s="8"/>
      <c r="C81" s="24" t="s">
        <v>21</v>
      </c>
      <c r="D81" s="24"/>
      <c r="E81" s="24"/>
      <c r="F81" s="24"/>
      <c r="G81" s="8"/>
      <c r="H81" s="8"/>
      <c r="J81" s="24" t="str">
        <f>Honor_penjaga!O92</f>
        <v>Dibayar Lunas Tgl. 5 Maret 2026</v>
      </c>
    </row>
    <row r="82" spans="1:14">
      <c r="A82" s="8"/>
      <c r="C82" s="24" t="s">
        <v>22</v>
      </c>
      <c r="D82" s="24"/>
      <c r="E82" s="24"/>
      <c r="F82" s="24"/>
      <c r="G82" s="8"/>
      <c r="H82" s="8"/>
      <c r="J82" s="24" t="s">
        <v>23</v>
      </c>
    </row>
    <row r="83" spans="1:14">
      <c r="A83" s="8"/>
      <c r="C83" s="24"/>
      <c r="D83" s="24"/>
      <c r="E83" s="24"/>
      <c r="F83" s="24"/>
      <c r="G83" s="8"/>
      <c r="H83" s="8"/>
      <c r="J83" s="25"/>
      <c r="N83" s="26"/>
    </row>
    <row r="84" spans="1:14">
      <c r="A84" s="8"/>
      <c r="C84" s="24"/>
      <c r="D84" s="24"/>
      <c r="E84" s="24"/>
      <c r="F84" s="24"/>
      <c r="G84" s="8"/>
      <c r="H84" s="8"/>
      <c r="J84" s="25"/>
    </row>
    <row r="85" spans="1:14">
      <c r="A85" s="8"/>
      <c r="C85" s="24"/>
      <c r="D85" s="24"/>
      <c r="E85" s="24"/>
      <c r="F85" s="24"/>
      <c r="G85" s="8"/>
      <c r="H85" s="8"/>
      <c r="J85" s="25"/>
    </row>
    <row r="86" spans="1:14">
      <c r="A86" s="8"/>
      <c r="C86" s="24"/>
      <c r="D86" s="24"/>
      <c r="E86" s="24"/>
      <c r="F86" s="24"/>
      <c r="G86" s="8"/>
      <c r="H86" s="8"/>
      <c r="J86" s="25"/>
    </row>
    <row r="87" spans="1:14">
      <c r="A87" s="8"/>
      <c r="C87" s="24"/>
      <c r="D87" s="24"/>
      <c r="E87" s="24"/>
      <c r="F87" s="24"/>
      <c r="G87" s="8"/>
      <c r="H87" s="8"/>
      <c r="J87" s="25"/>
    </row>
    <row r="88" spans="1:14" ht="15" customHeight="1">
      <c r="A88" s="8"/>
      <c r="C88" s="27" t="str">
        <f>C56</f>
        <v>BADRUDDIN, S.Ag.</v>
      </c>
      <c r="D88" s="28"/>
      <c r="E88" s="28"/>
      <c r="F88" s="8"/>
      <c r="G88" s="8"/>
      <c r="J88" s="27" t="str">
        <f>J56</f>
        <v>DEDE GUNAWAN, S.Pd.</v>
      </c>
    </row>
    <row r="89" spans="1:14" ht="13.5" customHeight="1">
      <c r="A89" s="8"/>
      <c r="C89" s="43" t="str">
        <f>C57</f>
        <v>NIP. 197405082014121002</v>
      </c>
      <c r="D89" s="25"/>
      <c r="E89" s="25"/>
      <c r="F89" s="8"/>
      <c r="G89" s="8"/>
      <c r="J89" s="43" t="str">
        <f>J57</f>
        <v>NIP. 198507172020121003</v>
      </c>
    </row>
    <row r="90" spans="1:14" ht="15" customHeight="1">
      <c r="A90" s="8"/>
      <c r="C90" s="28"/>
      <c r="D90" s="28"/>
      <c r="E90" s="28"/>
      <c r="F90" s="28"/>
      <c r="G90" s="8"/>
      <c r="H90" s="8"/>
      <c r="J90" s="29"/>
    </row>
    <row r="91" spans="1:14" ht="13.5" customHeight="1"/>
    <row r="92" spans="1:14" ht="13.5" customHeight="1"/>
    <row r="93" spans="1:14" ht="13.5" customHeight="1"/>
    <row r="94" spans="1:14" ht="13.5" customHeight="1"/>
    <row r="98" spans="1:14" ht="17.25" customHeight="1">
      <c r="A98" s="76" t="str">
        <f>$A$1</f>
        <v>DAFTAR BUKTI PENERIMA PERJALANAN DINAS RAPAT KERJA TEKNIS OPERATOR TK. GUGUS (Transaksi Non Tunai)</v>
      </c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spans="1:14" ht="17.25" customHeight="1">
      <c r="A99" s="64" t="str">
        <f>Transpor_koordinasi!A98</f>
        <v>BULAN APRIL 2026</v>
      </c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4" ht="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4" ht="15" customHeight="1">
      <c r="C101" s="4" t="s">
        <v>0</v>
      </c>
      <c r="D101" s="5" t="s">
        <v>56</v>
      </c>
      <c r="F101" s="6"/>
      <c r="G101" s="7"/>
      <c r="H101" s="7"/>
      <c r="I101" s="4" t="s">
        <v>26</v>
      </c>
      <c r="J101" s="4" t="str">
        <f>J68</f>
        <v>: 06 Pengembangan Standar Pengelolaan</v>
      </c>
    </row>
    <row r="102" spans="1:14" ht="15" customHeight="1">
      <c r="C102" s="4" t="s">
        <v>2</v>
      </c>
      <c r="D102" s="4" t="str">
        <f>D69</f>
        <v>: SD NEGERI LEBAKLEUNGSIR</v>
      </c>
      <c r="F102" s="6"/>
      <c r="H102" s="8"/>
      <c r="I102" s="4" t="s">
        <v>27</v>
      </c>
      <c r="J102" s="4" t="str">
        <f>J69</f>
        <v>: Perjalanan Dinas Rakernis Operator</v>
      </c>
    </row>
    <row r="103" spans="1:14" ht="15" customHeight="1">
      <c r="C103" s="4" t="s">
        <v>3</v>
      </c>
      <c r="D103" s="4" t="str">
        <f>D70</f>
        <v>: Cikalongwetan</v>
      </c>
      <c r="F103" s="6"/>
      <c r="H103" s="8"/>
      <c r="I103" s="8" t="s">
        <v>28</v>
      </c>
      <c r="J103" s="4" t="str">
        <f>J70</f>
        <v>: 5.1.02.04.01.0003</v>
      </c>
    </row>
    <row r="104" spans="1:14" ht="15" customHeight="1">
      <c r="C104" s="4" t="s">
        <v>5</v>
      </c>
      <c r="D104" s="4" t="str">
        <f>D71</f>
        <v>: Bandung Barat</v>
      </c>
      <c r="F104" s="6"/>
      <c r="H104" s="8"/>
      <c r="I104" s="4" t="s">
        <v>7</v>
      </c>
      <c r="J104" s="4" t="str">
        <f>J71</f>
        <v>: 5</v>
      </c>
    </row>
    <row r="105" spans="1:14" ht="15" customHeight="1">
      <c r="H105" s="8"/>
      <c r="I105" s="8"/>
      <c r="J105" s="8"/>
    </row>
    <row r="106" spans="1:14" ht="41.25" customHeight="1">
      <c r="A106" s="9" t="s">
        <v>8</v>
      </c>
      <c r="B106" s="65" t="s">
        <v>9</v>
      </c>
      <c r="C106" s="66"/>
      <c r="D106" s="9" t="s">
        <v>10</v>
      </c>
      <c r="E106" s="10" t="s">
        <v>11</v>
      </c>
      <c r="F106" s="9" t="s">
        <v>45</v>
      </c>
      <c r="G106" s="9" t="s">
        <v>24</v>
      </c>
      <c r="H106" s="10" t="s">
        <v>13</v>
      </c>
      <c r="I106" s="10" t="s">
        <v>14</v>
      </c>
      <c r="J106" s="69" t="s">
        <v>17</v>
      </c>
      <c r="K106" s="71"/>
    </row>
    <row r="107" spans="1:14" ht="29" customHeight="1">
      <c r="A107" s="11">
        <v>1</v>
      </c>
      <c r="B107" s="12" t="str">
        <f>IF(B74="","",B74)</f>
        <v>RISNA MARSELA HARTINI</v>
      </c>
      <c r="C107" s="13"/>
      <c r="D107" s="12" t="str">
        <f t="shared" ref="D107:E110" si="6">IF(D74="","",D74)</f>
        <v>Operator</v>
      </c>
      <c r="E107" s="11" t="str">
        <f t="shared" si="6"/>
        <v>-</v>
      </c>
      <c r="F107" s="11">
        <v>1</v>
      </c>
      <c r="G107" s="11" t="str">
        <f t="shared" ref="G107:H110" si="7">IF(G74="","",G74)</f>
        <v>Perjalanan</v>
      </c>
      <c r="H107" s="44">
        <f t="shared" si="7"/>
        <v>50000</v>
      </c>
      <c r="I107" s="16">
        <f>IFERROR(SUM(F107*H107),"")</f>
        <v>50000</v>
      </c>
      <c r="J107" s="54">
        <v>1</v>
      </c>
      <c r="K107" s="56">
        <v>2</v>
      </c>
    </row>
    <row r="108" spans="1:14" ht="29" customHeight="1">
      <c r="A108" s="11">
        <v>2</v>
      </c>
      <c r="B108" s="12" t="str">
        <f>IF(B75="","",B75)</f>
        <v/>
      </c>
      <c r="C108" s="13"/>
      <c r="D108" s="12" t="str">
        <f t="shared" si="6"/>
        <v/>
      </c>
      <c r="E108" s="11" t="str">
        <f t="shared" si="6"/>
        <v/>
      </c>
      <c r="F108" s="11" t="str">
        <f>IF(F75="","",F75)</f>
        <v/>
      </c>
      <c r="G108" s="11" t="str">
        <f t="shared" si="7"/>
        <v/>
      </c>
      <c r="H108" s="44" t="str">
        <f t="shared" si="7"/>
        <v/>
      </c>
      <c r="I108" s="16" t="str">
        <f t="shared" ref="I108:I110" si="8">IFERROR(SUM(F108*H108),"")</f>
        <v/>
      </c>
      <c r="J108" s="55"/>
      <c r="K108" s="57"/>
    </row>
    <row r="109" spans="1:14" ht="22.5" hidden="1" customHeight="1">
      <c r="A109" s="11">
        <v>3</v>
      </c>
      <c r="B109" s="12" t="str">
        <f>IF(B76="","",B76)</f>
        <v/>
      </c>
      <c r="C109" s="13"/>
      <c r="D109" s="12" t="str">
        <f t="shared" si="6"/>
        <v/>
      </c>
      <c r="E109" s="11" t="str">
        <f t="shared" si="6"/>
        <v/>
      </c>
      <c r="F109" s="11" t="str">
        <f>IF(F76="","",F76)</f>
        <v/>
      </c>
      <c r="G109" s="11" t="str">
        <f t="shared" si="7"/>
        <v/>
      </c>
      <c r="H109" s="44" t="str">
        <f t="shared" si="7"/>
        <v/>
      </c>
      <c r="I109" s="16" t="str">
        <f t="shared" si="8"/>
        <v/>
      </c>
      <c r="J109" s="54">
        <v>3</v>
      </c>
      <c r="K109" s="56">
        <v>4</v>
      </c>
    </row>
    <row r="110" spans="1:14" ht="22.5" hidden="1" customHeight="1">
      <c r="A110" s="11">
        <v>4</v>
      </c>
      <c r="B110" s="12" t="str">
        <f>IF(B77="","",B77)</f>
        <v/>
      </c>
      <c r="C110" s="13"/>
      <c r="D110" s="12" t="str">
        <f t="shared" si="6"/>
        <v/>
      </c>
      <c r="E110" s="11" t="str">
        <f t="shared" si="6"/>
        <v/>
      </c>
      <c r="F110" s="11" t="str">
        <f>IF(F77="","",F77)</f>
        <v/>
      </c>
      <c r="G110" s="11" t="str">
        <f t="shared" si="7"/>
        <v/>
      </c>
      <c r="H110" s="44" t="str">
        <f t="shared" si="7"/>
        <v/>
      </c>
      <c r="I110" s="16" t="str">
        <f t="shared" si="8"/>
        <v/>
      </c>
      <c r="J110" s="55"/>
      <c r="K110" s="57"/>
    </row>
    <row r="111" spans="1:14" s="21" customFormat="1" ht="22.5" customHeight="1">
      <c r="A111" s="69" t="s">
        <v>20</v>
      </c>
      <c r="B111" s="70"/>
      <c r="C111" s="70"/>
      <c r="D111" s="70"/>
      <c r="E111" s="70"/>
      <c r="F111" s="70"/>
      <c r="G111" s="70"/>
      <c r="H111" s="71"/>
      <c r="I111" s="18">
        <f>SUM(I107:I110)</f>
        <v>50000</v>
      </c>
      <c r="J111" s="20"/>
      <c r="K111" s="20"/>
      <c r="N111" s="22"/>
    </row>
    <row r="112" spans="1:14" ht="23.25" customHeight="1">
      <c r="A112" s="7"/>
      <c r="B112" s="7"/>
      <c r="C112" s="7"/>
      <c r="D112" s="7"/>
      <c r="E112" s="7"/>
      <c r="F112" s="7"/>
      <c r="G112" s="7"/>
      <c r="H112" s="23"/>
      <c r="I112" s="23"/>
    </row>
    <row r="113" spans="1:14">
      <c r="A113" s="8"/>
      <c r="B113" s="8"/>
      <c r="C113" s="8"/>
      <c r="D113" s="8"/>
      <c r="E113" s="8"/>
      <c r="F113" s="8"/>
      <c r="G113" s="8"/>
      <c r="H113" s="8"/>
      <c r="J113" s="24" t="str">
        <f>Transpor_koordinasi!J112</f>
        <v>Cikalongwetan, 7 April 2026</v>
      </c>
    </row>
    <row r="114" spans="1:14">
      <c r="A114" s="8"/>
      <c r="C114" s="24" t="s">
        <v>21</v>
      </c>
      <c r="D114" s="24"/>
      <c r="E114" s="24"/>
      <c r="F114" s="24"/>
      <c r="G114" s="8"/>
      <c r="H114" s="8"/>
      <c r="J114" s="24" t="str">
        <f>Honor_penjaga!O128</f>
        <v>Dibayar Lunas Tgl. 7 April 2026</v>
      </c>
    </row>
    <row r="115" spans="1:14">
      <c r="A115" s="8"/>
      <c r="C115" s="24" t="s">
        <v>22</v>
      </c>
      <c r="D115" s="24"/>
      <c r="E115" s="24"/>
      <c r="F115" s="24"/>
      <c r="G115" s="8"/>
      <c r="H115" s="8"/>
      <c r="J115" s="24" t="s">
        <v>23</v>
      </c>
    </row>
    <row r="116" spans="1:14">
      <c r="A116" s="8"/>
      <c r="C116" s="24"/>
      <c r="D116" s="24"/>
      <c r="E116" s="24"/>
      <c r="F116" s="24"/>
      <c r="G116" s="8"/>
      <c r="H116" s="8"/>
      <c r="J116" s="25"/>
      <c r="N116" s="26"/>
    </row>
    <row r="117" spans="1:14">
      <c r="A117" s="8"/>
      <c r="C117" s="24"/>
      <c r="D117" s="24"/>
      <c r="E117" s="24"/>
      <c r="F117" s="24"/>
      <c r="G117" s="8"/>
      <c r="H117" s="8"/>
      <c r="J117" s="25"/>
    </row>
    <row r="118" spans="1:14">
      <c r="A118" s="8"/>
      <c r="C118" s="24"/>
      <c r="D118" s="24"/>
      <c r="E118" s="24"/>
      <c r="F118" s="24"/>
      <c r="G118" s="8"/>
      <c r="H118" s="8"/>
      <c r="J118" s="25"/>
    </row>
    <row r="119" spans="1:14">
      <c r="A119" s="8"/>
      <c r="C119" s="24"/>
      <c r="D119" s="24"/>
      <c r="E119" s="24"/>
      <c r="F119" s="24"/>
      <c r="G119" s="8"/>
      <c r="H119" s="8"/>
      <c r="J119" s="25"/>
    </row>
    <row r="120" spans="1:14">
      <c r="A120" s="8"/>
      <c r="C120" s="24"/>
      <c r="D120" s="24"/>
      <c r="E120" s="24"/>
      <c r="F120" s="24"/>
      <c r="G120" s="8"/>
      <c r="H120" s="8"/>
      <c r="J120" s="25"/>
    </row>
    <row r="121" spans="1:14" ht="15" customHeight="1">
      <c r="A121" s="8"/>
      <c r="C121" s="27" t="str">
        <f>Transpor_koordinasi!C120</f>
        <v>BADRUDDIN, S.Ag.</v>
      </c>
      <c r="D121" s="28"/>
      <c r="E121" s="28"/>
      <c r="F121" s="8"/>
      <c r="G121" s="8"/>
      <c r="J121" s="27" t="str">
        <f>J88</f>
        <v>DEDE GUNAWAN, S.Pd.</v>
      </c>
    </row>
    <row r="122" spans="1:14" ht="13.5" customHeight="1">
      <c r="A122" s="8"/>
      <c r="C122" s="43" t="str">
        <f>Transpor_koordinasi!C121</f>
        <v>NIP. 197405082014121002</v>
      </c>
      <c r="D122" s="25"/>
      <c r="E122" s="25"/>
      <c r="F122" s="8"/>
      <c r="G122" s="8"/>
      <c r="J122" s="43" t="str">
        <f>J89</f>
        <v>NIP. 198507172020121003</v>
      </c>
    </row>
    <row r="123" spans="1:14" ht="15" customHeight="1">
      <c r="A123" s="8"/>
      <c r="C123" s="28"/>
      <c r="D123" s="28"/>
      <c r="E123" s="28"/>
      <c r="F123" s="28"/>
      <c r="G123" s="8"/>
      <c r="H123" s="8"/>
      <c r="J123" s="29"/>
    </row>
    <row r="124" spans="1:14" ht="13.5" customHeight="1"/>
    <row r="125" spans="1:14" ht="13.5" customHeight="1"/>
    <row r="126" spans="1:14" ht="13.5" customHeight="1"/>
    <row r="127" spans="1:14" ht="13.5" customHeight="1"/>
    <row r="130" spans="1:14" ht="17.25" customHeight="1">
      <c r="A130" s="76" t="str">
        <f>$A$1</f>
        <v>DAFTAR BUKTI PENERIMA PERJALANAN DINAS RAPAT KERJA TEKNIS OPERATOR TK. GUGUS (Transaksi Non Tunai)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4" ht="17.25" customHeight="1">
      <c r="A131" s="64" t="str">
        <f>Transpor_koordinasi!A130</f>
        <v>BULAN MEI 2026</v>
      </c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4" ht="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4" ht="15" customHeight="1">
      <c r="C133" s="4" t="s">
        <v>0</v>
      </c>
      <c r="D133" s="5" t="s">
        <v>56</v>
      </c>
      <c r="F133" s="6"/>
      <c r="G133" s="7"/>
      <c r="H133" s="7"/>
      <c r="I133" s="4" t="s">
        <v>26</v>
      </c>
      <c r="J133" s="4" t="str">
        <f>J101</f>
        <v>: 06 Pengembangan Standar Pengelolaan</v>
      </c>
    </row>
    <row r="134" spans="1:14" ht="15" customHeight="1">
      <c r="C134" s="4" t="s">
        <v>2</v>
      </c>
      <c r="D134" s="4" t="str">
        <f>D102</f>
        <v>: SD NEGERI LEBAKLEUNGSIR</v>
      </c>
      <c r="F134" s="6"/>
      <c r="H134" s="8"/>
      <c r="I134" s="4" t="s">
        <v>27</v>
      </c>
      <c r="J134" s="4" t="str">
        <f>J102</f>
        <v>: Perjalanan Dinas Rakernis Operator</v>
      </c>
    </row>
    <row r="135" spans="1:14" ht="15" customHeight="1">
      <c r="C135" s="4" t="s">
        <v>3</v>
      </c>
      <c r="D135" s="4" t="str">
        <f>D103</f>
        <v>: Cikalongwetan</v>
      </c>
      <c r="F135" s="6"/>
      <c r="H135" s="8"/>
      <c r="I135" s="8" t="s">
        <v>28</v>
      </c>
      <c r="J135" s="4" t="str">
        <f>J103</f>
        <v>: 5.1.02.04.01.0003</v>
      </c>
    </row>
    <row r="136" spans="1:14" ht="15" customHeight="1">
      <c r="C136" s="4" t="s">
        <v>5</v>
      </c>
      <c r="D136" s="4" t="str">
        <f>D104</f>
        <v>: Bandung Barat</v>
      </c>
      <c r="F136" s="6"/>
      <c r="H136" s="8"/>
      <c r="I136" s="4" t="s">
        <v>7</v>
      </c>
      <c r="J136" s="4" t="str">
        <f>J104</f>
        <v>: 5</v>
      </c>
    </row>
    <row r="137" spans="1:14" ht="15" customHeight="1">
      <c r="H137" s="8"/>
      <c r="I137" s="8"/>
      <c r="J137" s="8"/>
    </row>
    <row r="138" spans="1:14" ht="41.25" customHeight="1">
      <c r="A138" s="9" t="s">
        <v>8</v>
      </c>
      <c r="B138" s="65" t="s">
        <v>9</v>
      </c>
      <c r="C138" s="66"/>
      <c r="D138" s="9" t="s">
        <v>10</v>
      </c>
      <c r="E138" s="10" t="s">
        <v>11</v>
      </c>
      <c r="F138" s="9" t="s">
        <v>45</v>
      </c>
      <c r="G138" s="9" t="s">
        <v>24</v>
      </c>
      <c r="H138" s="10" t="s">
        <v>13</v>
      </c>
      <c r="I138" s="10" t="s">
        <v>14</v>
      </c>
      <c r="J138" s="69" t="s">
        <v>17</v>
      </c>
      <c r="K138" s="71"/>
    </row>
    <row r="139" spans="1:14" ht="30.5" customHeight="1">
      <c r="A139" s="11">
        <v>1</v>
      </c>
      <c r="B139" s="12" t="str">
        <f>IF(B107="","",B107)</f>
        <v>RISNA MARSELA HARTINI</v>
      </c>
      <c r="C139" s="13"/>
      <c r="D139" s="12" t="str">
        <f t="shared" ref="D139:E142" si="9">IF(D107="","",D107)</f>
        <v>Operator</v>
      </c>
      <c r="E139" s="11" t="str">
        <f t="shared" si="9"/>
        <v>-</v>
      </c>
      <c r="F139" s="11">
        <v>1</v>
      </c>
      <c r="G139" s="11" t="str">
        <f t="shared" ref="G139:H142" si="10">IF(G107="","",G107)</f>
        <v>Perjalanan</v>
      </c>
      <c r="H139" s="44">
        <f t="shared" si="10"/>
        <v>50000</v>
      </c>
      <c r="I139" s="16">
        <f>IFERROR(SUM(F139*H139),"")</f>
        <v>50000</v>
      </c>
      <c r="J139" s="54">
        <v>1</v>
      </c>
      <c r="K139" s="56">
        <v>2</v>
      </c>
    </row>
    <row r="140" spans="1:14" ht="30.5" customHeight="1">
      <c r="A140" s="11">
        <v>2</v>
      </c>
      <c r="B140" s="12" t="str">
        <f>IF(B108="","",B108)</f>
        <v/>
      </c>
      <c r="C140" s="13"/>
      <c r="D140" s="12" t="str">
        <f t="shared" si="9"/>
        <v/>
      </c>
      <c r="E140" s="11" t="str">
        <f t="shared" si="9"/>
        <v/>
      </c>
      <c r="F140" s="11" t="str">
        <f>IF(F108="","",F108)</f>
        <v/>
      </c>
      <c r="G140" s="11" t="str">
        <f t="shared" si="10"/>
        <v/>
      </c>
      <c r="H140" s="44" t="str">
        <f t="shared" si="10"/>
        <v/>
      </c>
      <c r="I140" s="16" t="str">
        <f t="shared" ref="I140:I142" si="11">IFERROR(SUM(F140*H140),"")</f>
        <v/>
      </c>
      <c r="J140" s="55"/>
      <c r="K140" s="57"/>
    </row>
    <row r="141" spans="1:14" ht="22.5" hidden="1" customHeight="1">
      <c r="A141" s="11">
        <v>3</v>
      </c>
      <c r="B141" s="12" t="str">
        <f>IF(B109="","",B109)</f>
        <v/>
      </c>
      <c r="C141" s="13"/>
      <c r="D141" s="12" t="str">
        <f t="shared" si="9"/>
        <v/>
      </c>
      <c r="E141" s="11" t="str">
        <f t="shared" si="9"/>
        <v/>
      </c>
      <c r="F141" s="11" t="str">
        <f>IF(F109="","",F109)</f>
        <v/>
      </c>
      <c r="G141" s="11" t="str">
        <f t="shared" si="10"/>
        <v/>
      </c>
      <c r="H141" s="44" t="str">
        <f t="shared" si="10"/>
        <v/>
      </c>
      <c r="I141" s="16" t="str">
        <f t="shared" si="11"/>
        <v/>
      </c>
      <c r="J141" s="54">
        <v>3</v>
      </c>
      <c r="K141" s="56">
        <v>4</v>
      </c>
    </row>
    <row r="142" spans="1:14" ht="22.5" hidden="1" customHeight="1">
      <c r="A142" s="11">
        <v>4</v>
      </c>
      <c r="B142" s="12" t="str">
        <f>IF(B110="","",B110)</f>
        <v/>
      </c>
      <c r="C142" s="13"/>
      <c r="D142" s="12" t="str">
        <f t="shared" si="9"/>
        <v/>
      </c>
      <c r="E142" s="11" t="str">
        <f t="shared" si="9"/>
        <v/>
      </c>
      <c r="F142" s="11" t="str">
        <f>IF(F110="","",F110)</f>
        <v/>
      </c>
      <c r="G142" s="11" t="str">
        <f t="shared" si="10"/>
        <v/>
      </c>
      <c r="H142" s="44" t="str">
        <f t="shared" si="10"/>
        <v/>
      </c>
      <c r="I142" s="16" t="str">
        <f t="shared" si="11"/>
        <v/>
      </c>
      <c r="J142" s="55"/>
      <c r="K142" s="57"/>
    </row>
    <row r="143" spans="1:14" s="21" customFormat="1" ht="22.5" customHeight="1">
      <c r="A143" s="69" t="s">
        <v>20</v>
      </c>
      <c r="B143" s="70"/>
      <c r="C143" s="70"/>
      <c r="D143" s="70"/>
      <c r="E143" s="70"/>
      <c r="F143" s="70"/>
      <c r="G143" s="70"/>
      <c r="H143" s="71"/>
      <c r="I143" s="18">
        <f>SUM(I139:I142)</f>
        <v>50000</v>
      </c>
      <c r="J143" s="20"/>
      <c r="K143" s="20"/>
      <c r="N143" s="22"/>
    </row>
    <row r="144" spans="1:14" ht="23.25" customHeight="1">
      <c r="A144" s="7"/>
      <c r="B144" s="7"/>
      <c r="C144" s="7"/>
      <c r="D144" s="7"/>
      <c r="E144" s="7"/>
      <c r="F144" s="7"/>
      <c r="G144" s="7"/>
      <c r="H144" s="23"/>
      <c r="I144" s="23"/>
    </row>
    <row r="145" spans="1:14">
      <c r="A145" s="8"/>
      <c r="B145" s="8"/>
      <c r="C145" s="8"/>
      <c r="D145" s="8"/>
      <c r="E145" s="8"/>
      <c r="F145" s="8"/>
      <c r="G145" s="8"/>
      <c r="H145" s="8"/>
      <c r="J145" s="24" t="str">
        <f>Transpor_koordinasi!J144</f>
        <v>Cikalongwetan, 5 Mei 2026</v>
      </c>
    </row>
    <row r="146" spans="1:14">
      <c r="A146" s="8"/>
      <c r="C146" s="24" t="s">
        <v>21</v>
      </c>
      <c r="D146" s="24"/>
      <c r="E146" s="24"/>
      <c r="F146" s="24"/>
      <c r="G146" s="8"/>
      <c r="H146" s="8"/>
      <c r="J146" s="24" t="str">
        <f>Honor_penjaga!O164</f>
        <v>Dibayar Lunas Tgl. 5 Mei 2026</v>
      </c>
    </row>
    <row r="147" spans="1:14">
      <c r="A147" s="8"/>
      <c r="C147" s="24" t="s">
        <v>22</v>
      </c>
      <c r="D147" s="24"/>
      <c r="E147" s="24"/>
      <c r="F147" s="24"/>
      <c r="G147" s="8"/>
      <c r="H147" s="8"/>
      <c r="J147" s="24" t="s">
        <v>23</v>
      </c>
    </row>
    <row r="148" spans="1:14">
      <c r="A148" s="8"/>
      <c r="C148" s="24"/>
      <c r="D148" s="24"/>
      <c r="E148" s="24"/>
      <c r="F148" s="24"/>
      <c r="G148" s="8"/>
      <c r="H148" s="8"/>
      <c r="J148" s="25"/>
      <c r="N148" s="26"/>
    </row>
    <row r="149" spans="1:14">
      <c r="A149" s="8"/>
      <c r="C149" s="24"/>
      <c r="D149" s="24"/>
      <c r="E149" s="24"/>
      <c r="F149" s="24"/>
      <c r="G149" s="8"/>
      <c r="H149" s="8"/>
      <c r="J149" s="25"/>
    </row>
    <row r="150" spans="1:14">
      <c r="A150" s="8"/>
      <c r="C150" s="24"/>
      <c r="D150" s="24"/>
      <c r="E150" s="24"/>
      <c r="F150" s="24"/>
      <c r="G150" s="8"/>
      <c r="H150" s="8"/>
      <c r="J150" s="25"/>
    </row>
    <row r="151" spans="1:14">
      <c r="A151" s="8"/>
      <c r="C151" s="24"/>
      <c r="D151" s="24"/>
      <c r="E151" s="24"/>
      <c r="F151" s="24"/>
      <c r="G151" s="8"/>
      <c r="H151" s="8"/>
      <c r="J151" s="25"/>
    </row>
    <row r="152" spans="1:14">
      <c r="A152" s="8"/>
      <c r="C152" s="24"/>
      <c r="D152" s="24"/>
      <c r="E152" s="24"/>
      <c r="F152" s="24"/>
      <c r="G152" s="8"/>
      <c r="H152" s="8"/>
      <c r="J152" s="25"/>
    </row>
    <row r="153" spans="1:14" ht="15" customHeight="1">
      <c r="A153" s="8"/>
      <c r="C153" s="27" t="str">
        <f>C121</f>
        <v>BADRUDDIN, S.Ag.</v>
      </c>
      <c r="D153" s="28"/>
      <c r="E153" s="28"/>
      <c r="F153" s="8"/>
      <c r="G153" s="8"/>
      <c r="J153" s="27" t="str">
        <f>J121</f>
        <v>DEDE GUNAWAN, S.Pd.</v>
      </c>
    </row>
    <row r="154" spans="1:14" ht="13.5" customHeight="1">
      <c r="A154" s="8"/>
      <c r="C154" s="43" t="str">
        <f>C122</f>
        <v>NIP. 197405082014121002</v>
      </c>
      <c r="D154" s="25"/>
      <c r="E154" s="25"/>
      <c r="F154" s="8"/>
      <c r="G154" s="8"/>
      <c r="J154" s="43" t="str">
        <f>J122</f>
        <v>NIP. 198507172020121003</v>
      </c>
    </row>
    <row r="155" spans="1:14" ht="15" customHeight="1">
      <c r="A155" s="8"/>
      <c r="C155" s="28"/>
      <c r="D155" s="28"/>
      <c r="E155" s="28"/>
      <c r="F155" s="28"/>
      <c r="G155" s="8"/>
      <c r="H155" s="8"/>
      <c r="J155" s="29"/>
    </row>
    <row r="156" spans="1:14" ht="13.5" customHeight="1"/>
    <row r="157" spans="1:14" ht="13.5" customHeight="1"/>
    <row r="158" spans="1:14" ht="13.5" customHeight="1"/>
    <row r="159" spans="1:14" ht="13.5" customHeight="1"/>
    <row r="162" spans="1:14" ht="17.25" customHeight="1">
      <c r="A162" s="76" t="str">
        <f>$A$1</f>
        <v>DAFTAR BUKTI PENERIMA PERJALANAN DINAS RAPAT KERJA TEKNIS OPERATOR TK. GUGUS (Transaksi Non Tunai)</v>
      </c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4" ht="17.25" customHeight="1">
      <c r="A163" s="64" t="str">
        <f>Transpor_koordinasi!A162</f>
        <v>BULAN JUNI 2026</v>
      </c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4" ht="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4" ht="15" customHeight="1">
      <c r="C165" s="4" t="s">
        <v>0</v>
      </c>
      <c r="D165" s="5" t="s">
        <v>56</v>
      </c>
      <c r="F165" s="6"/>
      <c r="G165" s="7"/>
      <c r="H165" s="7"/>
      <c r="I165" s="4" t="s">
        <v>26</v>
      </c>
      <c r="J165" s="4" t="str">
        <f>J133</f>
        <v>: 06 Pengembangan Standar Pengelolaan</v>
      </c>
    </row>
    <row r="166" spans="1:14" ht="15" customHeight="1">
      <c r="C166" s="4" t="s">
        <v>2</v>
      </c>
      <c r="D166" s="4" t="str">
        <f>D134</f>
        <v>: SD NEGERI LEBAKLEUNGSIR</v>
      </c>
      <c r="F166" s="6"/>
      <c r="H166" s="8"/>
      <c r="I166" s="4" t="s">
        <v>27</v>
      </c>
      <c r="J166" s="4" t="str">
        <f>J134</f>
        <v>: Perjalanan Dinas Rakernis Operator</v>
      </c>
    </row>
    <row r="167" spans="1:14" ht="15" customHeight="1">
      <c r="C167" s="4" t="s">
        <v>3</v>
      </c>
      <c r="D167" s="4" t="str">
        <f>D135</f>
        <v>: Cikalongwetan</v>
      </c>
      <c r="F167" s="6"/>
      <c r="H167" s="8"/>
      <c r="I167" s="8" t="s">
        <v>28</v>
      </c>
      <c r="J167" s="4" t="str">
        <f>J135</f>
        <v>: 5.1.02.04.01.0003</v>
      </c>
    </row>
    <row r="168" spans="1:14" ht="15" customHeight="1">
      <c r="C168" s="4" t="s">
        <v>5</v>
      </c>
      <c r="D168" s="4" t="str">
        <f>D136</f>
        <v>: Bandung Barat</v>
      </c>
      <c r="F168" s="6"/>
      <c r="H168" s="8"/>
      <c r="I168" s="4" t="s">
        <v>7</v>
      </c>
      <c r="J168" s="4" t="str">
        <f>J136</f>
        <v>: 5</v>
      </c>
    </row>
    <row r="169" spans="1:14" ht="15" customHeight="1">
      <c r="H169" s="8"/>
      <c r="I169" s="8"/>
      <c r="J169" s="8"/>
    </row>
    <row r="170" spans="1:14" ht="41.25" customHeight="1">
      <c r="A170" s="9" t="s">
        <v>8</v>
      </c>
      <c r="B170" s="65" t="s">
        <v>9</v>
      </c>
      <c r="C170" s="66"/>
      <c r="D170" s="9" t="s">
        <v>10</v>
      </c>
      <c r="E170" s="10" t="s">
        <v>11</v>
      </c>
      <c r="F170" s="9" t="s">
        <v>45</v>
      </c>
      <c r="G170" s="9" t="s">
        <v>24</v>
      </c>
      <c r="H170" s="10" t="s">
        <v>13</v>
      </c>
      <c r="I170" s="10" t="s">
        <v>14</v>
      </c>
      <c r="J170" s="69" t="s">
        <v>17</v>
      </c>
      <c r="K170" s="71"/>
    </row>
    <row r="171" spans="1:14" ht="22.5" customHeight="1">
      <c r="A171" s="11">
        <v>1</v>
      </c>
      <c r="B171" s="12" t="str">
        <f>IF(B139="","",B139)</f>
        <v>RISNA MARSELA HARTINI</v>
      </c>
      <c r="C171" s="13"/>
      <c r="D171" s="12" t="str">
        <f t="shared" ref="D171:E174" si="12">IF(D139="","",D139)</f>
        <v>Operator</v>
      </c>
      <c r="E171" s="11" t="str">
        <f t="shared" si="12"/>
        <v>-</v>
      </c>
      <c r="F171" s="11">
        <v>1</v>
      </c>
      <c r="G171" s="11" t="str">
        <f t="shared" ref="G171:H174" si="13">IF(G139="","",G139)</f>
        <v>Perjalanan</v>
      </c>
      <c r="H171" s="44">
        <f t="shared" si="13"/>
        <v>50000</v>
      </c>
      <c r="I171" s="16">
        <f>IFERROR(SUM(F171*H171),"")</f>
        <v>50000</v>
      </c>
      <c r="J171" s="54">
        <v>1</v>
      </c>
      <c r="K171" s="56">
        <v>2</v>
      </c>
    </row>
    <row r="172" spans="1:14" ht="22.5" customHeight="1">
      <c r="A172" s="11">
        <v>2</v>
      </c>
      <c r="B172" s="12" t="str">
        <f>IF(B140="","",B140)</f>
        <v/>
      </c>
      <c r="C172" s="13"/>
      <c r="D172" s="12" t="str">
        <f t="shared" si="12"/>
        <v/>
      </c>
      <c r="E172" s="11" t="str">
        <f t="shared" si="12"/>
        <v/>
      </c>
      <c r="F172" s="11" t="str">
        <f>IF(F140="","",F140)</f>
        <v/>
      </c>
      <c r="G172" s="11" t="str">
        <f t="shared" si="13"/>
        <v/>
      </c>
      <c r="H172" s="44" t="str">
        <f t="shared" si="13"/>
        <v/>
      </c>
      <c r="I172" s="16" t="str">
        <f t="shared" ref="I172:I174" si="14">IFERROR(SUM(F172*H172),"")</f>
        <v/>
      </c>
      <c r="J172" s="55"/>
      <c r="K172" s="57"/>
    </row>
    <row r="173" spans="1:14" ht="22.5" hidden="1" customHeight="1">
      <c r="A173" s="11">
        <v>3</v>
      </c>
      <c r="B173" s="12" t="str">
        <f>IF(B141="","",B141)</f>
        <v/>
      </c>
      <c r="C173" s="13"/>
      <c r="D173" s="12" t="str">
        <f t="shared" si="12"/>
        <v/>
      </c>
      <c r="E173" s="11" t="str">
        <f t="shared" si="12"/>
        <v/>
      </c>
      <c r="F173" s="11" t="str">
        <f>IF(F141="","",F141)</f>
        <v/>
      </c>
      <c r="G173" s="11" t="str">
        <f t="shared" si="13"/>
        <v/>
      </c>
      <c r="H173" s="44" t="str">
        <f t="shared" si="13"/>
        <v/>
      </c>
      <c r="I173" s="16" t="str">
        <f t="shared" si="14"/>
        <v/>
      </c>
      <c r="J173" s="54">
        <v>3</v>
      </c>
      <c r="K173" s="56">
        <v>4</v>
      </c>
    </row>
    <row r="174" spans="1:14" ht="22.5" hidden="1" customHeight="1">
      <c r="A174" s="11">
        <v>4</v>
      </c>
      <c r="B174" s="12" t="str">
        <f>IF(B142="","",B142)</f>
        <v/>
      </c>
      <c r="C174" s="13"/>
      <c r="D174" s="12" t="str">
        <f t="shared" si="12"/>
        <v/>
      </c>
      <c r="E174" s="11" t="str">
        <f t="shared" si="12"/>
        <v/>
      </c>
      <c r="F174" s="11" t="str">
        <f>IF(F142="","",F142)</f>
        <v/>
      </c>
      <c r="G174" s="11" t="str">
        <f t="shared" si="13"/>
        <v/>
      </c>
      <c r="H174" s="44" t="str">
        <f t="shared" si="13"/>
        <v/>
      </c>
      <c r="I174" s="16" t="str">
        <f t="shared" si="14"/>
        <v/>
      </c>
      <c r="J174" s="55"/>
      <c r="K174" s="57"/>
    </row>
    <row r="175" spans="1:14" s="21" customFormat="1" ht="22.5" customHeight="1">
      <c r="A175" s="69" t="s">
        <v>20</v>
      </c>
      <c r="B175" s="70"/>
      <c r="C175" s="70"/>
      <c r="D175" s="70"/>
      <c r="E175" s="70"/>
      <c r="F175" s="70"/>
      <c r="G175" s="70"/>
      <c r="H175" s="71"/>
      <c r="I175" s="18">
        <f>SUM(I171:I174)</f>
        <v>50000</v>
      </c>
      <c r="J175" s="20"/>
      <c r="K175" s="20"/>
      <c r="N175" s="22"/>
    </row>
    <row r="176" spans="1:14" ht="23.25" customHeight="1">
      <c r="A176" s="7"/>
      <c r="B176" s="7"/>
      <c r="C176" s="7"/>
      <c r="D176" s="7"/>
      <c r="E176" s="7"/>
      <c r="F176" s="7"/>
      <c r="G176" s="7"/>
      <c r="H176" s="23"/>
      <c r="I176" s="23"/>
    </row>
    <row r="177" spans="1:14">
      <c r="A177" s="8"/>
      <c r="B177" s="8"/>
      <c r="C177" s="8"/>
      <c r="D177" s="8"/>
      <c r="E177" s="8"/>
      <c r="F177" s="8"/>
      <c r="G177" s="8"/>
      <c r="H177" s="8"/>
      <c r="J177" s="24" t="str">
        <f>Transpor_koordinasi!J176</f>
        <v>Cikalongwetan, 3 Juni 2026</v>
      </c>
    </row>
    <row r="178" spans="1:14">
      <c r="A178" s="8"/>
      <c r="C178" s="24" t="s">
        <v>21</v>
      </c>
      <c r="D178" s="24"/>
      <c r="E178" s="24"/>
      <c r="F178" s="24"/>
      <c r="G178" s="8"/>
      <c r="H178" s="8"/>
      <c r="J178" s="24" t="str">
        <f>Transpor_koordinasi!J177</f>
        <v>Dibayar Lunas Tgl. 3 Juni 2026</v>
      </c>
    </row>
    <row r="179" spans="1:14">
      <c r="A179" s="8"/>
      <c r="C179" s="24" t="s">
        <v>22</v>
      </c>
      <c r="D179" s="24"/>
      <c r="E179" s="24"/>
      <c r="F179" s="24"/>
      <c r="G179" s="8"/>
      <c r="H179" s="8"/>
      <c r="J179" s="24" t="s">
        <v>23</v>
      </c>
    </row>
    <row r="180" spans="1:14">
      <c r="A180" s="8"/>
      <c r="C180" s="24"/>
      <c r="D180" s="24"/>
      <c r="E180" s="24"/>
      <c r="F180" s="24"/>
      <c r="G180" s="8"/>
      <c r="H180" s="8"/>
      <c r="J180" s="25"/>
      <c r="N180" s="26"/>
    </row>
    <row r="181" spans="1:14">
      <c r="A181" s="8"/>
      <c r="C181" s="24"/>
      <c r="D181" s="24"/>
      <c r="E181" s="24"/>
      <c r="F181" s="24"/>
      <c r="G181" s="8"/>
      <c r="H181" s="8"/>
      <c r="J181" s="25"/>
    </row>
    <row r="182" spans="1:14">
      <c r="A182" s="8"/>
      <c r="C182" s="24"/>
      <c r="D182" s="24"/>
      <c r="E182" s="24"/>
      <c r="F182" s="24"/>
      <c r="G182" s="8"/>
      <c r="H182" s="8"/>
      <c r="J182" s="25"/>
    </row>
    <row r="183" spans="1:14">
      <c r="A183" s="8"/>
      <c r="C183" s="24"/>
      <c r="D183" s="24"/>
      <c r="E183" s="24"/>
      <c r="F183" s="24"/>
      <c r="G183" s="8"/>
      <c r="H183" s="8"/>
      <c r="J183" s="25"/>
    </row>
    <row r="184" spans="1:14">
      <c r="A184" s="8"/>
      <c r="C184" s="24"/>
      <c r="D184" s="24"/>
      <c r="E184" s="24"/>
      <c r="F184" s="24"/>
      <c r="G184" s="8"/>
      <c r="H184" s="8"/>
      <c r="J184" s="25"/>
    </row>
    <row r="185" spans="1:14" ht="15" customHeight="1">
      <c r="A185" s="8"/>
      <c r="C185" s="27" t="str">
        <f>C153</f>
        <v>BADRUDDIN, S.Ag.</v>
      </c>
      <c r="D185" s="28"/>
      <c r="E185" s="28"/>
      <c r="F185" s="8"/>
      <c r="G185" s="8"/>
      <c r="J185" s="27" t="str">
        <f>J153</f>
        <v>DEDE GUNAWAN, S.Pd.</v>
      </c>
    </row>
    <row r="186" spans="1:14" ht="13.5" customHeight="1">
      <c r="A186" s="8"/>
      <c r="C186" s="43" t="str">
        <f>C154</f>
        <v>NIP. 197405082014121002</v>
      </c>
      <c r="D186" s="25"/>
      <c r="E186" s="25"/>
      <c r="F186" s="8"/>
      <c r="G186" s="8"/>
      <c r="J186" s="43" t="str">
        <f>J154</f>
        <v>NIP. 198507172020121003</v>
      </c>
    </row>
    <row r="187" spans="1:14" ht="15" customHeight="1">
      <c r="A187" s="8"/>
      <c r="C187" s="28"/>
      <c r="D187" s="28"/>
      <c r="E187" s="28"/>
      <c r="F187" s="28"/>
      <c r="G187" s="8"/>
      <c r="H187" s="8"/>
      <c r="J187" s="29"/>
    </row>
    <row r="188" spans="1:14" ht="13.5" customHeight="1"/>
    <row r="189" spans="1:14" ht="13.5" customHeight="1"/>
    <row r="190" spans="1:14" ht="13.5" customHeight="1"/>
    <row r="191" spans="1:14" ht="13.5" customHeight="1"/>
    <row r="196" spans="1:11" ht="17.25" customHeight="1">
      <c r="A196" s="76" t="str">
        <f>$A$1</f>
        <v>DAFTAR BUKTI PENERIMA PERJALANAN DINAS RAPAT KERJA TEKNIS OPERATOR TK. GUGUS (Transaksi Non Tunai)</v>
      </c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spans="1:11" ht="17.25" customHeight="1">
      <c r="A197" s="64" t="str">
        <f>Transpor_koordinasi!A194</f>
        <v>BULAN AGUSTUS 2025</v>
      </c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" customHeight="1">
      <c r="C199" s="4" t="s">
        <v>0</v>
      </c>
      <c r="D199" s="5" t="s">
        <v>56</v>
      </c>
      <c r="F199" s="6"/>
      <c r="G199" s="7"/>
      <c r="H199" s="7"/>
      <c r="I199" s="4" t="s">
        <v>26</v>
      </c>
      <c r="J199" s="4" t="str">
        <f>J165</f>
        <v>: 06 Pengembangan Standar Pengelolaan</v>
      </c>
    </row>
    <row r="200" spans="1:11" ht="15" customHeight="1">
      <c r="C200" s="4" t="s">
        <v>2</v>
      </c>
      <c r="D200" s="4" t="str">
        <f>D166</f>
        <v>: SD NEGERI LEBAKLEUNGSIR</v>
      </c>
      <c r="F200" s="6"/>
      <c r="H200" s="8"/>
      <c r="I200" s="4" t="s">
        <v>27</v>
      </c>
      <c r="J200" s="4" t="str">
        <f t="shared" ref="J200:J202" si="15">J166</f>
        <v>: Perjalanan Dinas Rakernis Operator</v>
      </c>
    </row>
    <row r="201" spans="1:11" ht="15" customHeight="1">
      <c r="C201" s="4" t="s">
        <v>3</v>
      </c>
      <c r="D201" s="4" t="str">
        <f t="shared" ref="D201:D202" si="16">D167</f>
        <v>: Cikalongwetan</v>
      </c>
      <c r="F201" s="6"/>
      <c r="H201" s="8"/>
      <c r="I201" s="8" t="s">
        <v>28</v>
      </c>
      <c r="J201" s="4" t="str">
        <f t="shared" si="15"/>
        <v>: 5.1.02.04.01.0003</v>
      </c>
    </row>
    <row r="202" spans="1:11" ht="15" customHeight="1">
      <c r="C202" s="4" t="s">
        <v>5</v>
      </c>
      <c r="D202" s="4" t="str">
        <f t="shared" si="16"/>
        <v>: Bandung Barat</v>
      </c>
      <c r="F202" s="6"/>
      <c r="H202" s="8"/>
      <c r="I202" s="4" t="s">
        <v>7</v>
      </c>
      <c r="J202" s="4" t="str">
        <f t="shared" si="15"/>
        <v>: 5</v>
      </c>
    </row>
    <row r="203" spans="1:11" ht="15" customHeight="1">
      <c r="H203" s="8"/>
      <c r="I203" s="8"/>
      <c r="J203" s="8"/>
    </row>
    <row r="204" spans="1:11" ht="41.25" customHeight="1">
      <c r="A204" s="9" t="s">
        <v>8</v>
      </c>
      <c r="B204" s="65" t="s">
        <v>9</v>
      </c>
      <c r="C204" s="66"/>
      <c r="D204" s="9" t="s">
        <v>10</v>
      </c>
      <c r="E204" s="10" t="s">
        <v>11</v>
      </c>
      <c r="F204" s="9" t="s">
        <v>45</v>
      </c>
      <c r="G204" s="9" t="s">
        <v>24</v>
      </c>
      <c r="H204" s="10" t="s">
        <v>13</v>
      </c>
      <c r="I204" s="10" t="s">
        <v>14</v>
      </c>
      <c r="J204" s="69" t="s">
        <v>17</v>
      </c>
      <c r="K204" s="71"/>
    </row>
    <row r="205" spans="1:11" ht="22.5" customHeight="1">
      <c r="A205" s="11">
        <v>1</v>
      </c>
      <c r="B205" s="12" t="str">
        <f>B171</f>
        <v>RISNA MARSELA HARTINI</v>
      </c>
      <c r="C205" s="13"/>
      <c r="D205" s="12" t="str">
        <f>IF(D171="","",D171)</f>
        <v>Operator</v>
      </c>
      <c r="E205" s="11" t="s">
        <v>34</v>
      </c>
      <c r="F205" s="11"/>
      <c r="G205" s="11" t="str">
        <f>IF(G171="","",G171)</f>
        <v>Perjalanan</v>
      </c>
      <c r="H205" s="44">
        <f>IF(H171="","",H171)</f>
        <v>50000</v>
      </c>
      <c r="I205" s="16">
        <f>IFERROR(SUM(F205*H205),"")</f>
        <v>0</v>
      </c>
      <c r="J205" s="54">
        <v>1</v>
      </c>
      <c r="K205" s="56">
        <v>2</v>
      </c>
    </row>
    <row r="206" spans="1:11" ht="22.5" customHeight="1">
      <c r="A206" s="11">
        <v>2</v>
      </c>
      <c r="B206" s="12" t="str">
        <f t="shared" ref="B206:B208" si="17">IF(B172="","",B172)</f>
        <v/>
      </c>
      <c r="C206" s="13"/>
      <c r="D206" s="12" t="str">
        <f t="shared" ref="D206:H208" si="18">IF(D172="","",D172)</f>
        <v/>
      </c>
      <c r="E206" s="11" t="str">
        <f t="shared" si="18"/>
        <v/>
      </c>
      <c r="F206" s="11" t="str">
        <f t="shared" si="18"/>
        <v/>
      </c>
      <c r="G206" s="11" t="str">
        <f t="shared" si="18"/>
        <v/>
      </c>
      <c r="H206" s="44" t="str">
        <f t="shared" si="18"/>
        <v/>
      </c>
      <c r="I206" s="16" t="str">
        <f t="shared" ref="I206:I208" si="19">IFERROR(SUM(F206*H206),"")</f>
        <v/>
      </c>
      <c r="J206" s="55"/>
      <c r="K206" s="57"/>
    </row>
    <row r="207" spans="1:11" ht="22.5" hidden="1" customHeight="1">
      <c r="A207" s="11">
        <v>3</v>
      </c>
      <c r="B207" s="12" t="str">
        <f t="shared" si="17"/>
        <v/>
      </c>
      <c r="C207" s="13"/>
      <c r="D207" s="12" t="str">
        <f t="shared" si="18"/>
        <v/>
      </c>
      <c r="E207" s="11" t="str">
        <f t="shared" si="18"/>
        <v/>
      </c>
      <c r="F207" s="11" t="str">
        <f t="shared" si="18"/>
        <v/>
      </c>
      <c r="G207" s="11" t="str">
        <f t="shared" si="18"/>
        <v/>
      </c>
      <c r="H207" s="44" t="str">
        <f t="shared" si="18"/>
        <v/>
      </c>
      <c r="I207" s="16" t="str">
        <f t="shared" si="19"/>
        <v/>
      </c>
      <c r="J207" s="54">
        <v>3</v>
      </c>
      <c r="K207" s="56">
        <v>4</v>
      </c>
    </row>
    <row r="208" spans="1:11" ht="22.5" hidden="1" customHeight="1">
      <c r="A208" s="11">
        <v>4</v>
      </c>
      <c r="B208" s="12" t="str">
        <f t="shared" si="17"/>
        <v/>
      </c>
      <c r="C208" s="13"/>
      <c r="D208" s="12" t="str">
        <f t="shared" si="18"/>
        <v/>
      </c>
      <c r="E208" s="11" t="str">
        <f t="shared" si="18"/>
        <v/>
      </c>
      <c r="F208" s="11" t="str">
        <f t="shared" si="18"/>
        <v/>
      </c>
      <c r="G208" s="11" t="str">
        <f t="shared" si="18"/>
        <v/>
      </c>
      <c r="H208" s="44" t="str">
        <f t="shared" si="18"/>
        <v/>
      </c>
      <c r="I208" s="16" t="str">
        <f t="shared" si="19"/>
        <v/>
      </c>
      <c r="J208" s="55"/>
      <c r="K208" s="57"/>
    </row>
    <row r="209" spans="1:14" s="21" customFormat="1" ht="22.5" customHeight="1">
      <c r="A209" s="69" t="s">
        <v>20</v>
      </c>
      <c r="B209" s="70"/>
      <c r="C209" s="70"/>
      <c r="D209" s="70"/>
      <c r="E209" s="70"/>
      <c r="F209" s="70"/>
      <c r="G209" s="70"/>
      <c r="H209" s="71"/>
      <c r="I209" s="18">
        <f>SUM(I205:I208)</f>
        <v>0</v>
      </c>
      <c r="J209" s="20"/>
      <c r="K209" s="20"/>
      <c r="N209" s="22"/>
    </row>
    <row r="210" spans="1:14" ht="23.25" customHeight="1">
      <c r="A210" s="7"/>
      <c r="B210" s="7"/>
      <c r="C210" s="7"/>
      <c r="D210" s="7"/>
      <c r="E210" s="7"/>
      <c r="F210" s="7"/>
      <c r="G210" s="7"/>
      <c r="H210" s="23"/>
      <c r="I210" s="23"/>
    </row>
    <row r="211" spans="1:14">
      <c r="A211" s="8"/>
      <c r="B211" s="8"/>
      <c r="C211" s="8"/>
      <c r="D211" s="8"/>
      <c r="E211" s="8"/>
      <c r="F211" s="8"/>
      <c r="G211" s="8"/>
      <c r="H211" s="8"/>
      <c r="J211" s="24" t="s">
        <v>158</v>
      </c>
    </row>
    <row r="212" spans="1:14">
      <c r="A212" s="8"/>
      <c r="C212" s="24" t="s">
        <v>21</v>
      </c>
      <c r="D212" s="24"/>
      <c r="E212" s="24"/>
      <c r="F212" s="24"/>
      <c r="G212" s="8"/>
      <c r="H212" s="8"/>
      <c r="J212" s="24" t="str">
        <f>Honor_penjaga!O236</f>
        <v>Dibayar Lunas Tgl. 11 Agustus 2025</v>
      </c>
    </row>
    <row r="213" spans="1:14">
      <c r="A213" s="8"/>
      <c r="C213" s="24" t="s">
        <v>22</v>
      </c>
      <c r="D213" s="24"/>
      <c r="E213" s="24"/>
      <c r="F213" s="24"/>
      <c r="G213" s="8"/>
      <c r="H213" s="8"/>
      <c r="J213" s="24" t="s">
        <v>23</v>
      </c>
    </row>
    <row r="214" spans="1:14">
      <c r="A214" s="8"/>
      <c r="C214" s="24"/>
      <c r="D214" s="24"/>
      <c r="E214" s="24"/>
      <c r="F214" s="24"/>
      <c r="G214" s="8"/>
      <c r="H214" s="8"/>
      <c r="J214" s="25"/>
      <c r="N214" s="26"/>
    </row>
    <row r="215" spans="1:14">
      <c r="A215" s="8"/>
      <c r="C215" s="24"/>
      <c r="D215" s="24"/>
      <c r="E215" s="24"/>
      <c r="F215" s="24"/>
      <c r="G215" s="8"/>
      <c r="H215" s="8"/>
      <c r="J215" s="25"/>
    </row>
    <row r="216" spans="1:14">
      <c r="A216" s="8"/>
      <c r="C216" s="24"/>
      <c r="D216" s="24"/>
      <c r="E216" s="24"/>
      <c r="F216" s="24"/>
      <c r="G216" s="8"/>
      <c r="H216" s="8"/>
      <c r="J216" s="25"/>
    </row>
    <row r="217" spans="1:14">
      <c r="A217" s="8"/>
      <c r="C217" s="24"/>
      <c r="D217" s="24"/>
      <c r="E217" s="24"/>
      <c r="F217" s="24"/>
      <c r="G217" s="8"/>
      <c r="H217" s="8"/>
      <c r="J217" s="25"/>
    </row>
    <row r="218" spans="1:14">
      <c r="A218" s="8"/>
      <c r="C218" s="24"/>
      <c r="D218" s="24"/>
      <c r="E218" s="24"/>
      <c r="F218" s="24"/>
      <c r="G218" s="8"/>
      <c r="H218" s="8"/>
      <c r="J218" s="25"/>
    </row>
    <row r="219" spans="1:14" ht="15" customHeight="1">
      <c r="A219" s="8"/>
      <c r="C219" s="27" t="str">
        <f>C185</f>
        <v>BADRUDDIN, S.Ag.</v>
      </c>
      <c r="D219" s="28"/>
      <c r="E219" s="28"/>
      <c r="F219" s="8"/>
      <c r="G219" s="8"/>
      <c r="J219" s="27" t="str">
        <f>Honor_guru!P242</f>
        <v>DEDE GUNAWAN, S.Pd</v>
      </c>
    </row>
    <row r="220" spans="1:14" ht="13.5" customHeight="1">
      <c r="A220" s="8"/>
      <c r="C220" s="43" t="str">
        <f>C186</f>
        <v>NIP. 197405082014121002</v>
      </c>
      <c r="D220" s="25"/>
      <c r="E220" s="25"/>
      <c r="F220" s="8"/>
      <c r="G220" s="8"/>
      <c r="J220" s="27" t="str">
        <f>Honor_guru!P243</f>
        <v>NIP. 198507172020121003</v>
      </c>
    </row>
    <row r="221" spans="1:14" ht="15" customHeight="1">
      <c r="A221" s="8"/>
      <c r="C221" s="28"/>
      <c r="D221" s="28"/>
      <c r="E221" s="28"/>
      <c r="F221" s="28"/>
      <c r="G221" s="8"/>
      <c r="H221" s="8"/>
      <c r="J221" s="29"/>
    </row>
    <row r="222" spans="1:14" ht="13.5" customHeight="1"/>
    <row r="223" spans="1:14" ht="13.5" customHeight="1"/>
    <row r="224" spans="1:14" ht="13.5" customHeight="1"/>
    <row r="225" spans="1:11" ht="13.5" customHeight="1"/>
    <row r="230" spans="1:11" ht="17.25" customHeight="1">
      <c r="A230" s="76" t="str">
        <f>$A$1</f>
        <v>DAFTAR BUKTI PENERIMA PERJALANAN DINAS RAPAT KERJA TEKNIS OPERATOR TK. GUGUS (Transaksi Non Tunai)</v>
      </c>
      <c r="B230" s="76"/>
      <c r="C230" s="76"/>
      <c r="D230" s="76"/>
      <c r="E230" s="76"/>
      <c r="F230" s="76"/>
      <c r="G230" s="76"/>
      <c r="H230" s="76"/>
      <c r="I230" s="76"/>
      <c r="J230" s="76"/>
      <c r="K230" s="76"/>
    </row>
    <row r="231" spans="1:11" ht="17.25" customHeight="1">
      <c r="A231" s="64" t="str">
        <f>Transpor_koordinasi!A228</f>
        <v>BULAN AGUSTUS 2025</v>
      </c>
      <c r="B231" s="64"/>
      <c r="C231" s="64"/>
      <c r="D231" s="64"/>
      <c r="E231" s="64"/>
      <c r="F231" s="64"/>
      <c r="G231" s="64"/>
      <c r="H231" s="64"/>
      <c r="I231" s="64"/>
      <c r="J231" s="64"/>
      <c r="K231" s="64"/>
    </row>
    <row r="232" spans="1:11" ht="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" customHeight="1">
      <c r="C233" s="4" t="s">
        <v>0</v>
      </c>
      <c r="D233" s="5" t="s">
        <v>56</v>
      </c>
      <c r="F233" s="6"/>
      <c r="G233" s="7"/>
      <c r="H233" s="7"/>
      <c r="I233" s="4" t="s">
        <v>26</v>
      </c>
      <c r="J233" s="4" t="str">
        <f>J199</f>
        <v>: 06 Pengembangan Standar Pengelolaan</v>
      </c>
    </row>
    <row r="234" spans="1:11" ht="15" customHeight="1">
      <c r="C234" s="4" t="s">
        <v>2</v>
      </c>
      <c r="D234" s="4" t="str">
        <f>D200</f>
        <v>: SD NEGERI LEBAKLEUNGSIR</v>
      </c>
      <c r="F234" s="6"/>
      <c r="H234" s="8"/>
      <c r="I234" s="4" t="s">
        <v>27</v>
      </c>
      <c r="J234" s="4" t="str">
        <f t="shared" ref="J234:J236" si="20">J200</f>
        <v>: Perjalanan Dinas Rakernis Operator</v>
      </c>
    </row>
    <row r="235" spans="1:11" ht="15" customHeight="1">
      <c r="C235" s="4" t="s">
        <v>3</v>
      </c>
      <c r="D235" s="4" t="str">
        <f t="shared" ref="D235:D236" si="21">D201</f>
        <v>: Cikalongwetan</v>
      </c>
      <c r="F235" s="6"/>
      <c r="H235" s="8"/>
      <c r="I235" s="8" t="s">
        <v>28</v>
      </c>
      <c r="J235" s="4" t="str">
        <f t="shared" si="20"/>
        <v>: 5.1.02.04.01.0003</v>
      </c>
    </row>
    <row r="236" spans="1:11" ht="15" customHeight="1">
      <c r="C236" s="4" t="s">
        <v>5</v>
      </c>
      <c r="D236" s="4" t="str">
        <f t="shared" si="21"/>
        <v>: Bandung Barat</v>
      </c>
      <c r="F236" s="6"/>
      <c r="H236" s="8"/>
      <c r="I236" s="4" t="s">
        <v>7</v>
      </c>
      <c r="J236" s="4" t="str">
        <f t="shared" si="20"/>
        <v>: 5</v>
      </c>
    </row>
    <row r="237" spans="1:11" ht="15" customHeight="1">
      <c r="H237" s="8"/>
      <c r="I237" s="8"/>
      <c r="J237" s="8"/>
    </row>
    <row r="238" spans="1:11" ht="41.25" customHeight="1">
      <c r="A238" s="9" t="s">
        <v>8</v>
      </c>
      <c r="B238" s="65" t="s">
        <v>9</v>
      </c>
      <c r="C238" s="66"/>
      <c r="D238" s="9" t="s">
        <v>10</v>
      </c>
      <c r="E238" s="10" t="s">
        <v>11</v>
      </c>
      <c r="F238" s="9" t="s">
        <v>45</v>
      </c>
      <c r="G238" s="9" t="s">
        <v>24</v>
      </c>
      <c r="H238" s="10" t="s">
        <v>13</v>
      </c>
      <c r="I238" s="10" t="s">
        <v>14</v>
      </c>
      <c r="J238" s="69" t="s">
        <v>17</v>
      </c>
      <c r="K238" s="71"/>
    </row>
    <row r="239" spans="1:11" ht="22.5" customHeight="1">
      <c r="A239" s="11">
        <v>1</v>
      </c>
      <c r="B239" s="12" t="str">
        <f>B205</f>
        <v>RISNA MARSELA HARTINI</v>
      </c>
      <c r="C239" s="13"/>
      <c r="D239" s="12" t="str">
        <f>IF(D205="","",D205)</f>
        <v>Operator</v>
      </c>
      <c r="E239" s="11" t="s">
        <v>34</v>
      </c>
      <c r="F239" s="11">
        <v>3</v>
      </c>
      <c r="G239" s="11" t="str">
        <f>IF(G205="","",G205)</f>
        <v>Perjalanan</v>
      </c>
      <c r="H239" s="44">
        <f>IF(H205="","",H205)</f>
        <v>50000</v>
      </c>
      <c r="I239" s="16">
        <f>IFERROR(SUM(F239*H239),"")</f>
        <v>150000</v>
      </c>
      <c r="J239" s="54">
        <v>1</v>
      </c>
      <c r="K239" s="56">
        <v>2</v>
      </c>
    </row>
    <row r="240" spans="1:11" ht="22.5" customHeight="1">
      <c r="A240" s="11">
        <v>2</v>
      </c>
      <c r="B240" s="12" t="str">
        <f t="shared" ref="B240:B242" si="22">IF(B206="","",B206)</f>
        <v/>
      </c>
      <c r="C240" s="13"/>
      <c r="D240" s="12" t="str">
        <f t="shared" ref="D240:H242" si="23">IF(D206="","",D206)</f>
        <v/>
      </c>
      <c r="E240" s="11" t="str">
        <f t="shared" si="23"/>
        <v/>
      </c>
      <c r="F240" s="11"/>
      <c r="G240" s="11" t="str">
        <f t="shared" si="23"/>
        <v/>
      </c>
      <c r="H240" s="44" t="str">
        <f t="shared" si="23"/>
        <v/>
      </c>
      <c r="I240" s="16" t="str">
        <f t="shared" ref="I240:I242" si="24">IFERROR(SUM(F240*H240),"")</f>
        <v/>
      </c>
      <c r="J240" s="55"/>
      <c r="K240" s="57"/>
    </row>
    <row r="241" spans="1:14" ht="22.5" hidden="1" customHeight="1">
      <c r="A241" s="11">
        <v>3</v>
      </c>
      <c r="B241" s="12" t="str">
        <f t="shared" si="22"/>
        <v/>
      </c>
      <c r="C241" s="13"/>
      <c r="D241" s="12" t="str">
        <f t="shared" si="23"/>
        <v/>
      </c>
      <c r="E241" s="11" t="str">
        <f t="shared" si="23"/>
        <v/>
      </c>
      <c r="F241" s="11" t="str">
        <f t="shared" si="23"/>
        <v/>
      </c>
      <c r="G241" s="11" t="str">
        <f t="shared" si="23"/>
        <v/>
      </c>
      <c r="H241" s="44" t="str">
        <f t="shared" si="23"/>
        <v/>
      </c>
      <c r="I241" s="16" t="str">
        <f t="shared" si="24"/>
        <v/>
      </c>
      <c r="J241" s="54">
        <v>3</v>
      </c>
      <c r="K241" s="56">
        <v>4</v>
      </c>
    </row>
    <row r="242" spans="1:14" ht="22.5" hidden="1" customHeight="1">
      <c r="A242" s="11">
        <v>4</v>
      </c>
      <c r="B242" s="12" t="str">
        <f t="shared" si="22"/>
        <v/>
      </c>
      <c r="C242" s="13"/>
      <c r="D242" s="12" t="str">
        <f t="shared" si="23"/>
        <v/>
      </c>
      <c r="E242" s="11" t="str">
        <f t="shared" si="23"/>
        <v/>
      </c>
      <c r="F242" s="11" t="str">
        <f t="shared" si="23"/>
        <v/>
      </c>
      <c r="G242" s="11" t="str">
        <f t="shared" si="23"/>
        <v/>
      </c>
      <c r="H242" s="44" t="str">
        <f t="shared" si="23"/>
        <v/>
      </c>
      <c r="I242" s="16" t="str">
        <f t="shared" si="24"/>
        <v/>
      </c>
      <c r="J242" s="55"/>
      <c r="K242" s="57"/>
    </row>
    <row r="243" spans="1:14" s="21" customFormat="1" ht="22.5" customHeight="1">
      <c r="A243" s="69" t="s">
        <v>20</v>
      </c>
      <c r="B243" s="70"/>
      <c r="C243" s="70"/>
      <c r="D243" s="70"/>
      <c r="E243" s="70"/>
      <c r="F243" s="70"/>
      <c r="G243" s="70"/>
      <c r="H243" s="71"/>
      <c r="I243" s="18">
        <f>SUM(I239:I242)</f>
        <v>150000</v>
      </c>
      <c r="J243" s="20"/>
      <c r="K243" s="20"/>
      <c r="N243" s="22"/>
    </row>
    <row r="244" spans="1:14" ht="23.25" customHeight="1">
      <c r="A244" s="7"/>
      <c r="B244" s="7"/>
      <c r="C244" s="7"/>
      <c r="D244" s="7"/>
      <c r="E244" s="7"/>
      <c r="F244" s="7"/>
      <c r="G244" s="7"/>
      <c r="H244" s="23"/>
      <c r="I244" s="23"/>
    </row>
    <row r="245" spans="1:14">
      <c r="A245" s="8"/>
      <c r="B245" s="8"/>
      <c r="C245" s="8"/>
      <c r="D245" s="8"/>
      <c r="E245" s="8"/>
      <c r="F245" s="8"/>
      <c r="G245" s="8"/>
      <c r="H245" s="8"/>
      <c r="J245" s="24" t="s">
        <v>159</v>
      </c>
    </row>
    <row r="246" spans="1:14">
      <c r="A246" s="8"/>
      <c r="C246" s="24" t="s">
        <v>21</v>
      </c>
      <c r="D246" s="24"/>
      <c r="E246" s="24"/>
      <c r="F246" s="24"/>
      <c r="G246" s="8"/>
      <c r="H246" s="8"/>
      <c r="J246" s="24" t="str">
        <f>Transpor_koordinasi!J243</f>
        <v>Dibayar Lunas Tgl. 21 Agustus 2025</v>
      </c>
    </row>
    <row r="247" spans="1:14">
      <c r="A247" s="8"/>
      <c r="C247" s="24" t="s">
        <v>22</v>
      </c>
      <c r="D247" s="24"/>
      <c r="E247" s="24"/>
      <c r="F247" s="24"/>
      <c r="G247" s="8"/>
      <c r="H247" s="8"/>
      <c r="J247" s="24" t="s">
        <v>23</v>
      </c>
    </row>
    <row r="248" spans="1:14">
      <c r="A248" s="8"/>
      <c r="C248" s="24"/>
      <c r="D248" s="24"/>
      <c r="E248" s="24"/>
      <c r="F248" s="24"/>
      <c r="G248" s="8"/>
      <c r="H248" s="8"/>
      <c r="J248" s="25"/>
      <c r="N248" s="26"/>
    </row>
    <row r="249" spans="1:14">
      <c r="A249" s="8"/>
      <c r="C249" s="24"/>
      <c r="D249" s="24"/>
      <c r="E249" s="24"/>
      <c r="F249" s="24"/>
      <c r="G249" s="8"/>
      <c r="H249" s="8"/>
      <c r="J249" s="25"/>
    </row>
    <row r="250" spans="1:14">
      <c r="A250" s="8"/>
      <c r="C250" s="24"/>
      <c r="D250" s="24"/>
      <c r="E250" s="24"/>
      <c r="F250" s="24"/>
      <c r="G250" s="8"/>
      <c r="H250" s="8"/>
      <c r="J250" s="25"/>
    </row>
    <row r="251" spans="1:14">
      <c r="A251" s="8"/>
      <c r="C251" s="24"/>
      <c r="D251" s="24"/>
      <c r="E251" s="24"/>
      <c r="F251" s="24"/>
      <c r="G251" s="8"/>
      <c r="H251" s="8"/>
      <c r="J251" s="25"/>
    </row>
    <row r="252" spans="1:14">
      <c r="A252" s="8"/>
      <c r="C252" s="24"/>
      <c r="D252" s="24"/>
      <c r="E252" s="24"/>
      <c r="F252" s="24"/>
      <c r="G252" s="8"/>
      <c r="H252" s="8"/>
      <c r="J252" s="25"/>
    </row>
    <row r="253" spans="1:14" ht="15" customHeight="1">
      <c r="A253" s="8"/>
      <c r="C253" s="27" t="str">
        <f>C219</f>
        <v>BADRUDDIN, S.Ag.</v>
      </c>
      <c r="D253" s="28"/>
      <c r="E253" s="28"/>
      <c r="F253" s="8"/>
      <c r="G253" s="8"/>
      <c r="J253" s="27" t="str">
        <f>J219</f>
        <v>DEDE GUNAWAN, S.Pd</v>
      </c>
    </row>
    <row r="254" spans="1:14" ht="13.5" customHeight="1">
      <c r="A254" s="8"/>
      <c r="C254" s="43" t="str">
        <f>C220</f>
        <v>NIP. 197405082014121002</v>
      </c>
      <c r="D254" s="25"/>
      <c r="E254" s="25"/>
      <c r="F254" s="8"/>
      <c r="G254" s="8"/>
      <c r="J254" s="43" t="str">
        <f>J220</f>
        <v>NIP. 198507172020121003</v>
      </c>
    </row>
    <row r="255" spans="1:14" ht="15" customHeight="1">
      <c r="A255" s="8"/>
      <c r="C255" s="28"/>
      <c r="D255" s="28"/>
      <c r="E255" s="28"/>
      <c r="F255" s="28"/>
      <c r="G255" s="8"/>
      <c r="H255" s="8"/>
      <c r="J255" s="29"/>
    </row>
    <row r="256" spans="1:14" ht="13.5" customHeight="1"/>
    <row r="257" spans="1:11" ht="13.5" customHeight="1"/>
    <row r="258" spans="1:11" ht="13.5" customHeight="1"/>
    <row r="259" spans="1:11" ht="13.5" customHeight="1"/>
    <row r="264" spans="1:11" ht="17.25" customHeight="1">
      <c r="A264" s="76" t="str">
        <f>$A$1</f>
        <v>DAFTAR BUKTI PENERIMA PERJALANAN DINAS RAPAT KERJA TEKNIS OPERATOR TK. GUGUS (Transaksi Non Tunai)</v>
      </c>
      <c r="B264" s="76"/>
      <c r="C264" s="76"/>
      <c r="D264" s="76"/>
      <c r="E264" s="76"/>
      <c r="F264" s="76"/>
      <c r="G264" s="76"/>
      <c r="H264" s="76"/>
      <c r="I264" s="76"/>
      <c r="J264" s="76"/>
      <c r="K264" s="76"/>
    </row>
    <row r="265" spans="1:11" ht="17.25" customHeight="1">
      <c r="A265" s="64" t="s">
        <v>78</v>
      </c>
      <c r="B265" s="64"/>
      <c r="C265" s="64"/>
      <c r="D265" s="64"/>
      <c r="E265" s="64"/>
      <c r="F265" s="64"/>
      <c r="G265" s="64"/>
      <c r="H265" s="64"/>
      <c r="I265" s="64"/>
      <c r="J265" s="64"/>
      <c r="K265" s="64"/>
    </row>
    <row r="266" spans="1:11" ht="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" customHeight="1">
      <c r="C267" s="4" t="s">
        <v>0</v>
      </c>
      <c r="D267" s="5" t="s">
        <v>56</v>
      </c>
      <c r="F267" s="6"/>
      <c r="G267" s="7"/>
      <c r="H267" s="7"/>
      <c r="I267" s="4" t="s">
        <v>26</v>
      </c>
      <c r="J267" s="4" t="str">
        <f>J233</f>
        <v>: 06 Pengembangan Standar Pengelolaan</v>
      </c>
    </row>
    <row r="268" spans="1:11" ht="15" customHeight="1">
      <c r="C268" s="4" t="s">
        <v>2</v>
      </c>
      <c r="D268" s="4" t="str">
        <f>D234</f>
        <v>: SD NEGERI LEBAKLEUNGSIR</v>
      </c>
      <c r="F268" s="6"/>
      <c r="H268" s="8"/>
      <c r="I268" s="4" t="s">
        <v>27</v>
      </c>
      <c r="J268" s="4" t="str">
        <f t="shared" ref="J268:J270" si="25">J234</f>
        <v>: Perjalanan Dinas Rakernis Operator</v>
      </c>
    </row>
    <row r="269" spans="1:11" ht="15" customHeight="1">
      <c r="C269" s="4" t="s">
        <v>3</v>
      </c>
      <c r="D269" s="4" t="str">
        <f t="shared" ref="D269:D270" si="26">D235</f>
        <v>: Cikalongwetan</v>
      </c>
      <c r="F269" s="6"/>
      <c r="H269" s="8"/>
      <c r="I269" s="8" t="s">
        <v>28</v>
      </c>
      <c r="J269" s="4" t="str">
        <f t="shared" si="25"/>
        <v>: 5.1.02.04.01.0003</v>
      </c>
    </row>
    <row r="270" spans="1:11" ht="15" customHeight="1">
      <c r="C270" s="4" t="s">
        <v>5</v>
      </c>
      <c r="D270" s="4" t="str">
        <f t="shared" si="26"/>
        <v>: Bandung Barat</v>
      </c>
      <c r="F270" s="6"/>
      <c r="H270" s="8"/>
      <c r="I270" s="4" t="s">
        <v>7</v>
      </c>
      <c r="J270" s="4" t="str">
        <f t="shared" si="25"/>
        <v>: 5</v>
      </c>
    </row>
    <row r="271" spans="1:11" ht="15" customHeight="1">
      <c r="H271" s="8"/>
      <c r="I271" s="8"/>
      <c r="J271" s="8"/>
    </row>
    <row r="272" spans="1:11" ht="41.25" customHeight="1">
      <c r="A272" s="9" t="s">
        <v>8</v>
      </c>
      <c r="B272" s="65" t="s">
        <v>9</v>
      </c>
      <c r="C272" s="66"/>
      <c r="D272" s="9" t="s">
        <v>10</v>
      </c>
      <c r="E272" s="10" t="s">
        <v>11</v>
      </c>
      <c r="F272" s="9" t="s">
        <v>45</v>
      </c>
      <c r="G272" s="9" t="s">
        <v>24</v>
      </c>
      <c r="H272" s="10" t="s">
        <v>13</v>
      </c>
      <c r="I272" s="10" t="s">
        <v>14</v>
      </c>
      <c r="J272" s="69" t="s">
        <v>17</v>
      </c>
      <c r="K272" s="71"/>
    </row>
    <row r="273" spans="1:14" ht="22.5" customHeight="1">
      <c r="A273" s="11">
        <v>1</v>
      </c>
      <c r="B273" s="12" t="str">
        <f>B239</f>
        <v>RISNA MARSELA HARTINI</v>
      </c>
      <c r="C273" s="13"/>
      <c r="D273" s="12" t="str">
        <f>IF(D239="","",D239)</f>
        <v>Operator</v>
      </c>
      <c r="E273" s="11" t="s">
        <v>34</v>
      </c>
      <c r="F273" s="11">
        <v>2</v>
      </c>
      <c r="G273" s="11" t="str">
        <f>IF(G239="","",G239)</f>
        <v>Perjalanan</v>
      </c>
      <c r="H273" s="44">
        <f>IF(H239="","",H239)</f>
        <v>50000</v>
      </c>
      <c r="I273" s="16">
        <f>IFERROR(SUM(F273*H273),"")</f>
        <v>100000</v>
      </c>
      <c r="J273" s="54">
        <v>1</v>
      </c>
      <c r="K273" s="56">
        <v>2</v>
      </c>
    </row>
    <row r="274" spans="1:14" ht="22.5" customHeight="1">
      <c r="A274" s="11">
        <v>2</v>
      </c>
      <c r="B274" s="12" t="str">
        <f t="shared" ref="B274:B276" si="27">IF(B240="","",B240)</f>
        <v/>
      </c>
      <c r="C274" s="13"/>
      <c r="D274" s="12" t="str">
        <f t="shared" ref="D274:H276" si="28">IF(D240="","",D240)</f>
        <v/>
      </c>
      <c r="E274" s="11" t="str">
        <f t="shared" si="28"/>
        <v/>
      </c>
      <c r="F274" s="11" t="str">
        <f t="shared" si="28"/>
        <v/>
      </c>
      <c r="G274" s="11" t="str">
        <f t="shared" si="28"/>
        <v/>
      </c>
      <c r="H274" s="44" t="str">
        <f t="shared" si="28"/>
        <v/>
      </c>
      <c r="I274" s="16" t="str">
        <f t="shared" ref="I274:I276" si="29">IFERROR(SUM(F274*H274),"")</f>
        <v/>
      </c>
      <c r="J274" s="55"/>
      <c r="K274" s="57"/>
    </row>
    <row r="275" spans="1:14" ht="22.5" hidden="1" customHeight="1">
      <c r="A275" s="11">
        <v>3</v>
      </c>
      <c r="B275" s="12" t="str">
        <f t="shared" si="27"/>
        <v/>
      </c>
      <c r="C275" s="13"/>
      <c r="D275" s="12" t="str">
        <f t="shared" si="28"/>
        <v/>
      </c>
      <c r="E275" s="11" t="str">
        <f t="shared" si="28"/>
        <v/>
      </c>
      <c r="F275" s="11" t="str">
        <f t="shared" si="28"/>
        <v/>
      </c>
      <c r="G275" s="11" t="str">
        <f t="shared" si="28"/>
        <v/>
      </c>
      <c r="H275" s="44" t="str">
        <f t="shared" si="28"/>
        <v/>
      </c>
      <c r="I275" s="16" t="str">
        <f t="shared" si="29"/>
        <v/>
      </c>
      <c r="J275" s="54">
        <v>3</v>
      </c>
      <c r="K275" s="56">
        <v>4</v>
      </c>
    </row>
    <row r="276" spans="1:14" ht="22.5" hidden="1" customHeight="1">
      <c r="A276" s="11">
        <v>4</v>
      </c>
      <c r="B276" s="12" t="str">
        <f t="shared" si="27"/>
        <v/>
      </c>
      <c r="C276" s="13"/>
      <c r="D276" s="12" t="str">
        <f t="shared" si="28"/>
        <v/>
      </c>
      <c r="E276" s="11" t="str">
        <f t="shared" si="28"/>
        <v/>
      </c>
      <c r="F276" s="11" t="str">
        <f t="shared" si="28"/>
        <v/>
      </c>
      <c r="G276" s="11" t="str">
        <f t="shared" si="28"/>
        <v/>
      </c>
      <c r="H276" s="44" t="str">
        <f t="shared" si="28"/>
        <v/>
      </c>
      <c r="I276" s="16" t="str">
        <f t="shared" si="29"/>
        <v/>
      </c>
      <c r="J276" s="55"/>
      <c r="K276" s="57"/>
    </row>
    <row r="277" spans="1:14" s="21" customFormat="1" ht="22.5" customHeight="1">
      <c r="A277" s="69" t="s">
        <v>20</v>
      </c>
      <c r="B277" s="70"/>
      <c r="C277" s="70"/>
      <c r="D277" s="70"/>
      <c r="E277" s="70"/>
      <c r="F277" s="70"/>
      <c r="G277" s="70"/>
      <c r="H277" s="71"/>
      <c r="I277" s="18">
        <f>SUM(I273:I276)</f>
        <v>100000</v>
      </c>
      <c r="J277" s="20"/>
      <c r="K277" s="20"/>
      <c r="N277" s="22"/>
    </row>
    <row r="278" spans="1:14" ht="23.25" customHeight="1">
      <c r="A278" s="7"/>
      <c r="B278" s="7"/>
      <c r="C278" s="7"/>
      <c r="D278" s="7"/>
      <c r="E278" s="7"/>
      <c r="F278" s="7"/>
      <c r="G278" s="7"/>
      <c r="H278" s="23"/>
      <c r="I278" s="23"/>
    </row>
    <row r="279" spans="1:14">
      <c r="A279" s="8"/>
      <c r="B279" s="8"/>
      <c r="C279" s="8"/>
      <c r="D279" s="8"/>
      <c r="E279" s="8"/>
      <c r="F279" s="8"/>
      <c r="G279" s="8"/>
      <c r="H279" s="8"/>
      <c r="J279" s="24" t="s">
        <v>110</v>
      </c>
    </row>
    <row r="280" spans="1:14">
      <c r="A280" s="8"/>
      <c r="C280" s="24" t="s">
        <v>21</v>
      </c>
      <c r="D280" s="24"/>
      <c r="E280" s="24"/>
      <c r="F280" s="24"/>
      <c r="G280" s="8"/>
      <c r="H280" s="8"/>
      <c r="J280" s="24" t="s">
        <v>111</v>
      </c>
    </row>
    <row r="281" spans="1:14">
      <c r="A281" s="8"/>
      <c r="C281" s="24" t="s">
        <v>22</v>
      </c>
      <c r="D281" s="24"/>
      <c r="E281" s="24"/>
      <c r="F281" s="24"/>
      <c r="G281" s="8"/>
      <c r="H281" s="8"/>
      <c r="J281" s="24" t="s">
        <v>23</v>
      </c>
    </row>
    <row r="282" spans="1:14">
      <c r="A282" s="8"/>
      <c r="C282" s="24"/>
      <c r="D282" s="24"/>
      <c r="E282" s="24"/>
      <c r="F282" s="24"/>
      <c r="G282" s="8"/>
      <c r="H282" s="8"/>
      <c r="J282" s="25"/>
      <c r="N282" s="26"/>
    </row>
    <row r="283" spans="1:14">
      <c r="A283" s="8"/>
      <c r="C283" s="24"/>
      <c r="D283" s="24"/>
      <c r="E283" s="24"/>
      <c r="F283" s="24"/>
      <c r="G283" s="8"/>
      <c r="H283" s="8"/>
      <c r="J283" s="25"/>
    </row>
    <row r="284" spans="1:14">
      <c r="A284" s="8"/>
      <c r="C284" s="24"/>
      <c r="D284" s="24"/>
      <c r="E284" s="24"/>
      <c r="F284" s="24"/>
      <c r="G284" s="8"/>
      <c r="H284" s="8"/>
      <c r="J284" s="25"/>
    </row>
    <row r="285" spans="1:14">
      <c r="A285" s="8"/>
      <c r="C285" s="24"/>
      <c r="D285" s="24"/>
      <c r="E285" s="24"/>
      <c r="F285" s="24"/>
      <c r="G285" s="8"/>
      <c r="H285" s="8"/>
      <c r="J285" s="25"/>
    </row>
    <row r="286" spans="1:14">
      <c r="A286" s="8"/>
      <c r="C286" s="24"/>
      <c r="D286" s="24"/>
      <c r="E286" s="24"/>
      <c r="F286" s="24"/>
      <c r="G286" s="8"/>
      <c r="H286" s="8"/>
      <c r="J286" s="25"/>
    </row>
    <row r="287" spans="1:14" ht="15" customHeight="1">
      <c r="A287" s="8"/>
      <c r="C287" s="27" t="str">
        <f>C253</f>
        <v>BADRUDDIN, S.Ag.</v>
      </c>
      <c r="D287" s="28"/>
      <c r="E287" s="28"/>
      <c r="F287" s="8"/>
      <c r="G287" s="8"/>
      <c r="J287" s="27" t="str">
        <f>J253</f>
        <v>DEDE GUNAWAN, S.Pd</v>
      </c>
    </row>
    <row r="288" spans="1:14" ht="13.5" customHeight="1">
      <c r="A288" s="8"/>
      <c r="C288" s="43" t="str">
        <f>C254</f>
        <v>NIP. 197405082014121002</v>
      </c>
      <c r="D288" s="25"/>
      <c r="E288" s="25"/>
      <c r="F288" s="8"/>
      <c r="G288" s="8"/>
      <c r="J288" s="43" t="str">
        <f>J254</f>
        <v>NIP. 198507172020121003</v>
      </c>
    </row>
    <row r="289" spans="1:11" ht="15" customHeight="1">
      <c r="A289" s="8"/>
      <c r="C289" s="28"/>
      <c r="D289" s="28"/>
      <c r="E289" s="28"/>
      <c r="F289" s="28"/>
      <c r="G289" s="8"/>
      <c r="H289" s="8"/>
      <c r="J289" s="29"/>
    </row>
    <row r="290" spans="1:11" ht="13.5" customHeight="1"/>
    <row r="291" spans="1:11" ht="13.5" customHeight="1"/>
    <row r="292" spans="1:11" ht="13.5" customHeight="1"/>
    <row r="293" spans="1:11" ht="13.5" customHeight="1"/>
    <row r="298" spans="1:11" ht="17.25" customHeight="1">
      <c r="A298" s="76" t="str">
        <f>$A$1</f>
        <v>DAFTAR BUKTI PENERIMA PERJALANAN DINAS RAPAT KERJA TEKNIS OPERATOR TK. GUGUS (Transaksi Non Tunai)</v>
      </c>
      <c r="B298" s="76"/>
      <c r="C298" s="76"/>
      <c r="D298" s="76"/>
      <c r="E298" s="76"/>
      <c r="F298" s="76"/>
      <c r="G298" s="76"/>
      <c r="H298" s="76"/>
      <c r="I298" s="76"/>
      <c r="J298" s="76"/>
      <c r="K298" s="76"/>
    </row>
    <row r="299" spans="1:11" ht="17.25" customHeight="1">
      <c r="A299" s="64" t="s">
        <v>80</v>
      </c>
      <c r="B299" s="64"/>
      <c r="C299" s="64"/>
      <c r="D299" s="64"/>
      <c r="E299" s="64"/>
      <c r="F299" s="64"/>
      <c r="G299" s="64"/>
      <c r="H299" s="64"/>
      <c r="I299" s="64"/>
      <c r="J299" s="64"/>
      <c r="K299" s="64"/>
    </row>
    <row r="300" spans="1:11" ht="1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" customHeight="1">
      <c r="C301" s="4" t="s">
        <v>0</v>
      </c>
      <c r="D301" s="5" t="s">
        <v>56</v>
      </c>
      <c r="F301" s="6"/>
      <c r="G301" s="7"/>
      <c r="H301" s="7"/>
      <c r="I301" s="4" t="s">
        <v>26</v>
      </c>
      <c r="J301" s="4" t="str">
        <f>J267</f>
        <v>: 06 Pengembangan Standar Pengelolaan</v>
      </c>
    </row>
    <row r="302" spans="1:11" ht="15" customHeight="1">
      <c r="C302" s="4" t="s">
        <v>2</v>
      </c>
      <c r="D302" s="4" t="str">
        <f>D268</f>
        <v>: SD NEGERI LEBAKLEUNGSIR</v>
      </c>
      <c r="F302" s="6"/>
      <c r="H302" s="8"/>
      <c r="I302" s="4" t="s">
        <v>27</v>
      </c>
      <c r="J302" s="4" t="str">
        <f t="shared" ref="J302:J304" si="30">J268</f>
        <v>: Perjalanan Dinas Rakernis Operator</v>
      </c>
    </row>
    <row r="303" spans="1:11" ht="15" customHeight="1">
      <c r="C303" s="4" t="s">
        <v>3</v>
      </c>
      <c r="D303" s="4" t="str">
        <f t="shared" ref="D303:D304" si="31">D269</f>
        <v>: Cikalongwetan</v>
      </c>
      <c r="F303" s="6"/>
      <c r="H303" s="8"/>
      <c r="I303" s="8" t="s">
        <v>28</v>
      </c>
      <c r="J303" s="4" t="str">
        <f t="shared" si="30"/>
        <v>: 5.1.02.04.01.0003</v>
      </c>
    </row>
    <row r="304" spans="1:11" ht="15" customHeight="1">
      <c r="C304" s="4" t="s">
        <v>5</v>
      </c>
      <c r="D304" s="4" t="str">
        <f t="shared" si="31"/>
        <v>: Bandung Barat</v>
      </c>
      <c r="F304" s="6"/>
      <c r="H304" s="8"/>
      <c r="I304" s="4" t="s">
        <v>7</v>
      </c>
      <c r="J304" s="4" t="str">
        <f t="shared" si="30"/>
        <v>: 5</v>
      </c>
    </row>
    <row r="305" spans="1:14" ht="15" customHeight="1">
      <c r="H305" s="8"/>
      <c r="I305" s="8"/>
      <c r="J305" s="8"/>
    </row>
    <row r="306" spans="1:14" ht="41.25" customHeight="1">
      <c r="A306" s="9" t="s">
        <v>8</v>
      </c>
      <c r="B306" s="65" t="s">
        <v>9</v>
      </c>
      <c r="C306" s="66"/>
      <c r="D306" s="9" t="s">
        <v>10</v>
      </c>
      <c r="E306" s="10" t="s">
        <v>11</v>
      </c>
      <c r="F306" s="9" t="s">
        <v>45</v>
      </c>
      <c r="G306" s="9" t="s">
        <v>24</v>
      </c>
      <c r="H306" s="10" t="s">
        <v>13</v>
      </c>
      <c r="I306" s="10" t="s">
        <v>14</v>
      </c>
      <c r="J306" s="69" t="s">
        <v>17</v>
      </c>
      <c r="K306" s="71"/>
    </row>
    <row r="307" spans="1:14" ht="22.5" customHeight="1">
      <c r="A307" s="11">
        <v>1</v>
      </c>
      <c r="B307" s="12" t="s">
        <v>38</v>
      </c>
      <c r="C307" s="13"/>
      <c r="D307" s="12" t="str">
        <f>IF(D273="","",D273)</f>
        <v>Operator</v>
      </c>
      <c r="E307" s="11" t="s">
        <v>34</v>
      </c>
      <c r="F307" s="11">
        <v>3</v>
      </c>
      <c r="G307" s="11" t="str">
        <f>IF(G273="","",G273)</f>
        <v>Perjalanan</v>
      </c>
      <c r="H307" s="44">
        <f>IF(H273="","",H273)</f>
        <v>50000</v>
      </c>
      <c r="I307" s="16">
        <f>IFERROR(SUM(F307*H307),"")</f>
        <v>150000</v>
      </c>
      <c r="J307" s="54">
        <v>1</v>
      </c>
      <c r="K307" s="56">
        <v>2</v>
      </c>
    </row>
    <row r="308" spans="1:14" ht="22.5" customHeight="1">
      <c r="A308" s="11">
        <v>2</v>
      </c>
      <c r="B308" s="12" t="str">
        <f t="shared" ref="B308:B310" si="32">IF(B274="","",B274)</f>
        <v/>
      </c>
      <c r="C308" s="13"/>
      <c r="D308" s="12" t="str">
        <f t="shared" ref="D308:H310" si="33">IF(D274="","",D274)</f>
        <v/>
      </c>
      <c r="E308" s="11" t="str">
        <f t="shared" si="33"/>
        <v/>
      </c>
      <c r="F308" s="11" t="str">
        <f t="shared" si="33"/>
        <v/>
      </c>
      <c r="G308" s="11" t="str">
        <f t="shared" si="33"/>
        <v/>
      </c>
      <c r="H308" s="44" t="str">
        <f t="shared" si="33"/>
        <v/>
      </c>
      <c r="I308" s="16" t="str">
        <f t="shared" ref="I308:I310" si="34">IFERROR(SUM(F308*H308),"")</f>
        <v/>
      </c>
      <c r="J308" s="55"/>
      <c r="K308" s="57"/>
    </row>
    <row r="309" spans="1:14" ht="22.5" hidden="1" customHeight="1">
      <c r="A309" s="11">
        <v>3</v>
      </c>
      <c r="B309" s="12" t="str">
        <f t="shared" si="32"/>
        <v/>
      </c>
      <c r="C309" s="13"/>
      <c r="D309" s="12" t="str">
        <f t="shared" si="33"/>
        <v/>
      </c>
      <c r="E309" s="11" t="str">
        <f t="shared" si="33"/>
        <v/>
      </c>
      <c r="F309" s="11" t="str">
        <f t="shared" si="33"/>
        <v/>
      </c>
      <c r="G309" s="11" t="str">
        <f t="shared" si="33"/>
        <v/>
      </c>
      <c r="H309" s="44" t="str">
        <f t="shared" si="33"/>
        <v/>
      </c>
      <c r="I309" s="16" t="str">
        <f t="shared" si="34"/>
        <v/>
      </c>
      <c r="J309" s="54">
        <v>3</v>
      </c>
      <c r="K309" s="56">
        <v>4</v>
      </c>
    </row>
    <row r="310" spans="1:14" ht="22.5" hidden="1" customHeight="1">
      <c r="A310" s="11">
        <v>4</v>
      </c>
      <c r="B310" s="12" t="str">
        <f t="shared" si="32"/>
        <v/>
      </c>
      <c r="C310" s="13"/>
      <c r="D310" s="12" t="str">
        <f t="shared" si="33"/>
        <v/>
      </c>
      <c r="E310" s="11" t="str">
        <f t="shared" si="33"/>
        <v/>
      </c>
      <c r="F310" s="11" t="str">
        <f t="shared" si="33"/>
        <v/>
      </c>
      <c r="G310" s="11" t="str">
        <f t="shared" si="33"/>
        <v/>
      </c>
      <c r="H310" s="44" t="str">
        <f t="shared" si="33"/>
        <v/>
      </c>
      <c r="I310" s="16" t="str">
        <f t="shared" si="34"/>
        <v/>
      </c>
      <c r="J310" s="55"/>
      <c r="K310" s="57"/>
    </row>
    <row r="311" spans="1:14" s="21" customFormat="1" ht="22.5" customHeight="1">
      <c r="A311" s="69" t="s">
        <v>20</v>
      </c>
      <c r="B311" s="70"/>
      <c r="C311" s="70"/>
      <c r="D311" s="70"/>
      <c r="E311" s="70"/>
      <c r="F311" s="70"/>
      <c r="G311" s="70"/>
      <c r="H311" s="71"/>
      <c r="I311" s="18">
        <f>SUM(I307:I310)</f>
        <v>150000</v>
      </c>
      <c r="J311" s="20"/>
      <c r="K311" s="20"/>
      <c r="N311" s="22"/>
    </row>
    <row r="312" spans="1:14" ht="23.25" customHeight="1">
      <c r="A312" s="7"/>
      <c r="B312" s="7"/>
      <c r="C312" s="7"/>
      <c r="D312" s="7"/>
      <c r="E312" s="7"/>
      <c r="F312" s="7"/>
      <c r="G312" s="7"/>
      <c r="H312" s="23"/>
      <c r="I312" s="23"/>
    </row>
    <row r="313" spans="1:14">
      <c r="A313" s="8"/>
      <c r="B313" s="8"/>
      <c r="C313" s="8"/>
      <c r="D313" s="8"/>
      <c r="E313" s="8"/>
      <c r="F313" s="8"/>
      <c r="G313" s="8"/>
      <c r="H313" s="8"/>
      <c r="J313" s="24" t="s">
        <v>112</v>
      </c>
    </row>
    <row r="314" spans="1:14">
      <c r="A314" s="8"/>
      <c r="C314" s="24" t="s">
        <v>21</v>
      </c>
      <c r="D314" s="24"/>
      <c r="E314" s="24"/>
      <c r="F314" s="24"/>
      <c r="G314" s="8"/>
      <c r="H314" s="8"/>
      <c r="J314" s="24" t="s">
        <v>113</v>
      </c>
    </row>
    <row r="315" spans="1:14">
      <c r="A315" s="8"/>
      <c r="C315" s="24" t="s">
        <v>22</v>
      </c>
      <c r="D315" s="24"/>
      <c r="E315" s="24"/>
      <c r="F315" s="24"/>
      <c r="G315" s="8"/>
      <c r="H315" s="8"/>
      <c r="J315" s="24" t="s">
        <v>23</v>
      </c>
    </row>
    <row r="316" spans="1:14">
      <c r="A316" s="8"/>
      <c r="C316" s="24"/>
      <c r="D316" s="24"/>
      <c r="E316" s="24"/>
      <c r="F316" s="24"/>
      <c r="G316" s="8"/>
      <c r="H316" s="8"/>
      <c r="J316" s="25"/>
      <c r="N316" s="26"/>
    </row>
    <row r="317" spans="1:14">
      <c r="A317" s="8"/>
      <c r="C317" s="24"/>
      <c r="D317" s="24"/>
      <c r="E317" s="24"/>
      <c r="F317" s="24"/>
      <c r="G317" s="8"/>
      <c r="H317" s="8"/>
      <c r="J317" s="25"/>
    </row>
    <row r="318" spans="1:14">
      <c r="A318" s="8"/>
      <c r="C318" s="24"/>
      <c r="D318" s="24"/>
      <c r="E318" s="24"/>
      <c r="F318" s="24"/>
      <c r="G318" s="8"/>
      <c r="H318" s="8"/>
      <c r="J318" s="25"/>
    </row>
    <row r="319" spans="1:14">
      <c r="A319" s="8"/>
      <c r="C319" s="24"/>
      <c r="D319" s="24"/>
      <c r="E319" s="24"/>
      <c r="F319" s="24"/>
      <c r="G319" s="8"/>
      <c r="H319" s="8"/>
      <c r="J319" s="25"/>
    </row>
    <row r="320" spans="1:14">
      <c r="A320" s="8"/>
      <c r="C320" s="24"/>
      <c r="D320" s="24"/>
      <c r="E320" s="24"/>
      <c r="F320" s="24"/>
      <c r="G320" s="8"/>
      <c r="H320" s="8"/>
      <c r="J320" s="25"/>
    </row>
    <row r="321" spans="1:11" ht="15" customHeight="1">
      <c r="A321" s="8"/>
      <c r="C321" s="27" t="str">
        <f>C287</f>
        <v>BADRUDDIN, S.Ag.</v>
      </c>
      <c r="D321" s="28"/>
      <c r="E321" s="28"/>
      <c r="F321" s="8"/>
      <c r="G321" s="8"/>
      <c r="J321" s="27" t="str">
        <f>J287</f>
        <v>DEDE GUNAWAN, S.Pd</v>
      </c>
    </row>
    <row r="322" spans="1:11" ht="13.5" customHeight="1">
      <c r="A322" s="8"/>
      <c r="C322" s="43" t="str">
        <f>C288</f>
        <v>NIP. 197405082014121002</v>
      </c>
      <c r="D322" s="25"/>
      <c r="E322" s="25"/>
      <c r="F322" s="8"/>
      <c r="G322" s="8"/>
      <c r="J322" s="43" t="str">
        <f>J288</f>
        <v>NIP. 198507172020121003</v>
      </c>
    </row>
    <row r="323" spans="1:11" ht="15" customHeight="1">
      <c r="A323" s="8"/>
      <c r="C323" s="28"/>
      <c r="D323" s="28"/>
      <c r="E323" s="28"/>
      <c r="F323" s="28"/>
      <c r="G323" s="8"/>
      <c r="H323" s="8"/>
      <c r="J323" s="29"/>
    </row>
    <row r="324" spans="1:11" ht="13.5" customHeight="1"/>
    <row r="325" spans="1:11" ht="13.5" customHeight="1"/>
    <row r="326" spans="1:11" ht="13.5" customHeight="1"/>
    <row r="327" spans="1:11" ht="13.5" customHeight="1"/>
    <row r="332" spans="1:11" ht="17.25" customHeight="1">
      <c r="A332" s="76" t="str">
        <f>$A$1</f>
        <v>DAFTAR BUKTI PENERIMA PERJALANAN DINAS RAPAT KERJA TEKNIS OPERATOR TK. GUGUS (Transaksi Non Tunai)</v>
      </c>
      <c r="B332" s="76"/>
      <c r="C332" s="76"/>
      <c r="D332" s="76"/>
      <c r="E332" s="76"/>
      <c r="F332" s="76"/>
      <c r="G332" s="76"/>
      <c r="H332" s="76"/>
      <c r="I332" s="76"/>
      <c r="J332" s="76"/>
      <c r="K332" s="76"/>
    </row>
    <row r="333" spans="1:11" ht="17.25" customHeight="1">
      <c r="A333" s="64" t="s">
        <v>82</v>
      </c>
      <c r="B333" s="64"/>
      <c r="C333" s="64"/>
      <c r="D333" s="64"/>
      <c r="E333" s="64"/>
      <c r="F333" s="64"/>
      <c r="G333" s="64"/>
      <c r="H333" s="64"/>
      <c r="I333" s="64"/>
      <c r="J333" s="64"/>
      <c r="K333" s="64"/>
    </row>
    <row r="334" spans="1:11" ht="1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" customHeight="1">
      <c r="C335" s="4" t="s">
        <v>0</v>
      </c>
      <c r="D335" s="5" t="s">
        <v>56</v>
      </c>
      <c r="F335" s="6"/>
      <c r="G335" s="7"/>
      <c r="H335" s="7"/>
      <c r="I335" s="4" t="s">
        <v>26</v>
      </c>
      <c r="J335" s="4" t="str">
        <f>J301</f>
        <v>: 06 Pengembangan Standar Pengelolaan</v>
      </c>
    </row>
    <row r="336" spans="1:11" ht="15" customHeight="1">
      <c r="C336" s="4" t="s">
        <v>2</v>
      </c>
      <c r="D336" s="4" t="str">
        <f>D302</f>
        <v>: SD NEGERI LEBAKLEUNGSIR</v>
      </c>
      <c r="F336" s="6"/>
      <c r="H336" s="8"/>
      <c r="I336" s="4" t="s">
        <v>27</v>
      </c>
      <c r="J336" s="4" t="str">
        <f t="shared" ref="J336:J338" si="35">J302</f>
        <v>: Perjalanan Dinas Rakernis Operator</v>
      </c>
    </row>
    <row r="337" spans="1:14" ht="15" customHeight="1">
      <c r="C337" s="4" t="s">
        <v>3</v>
      </c>
      <c r="D337" s="4" t="str">
        <f t="shared" ref="D337:D338" si="36">D303</f>
        <v>: Cikalongwetan</v>
      </c>
      <c r="F337" s="6"/>
      <c r="H337" s="8"/>
      <c r="I337" s="8" t="s">
        <v>28</v>
      </c>
      <c r="J337" s="4" t="str">
        <f t="shared" si="35"/>
        <v>: 5.1.02.04.01.0003</v>
      </c>
    </row>
    <row r="338" spans="1:14" ht="15" customHeight="1">
      <c r="C338" s="4" t="s">
        <v>5</v>
      </c>
      <c r="D338" s="4" t="str">
        <f t="shared" si="36"/>
        <v>: Bandung Barat</v>
      </c>
      <c r="F338" s="6"/>
      <c r="H338" s="8"/>
      <c r="I338" s="4" t="s">
        <v>7</v>
      </c>
      <c r="J338" s="4" t="str">
        <f t="shared" si="35"/>
        <v>: 5</v>
      </c>
    </row>
    <row r="339" spans="1:14" ht="15" customHeight="1">
      <c r="H339" s="8"/>
      <c r="I339" s="8"/>
      <c r="J339" s="8"/>
    </row>
    <row r="340" spans="1:14" ht="41.25" customHeight="1">
      <c r="A340" s="9" t="s">
        <v>8</v>
      </c>
      <c r="B340" s="65" t="s">
        <v>9</v>
      </c>
      <c r="C340" s="66"/>
      <c r="D340" s="9" t="s">
        <v>10</v>
      </c>
      <c r="E340" s="10" t="s">
        <v>11</v>
      </c>
      <c r="F340" s="9" t="s">
        <v>45</v>
      </c>
      <c r="G340" s="9" t="s">
        <v>24</v>
      </c>
      <c r="H340" s="10" t="s">
        <v>13</v>
      </c>
      <c r="I340" s="10" t="s">
        <v>14</v>
      </c>
      <c r="J340" s="69" t="s">
        <v>17</v>
      </c>
      <c r="K340" s="71"/>
    </row>
    <row r="341" spans="1:14" ht="22.5" customHeight="1">
      <c r="A341" s="11">
        <v>1</v>
      </c>
      <c r="B341" s="12" t="s">
        <v>38</v>
      </c>
      <c r="C341" s="13"/>
      <c r="D341" s="12" t="str">
        <f>IF(D307="","",D307)</f>
        <v>Operator</v>
      </c>
      <c r="E341" s="11" t="s">
        <v>34</v>
      </c>
      <c r="F341" s="11">
        <v>2</v>
      </c>
      <c r="G341" s="11" t="str">
        <f>IF(G307="","",G307)</f>
        <v>Perjalanan</v>
      </c>
      <c r="H341" s="44">
        <f>IF(H307="","",H307)</f>
        <v>50000</v>
      </c>
      <c r="I341" s="16">
        <f>IFERROR(SUM(F341*H341),"")</f>
        <v>100000</v>
      </c>
      <c r="J341" s="54">
        <v>1</v>
      </c>
      <c r="K341" s="56">
        <v>2</v>
      </c>
    </row>
    <row r="342" spans="1:14" ht="22.5" customHeight="1">
      <c r="A342" s="11">
        <v>2</v>
      </c>
      <c r="B342" s="12" t="str">
        <f t="shared" ref="B342:B344" si="37">IF(B308="","",B308)</f>
        <v/>
      </c>
      <c r="C342" s="13"/>
      <c r="D342" s="12" t="str">
        <f t="shared" ref="D342:H344" si="38">IF(D308="","",D308)</f>
        <v/>
      </c>
      <c r="E342" s="11" t="str">
        <f t="shared" si="38"/>
        <v/>
      </c>
      <c r="F342" s="11" t="str">
        <f t="shared" si="38"/>
        <v/>
      </c>
      <c r="G342" s="11" t="str">
        <f t="shared" si="38"/>
        <v/>
      </c>
      <c r="H342" s="44" t="str">
        <f t="shared" si="38"/>
        <v/>
      </c>
      <c r="I342" s="16" t="str">
        <f t="shared" ref="I342:I344" si="39">IFERROR(SUM(F342*H342),"")</f>
        <v/>
      </c>
      <c r="J342" s="55"/>
      <c r="K342" s="57"/>
    </row>
    <row r="343" spans="1:14" ht="22.5" hidden="1" customHeight="1">
      <c r="A343" s="11">
        <v>3</v>
      </c>
      <c r="B343" s="12" t="str">
        <f t="shared" si="37"/>
        <v/>
      </c>
      <c r="C343" s="13"/>
      <c r="D343" s="12" t="str">
        <f t="shared" si="38"/>
        <v/>
      </c>
      <c r="E343" s="11" t="str">
        <f t="shared" si="38"/>
        <v/>
      </c>
      <c r="F343" s="11" t="str">
        <f t="shared" si="38"/>
        <v/>
      </c>
      <c r="G343" s="11" t="str">
        <f t="shared" si="38"/>
        <v/>
      </c>
      <c r="H343" s="44" t="str">
        <f t="shared" si="38"/>
        <v/>
      </c>
      <c r="I343" s="16" t="str">
        <f t="shared" si="39"/>
        <v/>
      </c>
      <c r="J343" s="54">
        <v>3</v>
      </c>
      <c r="K343" s="56">
        <v>4</v>
      </c>
    </row>
    <row r="344" spans="1:14" ht="22.5" hidden="1" customHeight="1">
      <c r="A344" s="11">
        <v>4</v>
      </c>
      <c r="B344" s="12" t="str">
        <f t="shared" si="37"/>
        <v/>
      </c>
      <c r="C344" s="13"/>
      <c r="D344" s="12" t="str">
        <f t="shared" si="38"/>
        <v/>
      </c>
      <c r="E344" s="11" t="str">
        <f t="shared" si="38"/>
        <v/>
      </c>
      <c r="F344" s="11" t="str">
        <f t="shared" si="38"/>
        <v/>
      </c>
      <c r="G344" s="11" t="str">
        <f t="shared" si="38"/>
        <v/>
      </c>
      <c r="H344" s="44" t="str">
        <f t="shared" si="38"/>
        <v/>
      </c>
      <c r="I344" s="16" t="str">
        <f t="shared" si="39"/>
        <v/>
      </c>
      <c r="J344" s="55"/>
      <c r="K344" s="57"/>
    </row>
    <row r="345" spans="1:14" s="21" customFormat="1" ht="22.5" customHeight="1">
      <c r="A345" s="69" t="s">
        <v>20</v>
      </c>
      <c r="B345" s="70"/>
      <c r="C345" s="70"/>
      <c r="D345" s="70"/>
      <c r="E345" s="70"/>
      <c r="F345" s="70"/>
      <c r="G345" s="70"/>
      <c r="H345" s="71"/>
      <c r="I345" s="18">
        <f>SUM(I341:I344)</f>
        <v>100000</v>
      </c>
      <c r="J345" s="20"/>
      <c r="K345" s="20"/>
      <c r="N345" s="22"/>
    </row>
    <row r="346" spans="1:14" ht="23.25" customHeight="1">
      <c r="A346" s="7"/>
      <c r="B346" s="7"/>
      <c r="C346" s="7"/>
      <c r="D346" s="7"/>
      <c r="E346" s="7"/>
      <c r="F346" s="7"/>
      <c r="G346" s="7"/>
      <c r="H346" s="23"/>
      <c r="I346" s="23"/>
    </row>
    <row r="347" spans="1:14">
      <c r="A347" s="8"/>
      <c r="B347" s="8"/>
      <c r="C347" s="8"/>
      <c r="D347" s="8"/>
      <c r="E347" s="8"/>
      <c r="F347" s="8"/>
      <c r="G347" s="8"/>
      <c r="H347" s="8"/>
      <c r="J347" s="24" t="s">
        <v>104</v>
      </c>
    </row>
    <row r="348" spans="1:14">
      <c r="A348" s="8"/>
      <c r="C348" s="24" t="s">
        <v>21</v>
      </c>
      <c r="D348" s="24"/>
      <c r="E348" s="24"/>
      <c r="F348" s="24"/>
      <c r="G348" s="8"/>
      <c r="H348" s="8"/>
      <c r="J348" s="24" t="s">
        <v>89</v>
      </c>
    </row>
    <row r="349" spans="1:14">
      <c r="A349" s="8"/>
      <c r="C349" s="24" t="s">
        <v>22</v>
      </c>
      <c r="D349" s="24"/>
      <c r="E349" s="24"/>
      <c r="F349" s="24"/>
      <c r="G349" s="8"/>
      <c r="H349" s="8"/>
      <c r="J349" s="24" t="s">
        <v>23</v>
      </c>
    </row>
    <row r="350" spans="1:14">
      <c r="A350" s="8"/>
      <c r="C350" s="24"/>
      <c r="D350" s="24"/>
      <c r="E350" s="24"/>
      <c r="F350" s="24"/>
      <c r="G350" s="8"/>
      <c r="H350" s="8"/>
      <c r="J350" s="25"/>
      <c r="N350" s="26"/>
    </row>
    <row r="351" spans="1:14">
      <c r="A351" s="8"/>
      <c r="C351" s="24"/>
      <c r="D351" s="24"/>
      <c r="E351" s="24"/>
      <c r="F351" s="24"/>
      <c r="G351" s="8"/>
      <c r="H351" s="8"/>
      <c r="J351" s="25"/>
    </row>
    <row r="352" spans="1:14">
      <c r="A352" s="8"/>
      <c r="C352" s="24"/>
      <c r="D352" s="24"/>
      <c r="E352" s="24"/>
      <c r="F352" s="24"/>
      <c r="G352" s="8"/>
      <c r="H352" s="8"/>
      <c r="J352" s="25"/>
    </row>
    <row r="353" spans="1:11">
      <c r="A353" s="8"/>
      <c r="C353" s="24"/>
      <c r="D353" s="24"/>
      <c r="E353" s="24"/>
      <c r="F353" s="24"/>
      <c r="G353" s="8"/>
      <c r="H353" s="8"/>
      <c r="J353" s="25"/>
    </row>
    <row r="354" spans="1:11">
      <c r="A354" s="8"/>
      <c r="C354" s="24"/>
      <c r="D354" s="24"/>
      <c r="E354" s="24"/>
      <c r="F354" s="24"/>
      <c r="G354" s="8"/>
      <c r="H354" s="8"/>
      <c r="J354" s="25"/>
    </row>
    <row r="355" spans="1:11" ht="15" customHeight="1">
      <c r="A355" s="8"/>
      <c r="C355" s="27" t="str">
        <f>C321</f>
        <v>BADRUDDIN, S.Ag.</v>
      </c>
      <c r="D355" s="28"/>
      <c r="E355" s="28"/>
      <c r="F355" s="8"/>
      <c r="G355" s="8"/>
      <c r="J355" s="27" t="str">
        <f>J321</f>
        <v>DEDE GUNAWAN, S.Pd</v>
      </c>
    </row>
    <row r="356" spans="1:11" ht="13.5" customHeight="1">
      <c r="A356" s="8"/>
      <c r="C356" s="43" t="str">
        <f>C322</f>
        <v>NIP. 197405082014121002</v>
      </c>
      <c r="D356" s="25"/>
      <c r="E356" s="25"/>
      <c r="F356" s="8"/>
      <c r="G356" s="8"/>
      <c r="J356" s="43" t="str">
        <f>J322</f>
        <v>NIP. 198507172020121003</v>
      </c>
    </row>
    <row r="357" spans="1:11" ht="15" customHeight="1">
      <c r="A357" s="8"/>
      <c r="C357" s="28"/>
      <c r="D357" s="28"/>
      <c r="E357" s="28"/>
      <c r="F357" s="28"/>
      <c r="G357" s="8"/>
      <c r="H357" s="8"/>
      <c r="J357" s="29"/>
    </row>
    <row r="358" spans="1:11" ht="13.5" customHeight="1"/>
    <row r="359" spans="1:11" ht="13.5" customHeight="1"/>
    <row r="360" spans="1:11" ht="13.5" customHeight="1"/>
    <row r="361" spans="1:11" ht="13.5" customHeight="1"/>
    <row r="366" spans="1:11" ht="17.25" customHeight="1">
      <c r="A366" s="76" t="str">
        <f>$A$1</f>
        <v>DAFTAR BUKTI PENERIMA PERJALANAN DINAS RAPAT KERJA TEKNIS OPERATOR TK. GUGUS (Transaksi Non Tunai)</v>
      </c>
      <c r="B366" s="76"/>
      <c r="C366" s="76"/>
      <c r="D366" s="76"/>
      <c r="E366" s="76"/>
      <c r="F366" s="76"/>
      <c r="G366" s="76"/>
      <c r="H366" s="76"/>
      <c r="I366" s="76"/>
      <c r="J366" s="76"/>
      <c r="K366" s="76"/>
    </row>
    <row r="367" spans="1:11" ht="17.25" customHeight="1">
      <c r="A367" s="64" t="s">
        <v>84</v>
      </c>
      <c r="B367" s="64"/>
      <c r="C367" s="64"/>
      <c r="D367" s="64"/>
      <c r="E367" s="64"/>
      <c r="F367" s="64"/>
      <c r="G367" s="64"/>
      <c r="H367" s="64"/>
      <c r="I367" s="64"/>
      <c r="J367" s="64"/>
      <c r="K367" s="64"/>
    </row>
    <row r="368" spans="1:11" ht="1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4" ht="15" customHeight="1">
      <c r="C369" s="4" t="s">
        <v>0</v>
      </c>
      <c r="D369" s="5" t="s">
        <v>56</v>
      </c>
      <c r="F369" s="6"/>
      <c r="G369" s="7"/>
      <c r="H369" s="7"/>
      <c r="I369" s="4" t="s">
        <v>26</v>
      </c>
      <c r="J369" s="4" t="str">
        <f>J335</f>
        <v>: 06 Pengembangan Standar Pengelolaan</v>
      </c>
    </row>
    <row r="370" spans="1:14" ht="15" customHeight="1">
      <c r="C370" s="4" t="s">
        <v>2</v>
      </c>
      <c r="D370" s="4" t="str">
        <f>D336</f>
        <v>: SD NEGERI LEBAKLEUNGSIR</v>
      </c>
      <c r="F370" s="6"/>
      <c r="H370" s="8"/>
      <c r="I370" s="4" t="s">
        <v>27</v>
      </c>
      <c r="J370" s="4" t="str">
        <f t="shared" ref="J370:J372" si="40">J336</f>
        <v>: Perjalanan Dinas Rakernis Operator</v>
      </c>
    </row>
    <row r="371" spans="1:14" ht="15" customHeight="1">
      <c r="C371" s="4" t="s">
        <v>3</v>
      </c>
      <c r="D371" s="4" t="str">
        <f t="shared" ref="D371:D372" si="41">D337</f>
        <v>: Cikalongwetan</v>
      </c>
      <c r="F371" s="6"/>
      <c r="H371" s="8"/>
      <c r="I371" s="8" t="s">
        <v>28</v>
      </c>
      <c r="J371" s="4" t="str">
        <f t="shared" si="40"/>
        <v>: 5.1.02.04.01.0003</v>
      </c>
    </row>
    <row r="372" spans="1:14" ht="15" customHeight="1">
      <c r="C372" s="4" t="s">
        <v>5</v>
      </c>
      <c r="D372" s="4" t="str">
        <f t="shared" si="41"/>
        <v>: Bandung Barat</v>
      </c>
      <c r="F372" s="6"/>
      <c r="H372" s="8"/>
      <c r="I372" s="4" t="s">
        <v>7</v>
      </c>
      <c r="J372" s="4" t="str">
        <f t="shared" si="40"/>
        <v>: 5</v>
      </c>
    </row>
    <row r="373" spans="1:14" ht="15" customHeight="1">
      <c r="H373" s="8"/>
      <c r="I373" s="8"/>
      <c r="J373" s="8"/>
    </row>
    <row r="374" spans="1:14" ht="41.25" customHeight="1">
      <c r="A374" s="9" t="s">
        <v>8</v>
      </c>
      <c r="B374" s="65" t="s">
        <v>9</v>
      </c>
      <c r="C374" s="66"/>
      <c r="D374" s="9" t="s">
        <v>10</v>
      </c>
      <c r="E374" s="10" t="s">
        <v>11</v>
      </c>
      <c r="F374" s="9" t="s">
        <v>45</v>
      </c>
      <c r="G374" s="9" t="s">
        <v>24</v>
      </c>
      <c r="H374" s="10" t="s">
        <v>13</v>
      </c>
      <c r="I374" s="10" t="s">
        <v>14</v>
      </c>
      <c r="J374" s="69" t="s">
        <v>17</v>
      </c>
      <c r="K374" s="71"/>
    </row>
    <row r="375" spans="1:14" ht="22.5" customHeight="1">
      <c r="A375" s="11">
        <v>1</v>
      </c>
      <c r="B375" s="12" t="s">
        <v>38</v>
      </c>
      <c r="C375" s="13"/>
      <c r="D375" s="12" t="str">
        <f>IF(D341="","",D341)</f>
        <v>Operator</v>
      </c>
      <c r="E375" s="11" t="s">
        <v>34</v>
      </c>
      <c r="F375" s="11">
        <v>2</v>
      </c>
      <c r="G375" s="11" t="str">
        <f>IF(G341="","",G341)</f>
        <v>Perjalanan</v>
      </c>
      <c r="H375" s="44">
        <f>IF(H341="","",H341)</f>
        <v>50000</v>
      </c>
      <c r="I375" s="16">
        <f>IFERROR(SUM(F375*H375),"")</f>
        <v>100000</v>
      </c>
      <c r="J375" s="54">
        <v>1</v>
      </c>
      <c r="K375" s="56">
        <v>2</v>
      </c>
    </row>
    <row r="376" spans="1:14" ht="22.5" customHeight="1">
      <c r="A376" s="11">
        <v>2</v>
      </c>
      <c r="B376" s="12" t="str">
        <f t="shared" ref="B376:B378" si="42">IF(B342="","",B342)</f>
        <v/>
      </c>
      <c r="C376" s="13"/>
      <c r="D376" s="12" t="str">
        <f t="shared" ref="D376:H378" si="43">IF(D342="","",D342)</f>
        <v/>
      </c>
      <c r="E376" s="11" t="str">
        <f t="shared" si="43"/>
        <v/>
      </c>
      <c r="F376" s="11" t="str">
        <f t="shared" si="43"/>
        <v/>
      </c>
      <c r="G376" s="11" t="str">
        <f t="shared" si="43"/>
        <v/>
      </c>
      <c r="H376" s="44" t="str">
        <f t="shared" si="43"/>
        <v/>
      </c>
      <c r="I376" s="16" t="str">
        <f t="shared" ref="I376:I378" si="44">IFERROR(SUM(F376*H376),"")</f>
        <v/>
      </c>
      <c r="J376" s="55"/>
      <c r="K376" s="57"/>
    </row>
    <row r="377" spans="1:14" ht="22.5" hidden="1" customHeight="1">
      <c r="A377" s="11">
        <v>3</v>
      </c>
      <c r="B377" s="12" t="str">
        <f t="shared" si="42"/>
        <v/>
      </c>
      <c r="C377" s="13"/>
      <c r="D377" s="12" t="str">
        <f t="shared" si="43"/>
        <v/>
      </c>
      <c r="E377" s="11" t="str">
        <f t="shared" si="43"/>
        <v/>
      </c>
      <c r="F377" s="11" t="str">
        <f t="shared" si="43"/>
        <v/>
      </c>
      <c r="G377" s="11" t="str">
        <f t="shared" si="43"/>
        <v/>
      </c>
      <c r="H377" s="44" t="str">
        <f t="shared" si="43"/>
        <v/>
      </c>
      <c r="I377" s="16" t="str">
        <f t="shared" si="44"/>
        <v/>
      </c>
      <c r="J377" s="54">
        <v>3</v>
      </c>
      <c r="K377" s="56">
        <v>4</v>
      </c>
    </row>
    <row r="378" spans="1:14" ht="22.5" hidden="1" customHeight="1">
      <c r="A378" s="11">
        <v>4</v>
      </c>
      <c r="B378" s="12" t="str">
        <f t="shared" si="42"/>
        <v/>
      </c>
      <c r="C378" s="13"/>
      <c r="D378" s="12" t="str">
        <f t="shared" si="43"/>
        <v/>
      </c>
      <c r="E378" s="11" t="str">
        <f t="shared" si="43"/>
        <v/>
      </c>
      <c r="F378" s="11" t="str">
        <f t="shared" si="43"/>
        <v/>
      </c>
      <c r="G378" s="11" t="str">
        <f t="shared" si="43"/>
        <v/>
      </c>
      <c r="H378" s="44" t="str">
        <f t="shared" si="43"/>
        <v/>
      </c>
      <c r="I378" s="16" t="str">
        <f t="shared" si="44"/>
        <v/>
      </c>
      <c r="J378" s="55"/>
      <c r="K378" s="57"/>
    </row>
    <row r="379" spans="1:14" s="21" customFormat="1" ht="22.5" customHeight="1">
      <c r="A379" s="69" t="s">
        <v>20</v>
      </c>
      <c r="B379" s="70"/>
      <c r="C379" s="70"/>
      <c r="D379" s="70"/>
      <c r="E379" s="70"/>
      <c r="F379" s="70"/>
      <c r="G379" s="70"/>
      <c r="H379" s="71"/>
      <c r="I379" s="18">
        <f>SUM(I375:I378)</f>
        <v>100000</v>
      </c>
      <c r="J379" s="20"/>
      <c r="K379" s="20"/>
      <c r="N379" s="22"/>
    </row>
    <row r="380" spans="1:14" ht="23.25" customHeight="1">
      <c r="A380" s="7"/>
      <c r="B380" s="7"/>
      <c r="C380" s="7"/>
      <c r="D380" s="7"/>
      <c r="E380" s="7"/>
      <c r="F380" s="7"/>
      <c r="G380" s="7"/>
      <c r="H380" s="23"/>
      <c r="I380" s="23"/>
    </row>
    <row r="381" spans="1:14">
      <c r="A381" s="8"/>
      <c r="B381" s="8"/>
      <c r="C381" s="8"/>
      <c r="D381" s="8"/>
      <c r="E381" s="8"/>
      <c r="F381" s="8"/>
      <c r="G381" s="8"/>
      <c r="H381" s="8"/>
      <c r="J381" s="24" t="s">
        <v>104</v>
      </c>
    </row>
    <row r="382" spans="1:14">
      <c r="A382" s="8"/>
      <c r="C382" s="24" t="s">
        <v>21</v>
      </c>
      <c r="D382" s="24"/>
      <c r="E382" s="24"/>
      <c r="F382" s="24"/>
      <c r="G382" s="8"/>
      <c r="H382" s="8"/>
      <c r="J382" s="24" t="str">
        <f>Honor_penjaga!O416</f>
        <v>Dibayar Lunas Tgl. 04 Desember 2024</v>
      </c>
    </row>
    <row r="383" spans="1:14">
      <c r="A383" s="8"/>
      <c r="C383" s="24" t="s">
        <v>22</v>
      </c>
      <c r="D383" s="24"/>
      <c r="E383" s="24"/>
      <c r="F383" s="24"/>
      <c r="G383" s="8"/>
      <c r="H383" s="8"/>
      <c r="J383" s="24" t="s">
        <v>23</v>
      </c>
    </row>
    <row r="384" spans="1:14">
      <c r="A384" s="8"/>
      <c r="C384" s="24"/>
      <c r="D384" s="24"/>
      <c r="E384" s="24"/>
      <c r="F384" s="24"/>
      <c r="G384" s="8"/>
      <c r="H384" s="8"/>
      <c r="J384" s="25"/>
      <c r="N384" s="26"/>
    </row>
    <row r="385" spans="1:10">
      <c r="A385" s="8"/>
      <c r="C385" s="24"/>
      <c r="D385" s="24"/>
      <c r="E385" s="24"/>
      <c r="F385" s="24"/>
      <c r="G385" s="8"/>
      <c r="H385" s="8"/>
      <c r="J385" s="25"/>
    </row>
    <row r="386" spans="1:10">
      <c r="A386" s="8"/>
      <c r="C386" s="24"/>
      <c r="D386" s="24"/>
      <c r="E386" s="24"/>
      <c r="F386" s="24"/>
      <c r="G386" s="8"/>
      <c r="H386" s="8"/>
      <c r="J386" s="25"/>
    </row>
    <row r="387" spans="1:10">
      <c r="A387" s="8"/>
      <c r="C387" s="24"/>
      <c r="D387" s="24"/>
      <c r="E387" s="24"/>
      <c r="F387" s="24"/>
      <c r="G387" s="8"/>
      <c r="H387" s="8"/>
      <c r="J387" s="25"/>
    </row>
    <row r="388" spans="1:10">
      <c r="A388" s="8"/>
      <c r="C388" s="24"/>
      <c r="D388" s="24"/>
      <c r="E388" s="24"/>
      <c r="F388" s="24"/>
      <c r="G388" s="8"/>
      <c r="H388" s="8"/>
      <c r="J388" s="25"/>
    </row>
    <row r="389" spans="1:10" ht="15" customHeight="1">
      <c r="A389" s="8"/>
      <c r="C389" s="27" t="str">
        <f>C355</f>
        <v>BADRUDDIN, S.Ag.</v>
      </c>
      <c r="D389" s="28"/>
      <c r="E389" s="28"/>
      <c r="F389" s="8"/>
      <c r="G389" s="8"/>
      <c r="J389" s="27" t="str">
        <f>J355</f>
        <v>DEDE GUNAWAN, S.Pd</v>
      </c>
    </row>
    <row r="390" spans="1:10" ht="13.5" customHeight="1">
      <c r="A390" s="8"/>
      <c r="C390" s="43" t="str">
        <f>C356</f>
        <v>NIP. 197405082014121002</v>
      </c>
      <c r="D390" s="25"/>
      <c r="E390" s="25"/>
      <c r="F390" s="8"/>
      <c r="G390" s="8"/>
      <c r="J390" s="43" t="str">
        <f>J356</f>
        <v>NIP. 198507172020121003</v>
      </c>
    </row>
    <row r="391" spans="1:10" ht="15" customHeight="1">
      <c r="A391" s="8"/>
      <c r="C391" s="28"/>
      <c r="D391" s="28"/>
      <c r="E391" s="28"/>
      <c r="F391" s="28"/>
      <c r="G391" s="8"/>
      <c r="H391" s="8"/>
      <c r="J391" s="29"/>
    </row>
    <row r="392" spans="1:10" ht="13.5" customHeight="1"/>
    <row r="393" spans="1:10" ht="13.5" customHeight="1"/>
    <row r="394" spans="1:10" ht="13.5" customHeight="1"/>
    <row r="395" spans="1:10" ht="13.5" customHeight="1"/>
  </sheetData>
  <mergeCells count="108">
    <mergeCell ref="J12:J13"/>
    <mergeCell ref="K12:K13"/>
    <mergeCell ref="A14:H14"/>
    <mergeCell ref="A33:K33"/>
    <mergeCell ref="A34:K34"/>
    <mergeCell ref="B41:C41"/>
    <mergeCell ref="J41:K41"/>
    <mergeCell ref="A1:K1"/>
    <mergeCell ref="A2:K2"/>
    <mergeCell ref="B9:C9"/>
    <mergeCell ref="J9:K9"/>
    <mergeCell ref="J10:J11"/>
    <mergeCell ref="K10:K11"/>
    <mergeCell ref="A66:K66"/>
    <mergeCell ref="B73:C73"/>
    <mergeCell ref="J73:K73"/>
    <mergeCell ref="J74:J75"/>
    <mergeCell ref="K74:K75"/>
    <mergeCell ref="J76:J77"/>
    <mergeCell ref="K76:K77"/>
    <mergeCell ref="J42:J43"/>
    <mergeCell ref="K42:K43"/>
    <mergeCell ref="J44:J45"/>
    <mergeCell ref="K44:K45"/>
    <mergeCell ref="A46:H46"/>
    <mergeCell ref="A65:K65"/>
    <mergeCell ref="J109:J110"/>
    <mergeCell ref="K109:K110"/>
    <mergeCell ref="A111:H111"/>
    <mergeCell ref="A130:K130"/>
    <mergeCell ref="A131:K131"/>
    <mergeCell ref="B138:C138"/>
    <mergeCell ref="J138:K138"/>
    <mergeCell ref="A78:H78"/>
    <mergeCell ref="A98:K98"/>
    <mergeCell ref="A99:K99"/>
    <mergeCell ref="B106:C106"/>
    <mergeCell ref="J106:K106"/>
    <mergeCell ref="J107:J108"/>
    <mergeCell ref="K107:K108"/>
    <mergeCell ref="A163:K163"/>
    <mergeCell ref="B170:C170"/>
    <mergeCell ref="J170:K170"/>
    <mergeCell ref="J171:J172"/>
    <mergeCell ref="K171:K172"/>
    <mergeCell ref="J173:J174"/>
    <mergeCell ref="K173:K174"/>
    <mergeCell ref="J139:J140"/>
    <mergeCell ref="K139:K140"/>
    <mergeCell ref="J141:J142"/>
    <mergeCell ref="K141:K142"/>
    <mergeCell ref="A143:H143"/>
    <mergeCell ref="A162:K162"/>
    <mergeCell ref="J207:J208"/>
    <mergeCell ref="K207:K208"/>
    <mergeCell ref="A209:H209"/>
    <mergeCell ref="A230:K230"/>
    <mergeCell ref="A231:K231"/>
    <mergeCell ref="B238:C238"/>
    <mergeCell ref="J238:K238"/>
    <mergeCell ref="A175:H175"/>
    <mergeCell ref="A196:K196"/>
    <mergeCell ref="A197:K197"/>
    <mergeCell ref="B204:C204"/>
    <mergeCell ref="J204:K204"/>
    <mergeCell ref="J205:J206"/>
    <mergeCell ref="K205:K206"/>
    <mergeCell ref="A265:K265"/>
    <mergeCell ref="B272:C272"/>
    <mergeCell ref="J272:K272"/>
    <mergeCell ref="J273:J274"/>
    <mergeCell ref="K273:K274"/>
    <mergeCell ref="J275:J276"/>
    <mergeCell ref="K275:K276"/>
    <mergeCell ref="J239:J240"/>
    <mergeCell ref="K239:K240"/>
    <mergeCell ref="J241:J242"/>
    <mergeCell ref="K241:K242"/>
    <mergeCell ref="A243:H243"/>
    <mergeCell ref="A264:K264"/>
    <mergeCell ref="J309:J310"/>
    <mergeCell ref="K309:K310"/>
    <mergeCell ref="A311:H311"/>
    <mergeCell ref="A332:K332"/>
    <mergeCell ref="A333:K333"/>
    <mergeCell ref="B340:C340"/>
    <mergeCell ref="J340:K340"/>
    <mergeCell ref="A277:H277"/>
    <mergeCell ref="A298:K298"/>
    <mergeCell ref="A299:K299"/>
    <mergeCell ref="B306:C306"/>
    <mergeCell ref="J306:K306"/>
    <mergeCell ref="J307:J308"/>
    <mergeCell ref="K307:K308"/>
    <mergeCell ref="A379:H379"/>
    <mergeCell ref="A367:K367"/>
    <mergeCell ref="B374:C374"/>
    <mergeCell ref="J374:K374"/>
    <mergeCell ref="J375:J376"/>
    <mergeCell ref="K375:K376"/>
    <mergeCell ref="J377:J378"/>
    <mergeCell ref="K377:K378"/>
    <mergeCell ref="J341:J342"/>
    <mergeCell ref="K341:K342"/>
    <mergeCell ref="J343:J344"/>
    <mergeCell ref="K343:K344"/>
    <mergeCell ref="A345:H345"/>
    <mergeCell ref="A366:K366"/>
  </mergeCells>
  <pageMargins left="1.06" right="0.99" top="1.1599999999999999" bottom="0.53" header="0.31496062992125984" footer="0.31496062992125984"/>
  <pageSetup paperSize="14" fitToHeight="0" orientation="landscape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F46B-7827-4A29-8447-8C49995D15C3}">
  <sheetPr>
    <tabColor rgb="FF00B0F0"/>
    <pageSetUpPr fitToPage="1"/>
  </sheetPr>
  <dimension ref="A1:N30"/>
  <sheetViews>
    <sheetView showGridLines="0" zoomScale="90" zoomScaleNormal="90" zoomScaleSheetLayoutView="80" workbookViewId="0">
      <selection activeCell="J7" sqref="J7"/>
    </sheetView>
  </sheetViews>
  <sheetFormatPr defaultRowHeight="11.5"/>
  <cols>
    <col min="1" max="1" width="4.453125" style="1" customWidth="1"/>
    <col min="2" max="2" width="7.453125" style="1" customWidth="1"/>
    <col min="3" max="3" width="21.81640625" style="1" customWidth="1"/>
    <col min="4" max="4" width="19.1796875" style="1" customWidth="1"/>
    <col min="5" max="5" width="7.81640625" style="1" customWidth="1"/>
    <col min="6" max="6" width="5.54296875" style="1" customWidth="1"/>
    <col min="7" max="7" width="14" style="1" customWidth="1"/>
    <col min="8" max="8" width="11.453125" style="1" customWidth="1"/>
    <col min="9" max="9" width="15.08984375" style="1" customWidth="1"/>
    <col min="10" max="11" width="16.7265625" style="1" customWidth="1"/>
    <col min="12" max="12" width="5.54296875" style="1" customWidth="1"/>
    <col min="13" max="13" width="15.26953125" style="1" customWidth="1"/>
    <col min="14" max="14" width="35.26953125" style="2" customWidth="1"/>
    <col min="15" max="15" width="10.26953125" style="1" customWidth="1"/>
    <col min="16" max="16" width="12.54296875" style="1" customWidth="1"/>
    <col min="17" max="17" width="16" style="1" customWidth="1"/>
    <col min="18" max="18" width="16.54296875" style="1" customWidth="1"/>
    <col min="19" max="19" width="21.81640625" style="1" customWidth="1"/>
    <col min="20" max="250" width="8.7265625" style="1"/>
    <col min="251" max="251" width="7.81640625" style="1" customWidth="1"/>
    <col min="252" max="252" width="8.54296875" style="1" customWidth="1"/>
    <col min="253" max="253" width="20.1796875" style="1" customWidth="1"/>
    <col min="254" max="254" width="16.453125" style="1" customWidth="1"/>
    <col min="255" max="255" width="22.26953125" style="1" customWidth="1"/>
    <col min="256" max="256" width="17.81640625" style="1" customWidth="1"/>
    <col min="257" max="257" width="22.81640625" style="1" customWidth="1"/>
    <col min="258" max="258" width="25.453125" style="1" customWidth="1"/>
    <col min="259" max="260" width="6.7265625" style="1" customWidth="1"/>
    <col min="261" max="261" width="26.453125" style="1" customWidth="1"/>
    <col min="262" max="262" width="18.54296875" style="1" customWidth="1"/>
    <col min="263" max="263" width="29.81640625" style="1" customWidth="1"/>
    <col min="264" max="264" width="23.54296875" style="1" customWidth="1"/>
    <col min="265" max="265" width="31.453125" style="1" customWidth="1"/>
    <col min="266" max="506" width="8.7265625" style="1"/>
    <col min="507" max="507" width="7.81640625" style="1" customWidth="1"/>
    <col min="508" max="508" width="8.54296875" style="1" customWidth="1"/>
    <col min="509" max="509" width="20.1796875" style="1" customWidth="1"/>
    <col min="510" max="510" width="16.453125" style="1" customWidth="1"/>
    <col min="511" max="511" width="22.26953125" style="1" customWidth="1"/>
    <col min="512" max="512" width="17.81640625" style="1" customWidth="1"/>
    <col min="513" max="513" width="22.81640625" style="1" customWidth="1"/>
    <col min="514" max="514" width="25.453125" style="1" customWidth="1"/>
    <col min="515" max="516" width="6.7265625" style="1" customWidth="1"/>
    <col min="517" max="517" width="26.453125" style="1" customWidth="1"/>
    <col min="518" max="518" width="18.54296875" style="1" customWidth="1"/>
    <col min="519" max="519" width="29.81640625" style="1" customWidth="1"/>
    <col min="520" max="520" width="23.54296875" style="1" customWidth="1"/>
    <col min="521" max="521" width="31.453125" style="1" customWidth="1"/>
    <col min="522" max="762" width="8.7265625" style="1"/>
    <col min="763" max="763" width="7.81640625" style="1" customWidth="1"/>
    <col min="764" max="764" width="8.54296875" style="1" customWidth="1"/>
    <col min="765" max="765" width="20.1796875" style="1" customWidth="1"/>
    <col min="766" max="766" width="16.453125" style="1" customWidth="1"/>
    <col min="767" max="767" width="22.26953125" style="1" customWidth="1"/>
    <col min="768" max="768" width="17.81640625" style="1" customWidth="1"/>
    <col min="769" max="769" width="22.81640625" style="1" customWidth="1"/>
    <col min="770" max="770" width="25.453125" style="1" customWidth="1"/>
    <col min="771" max="772" width="6.7265625" style="1" customWidth="1"/>
    <col min="773" max="773" width="26.453125" style="1" customWidth="1"/>
    <col min="774" max="774" width="18.54296875" style="1" customWidth="1"/>
    <col min="775" max="775" width="29.81640625" style="1" customWidth="1"/>
    <col min="776" max="776" width="23.54296875" style="1" customWidth="1"/>
    <col min="777" max="777" width="31.453125" style="1" customWidth="1"/>
    <col min="778" max="1018" width="8.7265625" style="1"/>
    <col min="1019" max="1019" width="7.81640625" style="1" customWidth="1"/>
    <col min="1020" max="1020" width="8.54296875" style="1" customWidth="1"/>
    <col min="1021" max="1021" width="20.1796875" style="1" customWidth="1"/>
    <col min="1022" max="1022" width="16.453125" style="1" customWidth="1"/>
    <col min="1023" max="1023" width="22.26953125" style="1" customWidth="1"/>
    <col min="1024" max="1024" width="17.81640625" style="1" customWidth="1"/>
    <col min="1025" max="1025" width="22.81640625" style="1" customWidth="1"/>
    <col min="1026" max="1026" width="25.453125" style="1" customWidth="1"/>
    <col min="1027" max="1028" width="6.7265625" style="1" customWidth="1"/>
    <col min="1029" max="1029" width="26.453125" style="1" customWidth="1"/>
    <col min="1030" max="1030" width="18.54296875" style="1" customWidth="1"/>
    <col min="1031" max="1031" width="29.81640625" style="1" customWidth="1"/>
    <col min="1032" max="1032" width="23.54296875" style="1" customWidth="1"/>
    <col min="1033" max="1033" width="31.453125" style="1" customWidth="1"/>
    <col min="1034" max="1274" width="8.7265625" style="1"/>
    <col min="1275" max="1275" width="7.81640625" style="1" customWidth="1"/>
    <col min="1276" max="1276" width="8.54296875" style="1" customWidth="1"/>
    <col min="1277" max="1277" width="20.1796875" style="1" customWidth="1"/>
    <col min="1278" max="1278" width="16.453125" style="1" customWidth="1"/>
    <col min="1279" max="1279" width="22.26953125" style="1" customWidth="1"/>
    <col min="1280" max="1280" width="17.81640625" style="1" customWidth="1"/>
    <col min="1281" max="1281" width="22.81640625" style="1" customWidth="1"/>
    <col min="1282" max="1282" width="25.453125" style="1" customWidth="1"/>
    <col min="1283" max="1284" width="6.7265625" style="1" customWidth="1"/>
    <col min="1285" max="1285" width="26.453125" style="1" customWidth="1"/>
    <col min="1286" max="1286" width="18.54296875" style="1" customWidth="1"/>
    <col min="1287" max="1287" width="29.81640625" style="1" customWidth="1"/>
    <col min="1288" max="1288" width="23.54296875" style="1" customWidth="1"/>
    <col min="1289" max="1289" width="31.453125" style="1" customWidth="1"/>
    <col min="1290" max="1530" width="8.7265625" style="1"/>
    <col min="1531" max="1531" width="7.81640625" style="1" customWidth="1"/>
    <col min="1532" max="1532" width="8.54296875" style="1" customWidth="1"/>
    <col min="1533" max="1533" width="20.1796875" style="1" customWidth="1"/>
    <col min="1534" max="1534" width="16.453125" style="1" customWidth="1"/>
    <col min="1535" max="1535" width="22.26953125" style="1" customWidth="1"/>
    <col min="1536" max="1536" width="17.81640625" style="1" customWidth="1"/>
    <col min="1537" max="1537" width="22.81640625" style="1" customWidth="1"/>
    <col min="1538" max="1538" width="25.453125" style="1" customWidth="1"/>
    <col min="1539" max="1540" width="6.7265625" style="1" customWidth="1"/>
    <col min="1541" max="1541" width="26.453125" style="1" customWidth="1"/>
    <col min="1542" max="1542" width="18.54296875" style="1" customWidth="1"/>
    <col min="1543" max="1543" width="29.81640625" style="1" customWidth="1"/>
    <col min="1544" max="1544" width="23.54296875" style="1" customWidth="1"/>
    <col min="1545" max="1545" width="31.453125" style="1" customWidth="1"/>
    <col min="1546" max="1786" width="8.7265625" style="1"/>
    <col min="1787" max="1787" width="7.81640625" style="1" customWidth="1"/>
    <col min="1788" max="1788" width="8.54296875" style="1" customWidth="1"/>
    <col min="1789" max="1789" width="20.1796875" style="1" customWidth="1"/>
    <col min="1790" max="1790" width="16.453125" style="1" customWidth="1"/>
    <col min="1791" max="1791" width="22.26953125" style="1" customWidth="1"/>
    <col min="1792" max="1792" width="17.81640625" style="1" customWidth="1"/>
    <col min="1793" max="1793" width="22.81640625" style="1" customWidth="1"/>
    <col min="1794" max="1794" width="25.453125" style="1" customWidth="1"/>
    <col min="1795" max="1796" width="6.7265625" style="1" customWidth="1"/>
    <col min="1797" max="1797" width="26.453125" style="1" customWidth="1"/>
    <col min="1798" max="1798" width="18.54296875" style="1" customWidth="1"/>
    <col min="1799" max="1799" width="29.81640625" style="1" customWidth="1"/>
    <col min="1800" max="1800" width="23.54296875" style="1" customWidth="1"/>
    <col min="1801" max="1801" width="31.453125" style="1" customWidth="1"/>
    <col min="1802" max="2042" width="8.7265625" style="1"/>
    <col min="2043" max="2043" width="7.81640625" style="1" customWidth="1"/>
    <col min="2044" max="2044" width="8.54296875" style="1" customWidth="1"/>
    <col min="2045" max="2045" width="20.1796875" style="1" customWidth="1"/>
    <col min="2046" max="2046" width="16.453125" style="1" customWidth="1"/>
    <col min="2047" max="2047" width="22.26953125" style="1" customWidth="1"/>
    <col min="2048" max="2048" width="17.81640625" style="1" customWidth="1"/>
    <col min="2049" max="2049" width="22.81640625" style="1" customWidth="1"/>
    <col min="2050" max="2050" width="25.453125" style="1" customWidth="1"/>
    <col min="2051" max="2052" width="6.7265625" style="1" customWidth="1"/>
    <col min="2053" max="2053" width="26.453125" style="1" customWidth="1"/>
    <col min="2054" max="2054" width="18.54296875" style="1" customWidth="1"/>
    <col min="2055" max="2055" width="29.81640625" style="1" customWidth="1"/>
    <col min="2056" max="2056" width="23.54296875" style="1" customWidth="1"/>
    <col min="2057" max="2057" width="31.453125" style="1" customWidth="1"/>
    <col min="2058" max="2298" width="8.7265625" style="1"/>
    <col min="2299" max="2299" width="7.81640625" style="1" customWidth="1"/>
    <col min="2300" max="2300" width="8.54296875" style="1" customWidth="1"/>
    <col min="2301" max="2301" width="20.1796875" style="1" customWidth="1"/>
    <col min="2302" max="2302" width="16.453125" style="1" customWidth="1"/>
    <col min="2303" max="2303" width="22.26953125" style="1" customWidth="1"/>
    <col min="2304" max="2304" width="17.81640625" style="1" customWidth="1"/>
    <col min="2305" max="2305" width="22.81640625" style="1" customWidth="1"/>
    <col min="2306" max="2306" width="25.453125" style="1" customWidth="1"/>
    <col min="2307" max="2308" width="6.7265625" style="1" customWidth="1"/>
    <col min="2309" max="2309" width="26.453125" style="1" customWidth="1"/>
    <col min="2310" max="2310" width="18.54296875" style="1" customWidth="1"/>
    <col min="2311" max="2311" width="29.81640625" style="1" customWidth="1"/>
    <col min="2312" max="2312" width="23.54296875" style="1" customWidth="1"/>
    <col min="2313" max="2313" width="31.453125" style="1" customWidth="1"/>
    <col min="2314" max="2554" width="8.7265625" style="1"/>
    <col min="2555" max="2555" width="7.81640625" style="1" customWidth="1"/>
    <col min="2556" max="2556" width="8.54296875" style="1" customWidth="1"/>
    <col min="2557" max="2557" width="20.1796875" style="1" customWidth="1"/>
    <col min="2558" max="2558" width="16.453125" style="1" customWidth="1"/>
    <col min="2559" max="2559" width="22.26953125" style="1" customWidth="1"/>
    <col min="2560" max="2560" width="17.81640625" style="1" customWidth="1"/>
    <col min="2561" max="2561" width="22.81640625" style="1" customWidth="1"/>
    <col min="2562" max="2562" width="25.453125" style="1" customWidth="1"/>
    <col min="2563" max="2564" width="6.7265625" style="1" customWidth="1"/>
    <col min="2565" max="2565" width="26.453125" style="1" customWidth="1"/>
    <col min="2566" max="2566" width="18.54296875" style="1" customWidth="1"/>
    <col min="2567" max="2567" width="29.81640625" style="1" customWidth="1"/>
    <col min="2568" max="2568" width="23.54296875" style="1" customWidth="1"/>
    <col min="2569" max="2569" width="31.453125" style="1" customWidth="1"/>
    <col min="2570" max="2810" width="8.7265625" style="1"/>
    <col min="2811" max="2811" width="7.81640625" style="1" customWidth="1"/>
    <col min="2812" max="2812" width="8.54296875" style="1" customWidth="1"/>
    <col min="2813" max="2813" width="20.1796875" style="1" customWidth="1"/>
    <col min="2814" max="2814" width="16.453125" style="1" customWidth="1"/>
    <col min="2815" max="2815" width="22.26953125" style="1" customWidth="1"/>
    <col min="2816" max="2816" width="17.81640625" style="1" customWidth="1"/>
    <col min="2817" max="2817" width="22.81640625" style="1" customWidth="1"/>
    <col min="2818" max="2818" width="25.453125" style="1" customWidth="1"/>
    <col min="2819" max="2820" width="6.7265625" style="1" customWidth="1"/>
    <col min="2821" max="2821" width="26.453125" style="1" customWidth="1"/>
    <col min="2822" max="2822" width="18.54296875" style="1" customWidth="1"/>
    <col min="2823" max="2823" width="29.81640625" style="1" customWidth="1"/>
    <col min="2824" max="2824" width="23.54296875" style="1" customWidth="1"/>
    <col min="2825" max="2825" width="31.453125" style="1" customWidth="1"/>
    <col min="2826" max="3066" width="8.7265625" style="1"/>
    <col min="3067" max="3067" width="7.81640625" style="1" customWidth="1"/>
    <col min="3068" max="3068" width="8.54296875" style="1" customWidth="1"/>
    <col min="3069" max="3069" width="20.1796875" style="1" customWidth="1"/>
    <col min="3070" max="3070" width="16.453125" style="1" customWidth="1"/>
    <col min="3071" max="3071" width="22.26953125" style="1" customWidth="1"/>
    <col min="3072" max="3072" width="17.81640625" style="1" customWidth="1"/>
    <col min="3073" max="3073" width="22.81640625" style="1" customWidth="1"/>
    <col min="3074" max="3074" width="25.453125" style="1" customWidth="1"/>
    <col min="3075" max="3076" width="6.7265625" style="1" customWidth="1"/>
    <col min="3077" max="3077" width="26.453125" style="1" customWidth="1"/>
    <col min="3078" max="3078" width="18.54296875" style="1" customWidth="1"/>
    <col min="3079" max="3079" width="29.81640625" style="1" customWidth="1"/>
    <col min="3080" max="3080" width="23.54296875" style="1" customWidth="1"/>
    <col min="3081" max="3081" width="31.453125" style="1" customWidth="1"/>
    <col min="3082" max="3322" width="8.7265625" style="1"/>
    <col min="3323" max="3323" width="7.81640625" style="1" customWidth="1"/>
    <col min="3324" max="3324" width="8.54296875" style="1" customWidth="1"/>
    <col min="3325" max="3325" width="20.1796875" style="1" customWidth="1"/>
    <col min="3326" max="3326" width="16.453125" style="1" customWidth="1"/>
    <col min="3327" max="3327" width="22.26953125" style="1" customWidth="1"/>
    <col min="3328" max="3328" width="17.81640625" style="1" customWidth="1"/>
    <col min="3329" max="3329" width="22.81640625" style="1" customWidth="1"/>
    <col min="3330" max="3330" width="25.453125" style="1" customWidth="1"/>
    <col min="3331" max="3332" width="6.7265625" style="1" customWidth="1"/>
    <col min="3333" max="3333" width="26.453125" style="1" customWidth="1"/>
    <col min="3334" max="3334" width="18.54296875" style="1" customWidth="1"/>
    <col min="3335" max="3335" width="29.81640625" style="1" customWidth="1"/>
    <col min="3336" max="3336" width="23.54296875" style="1" customWidth="1"/>
    <col min="3337" max="3337" width="31.453125" style="1" customWidth="1"/>
    <col min="3338" max="3578" width="8.7265625" style="1"/>
    <col min="3579" max="3579" width="7.81640625" style="1" customWidth="1"/>
    <col min="3580" max="3580" width="8.54296875" style="1" customWidth="1"/>
    <col min="3581" max="3581" width="20.1796875" style="1" customWidth="1"/>
    <col min="3582" max="3582" width="16.453125" style="1" customWidth="1"/>
    <col min="3583" max="3583" width="22.26953125" style="1" customWidth="1"/>
    <col min="3584" max="3584" width="17.81640625" style="1" customWidth="1"/>
    <col min="3585" max="3585" width="22.81640625" style="1" customWidth="1"/>
    <col min="3586" max="3586" width="25.453125" style="1" customWidth="1"/>
    <col min="3587" max="3588" width="6.7265625" style="1" customWidth="1"/>
    <col min="3589" max="3589" width="26.453125" style="1" customWidth="1"/>
    <col min="3590" max="3590" width="18.54296875" style="1" customWidth="1"/>
    <col min="3591" max="3591" width="29.81640625" style="1" customWidth="1"/>
    <col min="3592" max="3592" width="23.54296875" style="1" customWidth="1"/>
    <col min="3593" max="3593" width="31.453125" style="1" customWidth="1"/>
    <col min="3594" max="3834" width="8.7265625" style="1"/>
    <col min="3835" max="3835" width="7.81640625" style="1" customWidth="1"/>
    <col min="3836" max="3836" width="8.54296875" style="1" customWidth="1"/>
    <col min="3837" max="3837" width="20.1796875" style="1" customWidth="1"/>
    <col min="3838" max="3838" width="16.453125" style="1" customWidth="1"/>
    <col min="3839" max="3839" width="22.26953125" style="1" customWidth="1"/>
    <col min="3840" max="3840" width="17.81640625" style="1" customWidth="1"/>
    <col min="3841" max="3841" width="22.81640625" style="1" customWidth="1"/>
    <col min="3842" max="3842" width="25.453125" style="1" customWidth="1"/>
    <col min="3843" max="3844" width="6.7265625" style="1" customWidth="1"/>
    <col min="3845" max="3845" width="26.453125" style="1" customWidth="1"/>
    <col min="3846" max="3846" width="18.54296875" style="1" customWidth="1"/>
    <col min="3847" max="3847" width="29.81640625" style="1" customWidth="1"/>
    <col min="3848" max="3848" width="23.54296875" style="1" customWidth="1"/>
    <col min="3849" max="3849" width="31.453125" style="1" customWidth="1"/>
    <col min="3850" max="4090" width="8.7265625" style="1"/>
    <col min="4091" max="4091" width="7.81640625" style="1" customWidth="1"/>
    <col min="4092" max="4092" width="8.54296875" style="1" customWidth="1"/>
    <col min="4093" max="4093" width="20.1796875" style="1" customWidth="1"/>
    <col min="4094" max="4094" width="16.453125" style="1" customWidth="1"/>
    <col min="4095" max="4095" width="22.26953125" style="1" customWidth="1"/>
    <col min="4096" max="4096" width="17.81640625" style="1" customWidth="1"/>
    <col min="4097" max="4097" width="22.81640625" style="1" customWidth="1"/>
    <col min="4098" max="4098" width="25.453125" style="1" customWidth="1"/>
    <col min="4099" max="4100" width="6.7265625" style="1" customWidth="1"/>
    <col min="4101" max="4101" width="26.453125" style="1" customWidth="1"/>
    <col min="4102" max="4102" width="18.54296875" style="1" customWidth="1"/>
    <col min="4103" max="4103" width="29.81640625" style="1" customWidth="1"/>
    <col min="4104" max="4104" width="23.54296875" style="1" customWidth="1"/>
    <col min="4105" max="4105" width="31.453125" style="1" customWidth="1"/>
    <col min="4106" max="4346" width="8.7265625" style="1"/>
    <col min="4347" max="4347" width="7.81640625" style="1" customWidth="1"/>
    <col min="4348" max="4348" width="8.54296875" style="1" customWidth="1"/>
    <col min="4349" max="4349" width="20.1796875" style="1" customWidth="1"/>
    <col min="4350" max="4350" width="16.453125" style="1" customWidth="1"/>
    <col min="4351" max="4351" width="22.26953125" style="1" customWidth="1"/>
    <col min="4352" max="4352" width="17.81640625" style="1" customWidth="1"/>
    <col min="4353" max="4353" width="22.81640625" style="1" customWidth="1"/>
    <col min="4354" max="4354" width="25.453125" style="1" customWidth="1"/>
    <col min="4355" max="4356" width="6.7265625" style="1" customWidth="1"/>
    <col min="4357" max="4357" width="26.453125" style="1" customWidth="1"/>
    <col min="4358" max="4358" width="18.54296875" style="1" customWidth="1"/>
    <col min="4359" max="4359" width="29.81640625" style="1" customWidth="1"/>
    <col min="4360" max="4360" width="23.54296875" style="1" customWidth="1"/>
    <col min="4361" max="4361" width="31.453125" style="1" customWidth="1"/>
    <col min="4362" max="4602" width="8.7265625" style="1"/>
    <col min="4603" max="4603" width="7.81640625" style="1" customWidth="1"/>
    <col min="4604" max="4604" width="8.54296875" style="1" customWidth="1"/>
    <col min="4605" max="4605" width="20.1796875" style="1" customWidth="1"/>
    <col min="4606" max="4606" width="16.453125" style="1" customWidth="1"/>
    <col min="4607" max="4607" width="22.26953125" style="1" customWidth="1"/>
    <col min="4608" max="4608" width="17.81640625" style="1" customWidth="1"/>
    <col min="4609" max="4609" width="22.81640625" style="1" customWidth="1"/>
    <col min="4610" max="4610" width="25.453125" style="1" customWidth="1"/>
    <col min="4611" max="4612" width="6.7265625" style="1" customWidth="1"/>
    <col min="4613" max="4613" width="26.453125" style="1" customWidth="1"/>
    <col min="4614" max="4614" width="18.54296875" style="1" customWidth="1"/>
    <col min="4615" max="4615" width="29.81640625" style="1" customWidth="1"/>
    <col min="4616" max="4616" width="23.54296875" style="1" customWidth="1"/>
    <col min="4617" max="4617" width="31.453125" style="1" customWidth="1"/>
    <col min="4618" max="4858" width="8.7265625" style="1"/>
    <col min="4859" max="4859" width="7.81640625" style="1" customWidth="1"/>
    <col min="4860" max="4860" width="8.54296875" style="1" customWidth="1"/>
    <col min="4861" max="4861" width="20.1796875" style="1" customWidth="1"/>
    <col min="4862" max="4862" width="16.453125" style="1" customWidth="1"/>
    <col min="4863" max="4863" width="22.26953125" style="1" customWidth="1"/>
    <col min="4864" max="4864" width="17.81640625" style="1" customWidth="1"/>
    <col min="4865" max="4865" width="22.81640625" style="1" customWidth="1"/>
    <col min="4866" max="4866" width="25.453125" style="1" customWidth="1"/>
    <col min="4867" max="4868" width="6.7265625" style="1" customWidth="1"/>
    <col min="4869" max="4869" width="26.453125" style="1" customWidth="1"/>
    <col min="4870" max="4870" width="18.54296875" style="1" customWidth="1"/>
    <col min="4871" max="4871" width="29.81640625" style="1" customWidth="1"/>
    <col min="4872" max="4872" width="23.54296875" style="1" customWidth="1"/>
    <col min="4873" max="4873" width="31.453125" style="1" customWidth="1"/>
    <col min="4874" max="5114" width="8.7265625" style="1"/>
    <col min="5115" max="5115" width="7.81640625" style="1" customWidth="1"/>
    <col min="5116" max="5116" width="8.54296875" style="1" customWidth="1"/>
    <col min="5117" max="5117" width="20.1796875" style="1" customWidth="1"/>
    <col min="5118" max="5118" width="16.453125" style="1" customWidth="1"/>
    <col min="5119" max="5119" width="22.26953125" style="1" customWidth="1"/>
    <col min="5120" max="5120" width="17.81640625" style="1" customWidth="1"/>
    <col min="5121" max="5121" width="22.81640625" style="1" customWidth="1"/>
    <col min="5122" max="5122" width="25.453125" style="1" customWidth="1"/>
    <col min="5123" max="5124" width="6.7265625" style="1" customWidth="1"/>
    <col min="5125" max="5125" width="26.453125" style="1" customWidth="1"/>
    <col min="5126" max="5126" width="18.54296875" style="1" customWidth="1"/>
    <col min="5127" max="5127" width="29.81640625" style="1" customWidth="1"/>
    <col min="5128" max="5128" width="23.54296875" style="1" customWidth="1"/>
    <col min="5129" max="5129" width="31.453125" style="1" customWidth="1"/>
    <col min="5130" max="5370" width="8.7265625" style="1"/>
    <col min="5371" max="5371" width="7.81640625" style="1" customWidth="1"/>
    <col min="5372" max="5372" width="8.54296875" style="1" customWidth="1"/>
    <col min="5373" max="5373" width="20.1796875" style="1" customWidth="1"/>
    <col min="5374" max="5374" width="16.453125" style="1" customWidth="1"/>
    <col min="5375" max="5375" width="22.26953125" style="1" customWidth="1"/>
    <col min="5376" max="5376" width="17.81640625" style="1" customWidth="1"/>
    <col min="5377" max="5377" width="22.81640625" style="1" customWidth="1"/>
    <col min="5378" max="5378" width="25.453125" style="1" customWidth="1"/>
    <col min="5379" max="5380" width="6.7265625" style="1" customWidth="1"/>
    <col min="5381" max="5381" width="26.453125" style="1" customWidth="1"/>
    <col min="5382" max="5382" width="18.54296875" style="1" customWidth="1"/>
    <col min="5383" max="5383" width="29.81640625" style="1" customWidth="1"/>
    <col min="5384" max="5384" width="23.54296875" style="1" customWidth="1"/>
    <col min="5385" max="5385" width="31.453125" style="1" customWidth="1"/>
    <col min="5386" max="5626" width="8.7265625" style="1"/>
    <col min="5627" max="5627" width="7.81640625" style="1" customWidth="1"/>
    <col min="5628" max="5628" width="8.54296875" style="1" customWidth="1"/>
    <col min="5629" max="5629" width="20.1796875" style="1" customWidth="1"/>
    <col min="5630" max="5630" width="16.453125" style="1" customWidth="1"/>
    <col min="5631" max="5631" width="22.26953125" style="1" customWidth="1"/>
    <col min="5632" max="5632" width="17.81640625" style="1" customWidth="1"/>
    <col min="5633" max="5633" width="22.81640625" style="1" customWidth="1"/>
    <col min="5634" max="5634" width="25.453125" style="1" customWidth="1"/>
    <col min="5635" max="5636" width="6.7265625" style="1" customWidth="1"/>
    <col min="5637" max="5637" width="26.453125" style="1" customWidth="1"/>
    <col min="5638" max="5638" width="18.54296875" style="1" customWidth="1"/>
    <col min="5639" max="5639" width="29.81640625" style="1" customWidth="1"/>
    <col min="5640" max="5640" width="23.54296875" style="1" customWidth="1"/>
    <col min="5641" max="5641" width="31.453125" style="1" customWidth="1"/>
    <col min="5642" max="5882" width="8.7265625" style="1"/>
    <col min="5883" max="5883" width="7.81640625" style="1" customWidth="1"/>
    <col min="5884" max="5884" width="8.54296875" style="1" customWidth="1"/>
    <col min="5885" max="5885" width="20.1796875" style="1" customWidth="1"/>
    <col min="5886" max="5886" width="16.453125" style="1" customWidth="1"/>
    <col min="5887" max="5887" width="22.26953125" style="1" customWidth="1"/>
    <col min="5888" max="5888" width="17.81640625" style="1" customWidth="1"/>
    <col min="5889" max="5889" width="22.81640625" style="1" customWidth="1"/>
    <col min="5890" max="5890" width="25.453125" style="1" customWidth="1"/>
    <col min="5891" max="5892" width="6.7265625" style="1" customWidth="1"/>
    <col min="5893" max="5893" width="26.453125" style="1" customWidth="1"/>
    <col min="5894" max="5894" width="18.54296875" style="1" customWidth="1"/>
    <col min="5895" max="5895" width="29.81640625" style="1" customWidth="1"/>
    <col min="5896" max="5896" width="23.54296875" style="1" customWidth="1"/>
    <col min="5897" max="5897" width="31.453125" style="1" customWidth="1"/>
    <col min="5898" max="6138" width="8.7265625" style="1"/>
    <col min="6139" max="6139" width="7.81640625" style="1" customWidth="1"/>
    <col min="6140" max="6140" width="8.54296875" style="1" customWidth="1"/>
    <col min="6141" max="6141" width="20.1796875" style="1" customWidth="1"/>
    <col min="6142" max="6142" width="16.453125" style="1" customWidth="1"/>
    <col min="6143" max="6143" width="22.26953125" style="1" customWidth="1"/>
    <col min="6144" max="6144" width="17.81640625" style="1" customWidth="1"/>
    <col min="6145" max="6145" width="22.81640625" style="1" customWidth="1"/>
    <col min="6146" max="6146" width="25.453125" style="1" customWidth="1"/>
    <col min="6147" max="6148" width="6.7265625" style="1" customWidth="1"/>
    <col min="6149" max="6149" width="26.453125" style="1" customWidth="1"/>
    <col min="6150" max="6150" width="18.54296875" style="1" customWidth="1"/>
    <col min="6151" max="6151" width="29.81640625" style="1" customWidth="1"/>
    <col min="6152" max="6152" width="23.54296875" style="1" customWidth="1"/>
    <col min="6153" max="6153" width="31.453125" style="1" customWidth="1"/>
    <col min="6154" max="6394" width="8.7265625" style="1"/>
    <col min="6395" max="6395" width="7.81640625" style="1" customWidth="1"/>
    <col min="6396" max="6396" width="8.54296875" style="1" customWidth="1"/>
    <col min="6397" max="6397" width="20.1796875" style="1" customWidth="1"/>
    <col min="6398" max="6398" width="16.453125" style="1" customWidth="1"/>
    <col min="6399" max="6399" width="22.26953125" style="1" customWidth="1"/>
    <col min="6400" max="6400" width="17.81640625" style="1" customWidth="1"/>
    <col min="6401" max="6401" width="22.81640625" style="1" customWidth="1"/>
    <col min="6402" max="6402" width="25.453125" style="1" customWidth="1"/>
    <col min="6403" max="6404" width="6.7265625" style="1" customWidth="1"/>
    <col min="6405" max="6405" width="26.453125" style="1" customWidth="1"/>
    <col min="6406" max="6406" width="18.54296875" style="1" customWidth="1"/>
    <col min="6407" max="6407" width="29.81640625" style="1" customWidth="1"/>
    <col min="6408" max="6408" width="23.54296875" style="1" customWidth="1"/>
    <col min="6409" max="6409" width="31.453125" style="1" customWidth="1"/>
    <col min="6410" max="6650" width="8.7265625" style="1"/>
    <col min="6651" max="6651" width="7.81640625" style="1" customWidth="1"/>
    <col min="6652" max="6652" width="8.54296875" style="1" customWidth="1"/>
    <col min="6653" max="6653" width="20.1796875" style="1" customWidth="1"/>
    <col min="6654" max="6654" width="16.453125" style="1" customWidth="1"/>
    <col min="6655" max="6655" width="22.26953125" style="1" customWidth="1"/>
    <col min="6656" max="6656" width="17.81640625" style="1" customWidth="1"/>
    <col min="6657" max="6657" width="22.81640625" style="1" customWidth="1"/>
    <col min="6658" max="6658" width="25.453125" style="1" customWidth="1"/>
    <col min="6659" max="6660" width="6.7265625" style="1" customWidth="1"/>
    <col min="6661" max="6661" width="26.453125" style="1" customWidth="1"/>
    <col min="6662" max="6662" width="18.54296875" style="1" customWidth="1"/>
    <col min="6663" max="6663" width="29.81640625" style="1" customWidth="1"/>
    <col min="6664" max="6664" width="23.54296875" style="1" customWidth="1"/>
    <col min="6665" max="6665" width="31.453125" style="1" customWidth="1"/>
    <col min="6666" max="6906" width="8.7265625" style="1"/>
    <col min="6907" max="6907" width="7.81640625" style="1" customWidth="1"/>
    <col min="6908" max="6908" width="8.54296875" style="1" customWidth="1"/>
    <col min="6909" max="6909" width="20.1796875" style="1" customWidth="1"/>
    <col min="6910" max="6910" width="16.453125" style="1" customWidth="1"/>
    <col min="6911" max="6911" width="22.26953125" style="1" customWidth="1"/>
    <col min="6912" max="6912" width="17.81640625" style="1" customWidth="1"/>
    <col min="6913" max="6913" width="22.81640625" style="1" customWidth="1"/>
    <col min="6914" max="6914" width="25.453125" style="1" customWidth="1"/>
    <col min="6915" max="6916" width="6.7265625" style="1" customWidth="1"/>
    <col min="6917" max="6917" width="26.453125" style="1" customWidth="1"/>
    <col min="6918" max="6918" width="18.54296875" style="1" customWidth="1"/>
    <col min="6919" max="6919" width="29.81640625" style="1" customWidth="1"/>
    <col min="6920" max="6920" width="23.54296875" style="1" customWidth="1"/>
    <col min="6921" max="6921" width="31.453125" style="1" customWidth="1"/>
    <col min="6922" max="7162" width="8.7265625" style="1"/>
    <col min="7163" max="7163" width="7.81640625" style="1" customWidth="1"/>
    <col min="7164" max="7164" width="8.54296875" style="1" customWidth="1"/>
    <col min="7165" max="7165" width="20.1796875" style="1" customWidth="1"/>
    <col min="7166" max="7166" width="16.453125" style="1" customWidth="1"/>
    <col min="7167" max="7167" width="22.26953125" style="1" customWidth="1"/>
    <col min="7168" max="7168" width="17.81640625" style="1" customWidth="1"/>
    <col min="7169" max="7169" width="22.81640625" style="1" customWidth="1"/>
    <col min="7170" max="7170" width="25.453125" style="1" customWidth="1"/>
    <col min="7171" max="7172" width="6.7265625" style="1" customWidth="1"/>
    <col min="7173" max="7173" width="26.453125" style="1" customWidth="1"/>
    <col min="7174" max="7174" width="18.54296875" style="1" customWidth="1"/>
    <col min="7175" max="7175" width="29.81640625" style="1" customWidth="1"/>
    <col min="7176" max="7176" width="23.54296875" style="1" customWidth="1"/>
    <col min="7177" max="7177" width="31.453125" style="1" customWidth="1"/>
    <col min="7178" max="7418" width="8.7265625" style="1"/>
    <col min="7419" max="7419" width="7.81640625" style="1" customWidth="1"/>
    <col min="7420" max="7420" width="8.54296875" style="1" customWidth="1"/>
    <col min="7421" max="7421" width="20.1796875" style="1" customWidth="1"/>
    <col min="7422" max="7422" width="16.453125" style="1" customWidth="1"/>
    <col min="7423" max="7423" width="22.26953125" style="1" customWidth="1"/>
    <col min="7424" max="7424" width="17.81640625" style="1" customWidth="1"/>
    <col min="7425" max="7425" width="22.81640625" style="1" customWidth="1"/>
    <col min="7426" max="7426" width="25.453125" style="1" customWidth="1"/>
    <col min="7427" max="7428" width="6.7265625" style="1" customWidth="1"/>
    <col min="7429" max="7429" width="26.453125" style="1" customWidth="1"/>
    <col min="7430" max="7430" width="18.54296875" style="1" customWidth="1"/>
    <col min="7431" max="7431" width="29.81640625" style="1" customWidth="1"/>
    <col min="7432" max="7432" width="23.54296875" style="1" customWidth="1"/>
    <col min="7433" max="7433" width="31.453125" style="1" customWidth="1"/>
    <col min="7434" max="7674" width="8.7265625" style="1"/>
    <col min="7675" max="7675" width="7.81640625" style="1" customWidth="1"/>
    <col min="7676" max="7676" width="8.54296875" style="1" customWidth="1"/>
    <col min="7677" max="7677" width="20.1796875" style="1" customWidth="1"/>
    <col min="7678" max="7678" width="16.453125" style="1" customWidth="1"/>
    <col min="7679" max="7679" width="22.26953125" style="1" customWidth="1"/>
    <col min="7680" max="7680" width="17.81640625" style="1" customWidth="1"/>
    <col min="7681" max="7681" width="22.81640625" style="1" customWidth="1"/>
    <col min="7682" max="7682" width="25.453125" style="1" customWidth="1"/>
    <col min="7683" max="7684" width="6.7265625" style="1" customWidth="1"/>
    <col min="7685" max="7685" width="26.453125" style="1" customWidth="1"/>
    <col min="7686" max="7686" width="18.54296875" style="1" customWidth="1"/>
    <col min="7687" max="7687" width="29.81640625" style="1" customWidth="1"/>
    <col min="7688" max="7688" width="23.54296875" style="1" customWidth="1"/>
    <col min="7689" max="7689" width="31.453125" style="1" customWidth="1"/>
    <col min="7690" max="7930" width="8.7265625" style="1"/>
    <col min="7931" max="7931" width="7.81640625" style="1" customWidth="1"/>
    <col min="7932" max="7932" width="8.54296875" style="1" customWidth="1"/>
    <col min="7933" max="7933" width="20.1796875" style="1" customWidth="1"/>
    <col min="7934" max="7934" width="16.453125" style="1" customWidth="1"/>
    <col min="7935" max="7935" width="22.26953125" style="1" customWidth="1"/>
    <col min="7936" max="7936" width="17.81640625" style="1" customWidth="1"/>
    <col min="7937" max="7937" width="22.81640625" style="1" customWidth="1"/>
    <col min="7938" max="7938" width="25.453125" style="1" customWidth="1"/>
    <col min="7939" max="7940" width="6.7265625" style="1" customWidth="1"/>
    <col min="7941" max="7941" width="26.453125" style="1" customWidth="1"/>
    <col min="7942" max="7942" width="18.54296875" style="1" customWidth="1"/>
    <col min="7943" max="7943" width="29.81640625" style="1" customWidth="1"/>
    <col min="7944" max="7944" width="23.54296875" style="1" customWidth="1"/>
    <col min="7945" max="7945" width="31.453125" style="1" customWidth="1"/>
    <col min="7946" max="8186" width="8.7265625" style="1"/>
    <col min="8187" max="8187" width="7.81640625" style="1" customWidth="1"/>
    <col min="8188" max="8188" width="8.54296875" style="1" customWidth="1"/>
    <col min="8189" max="8189" width="20.1796875" style="1" customWidth="1"/>
    <col min="8190" max="8190" width="16.453125" style="1" customWidth="1"/>
    <col min="8191" max="8191" width="22.26953125" style="1" customWidth="1"/>
    <col min="8192" max="8192" width="17.81640625" style="1" customWidth="1"/>
    <col min="8193" max="8193" width="22.81640625" style="1" customWidth="1"/>
    <col min="8194" max="8194" width="25.453125" style="1" customWidth="1"/>
    <col min="8195" max="8196" width="6.7265625" style="1" customWidth="1"/>
    <col min="8197" max="8197" width="26.453125" style="1" customWidth="1"/>
    <col min="8198" max="8198" width="18.54296875" style="1" customWidth="1"/>
    <col min="8199" max="8199" width="29.81640625" style="1" customWidth="1"/>
    <col min="8200" max="8200" width="23.54296875" style="1" customWidth="1"/>
    <col min="8201" max="8201" width="31.453125" style="1" customWidth="1"/>
    <col min="8202" max="8442" width="8.7265625" style="1"/>
    <col min="8443" max="8443" width="7.81640625" style="1" customWidth="1"/>
    <col min="8444" max="8444" width="8.54296875" style="1" customWidth="1"/>
    <col min="8445" max="8445" width="20.1796875" style="1" customWidth="1"/>
    <col min="8446" max="8446" width="16.453125" style="1" customWidth="1"/>
    <col min="8447" max="8447" width="22.26953125" style="1" customWidth="1"/>
    <col min="8448" max="8448" width="17.81640625" style="1" customWidth="1"/>
    <col min="8449" max="8449" width="22.81640625" style="1" customWidth="1"/>
    <col min="8450" max="8450" width="25.453125" style="1" customWidth="1"/>
    <col min="8451" max="8452" width="6.7265625" style="1" customWidth="1"/>
    <col min="8453" max="8453" width="26.453125" style="1" customWidth="1"/>
    <col min="8454" max="8454" width="18.54296875" style="1" customWidth="1"/>
    <col min="8455" max="8455" width="29.81640625" style="1" customWidth="1"/>
    <col min="8456" max="8456" width="23.54296875" style="1" customWidth="1"/>
    <col min="8457" max="8457" width="31.453125" style="1" customWidth="1"/>
    <col min="8458" max="8698" width="8.7265625" style="1"/>
    <col min="8699" max="8699" width="7.81640625" style="1" customWidth="1"/>
    <col min="8700" max="8700" width="8.54296875" style="1" customWidth="1"/>
    <col min="8701" max="8701" width="20.1796875" style="1" customWidth="1"/>
    <col min="8702" max="8702" width="16.453125" style="1" customWidth="1"/>
    <col min="8703" max="8703" width="22.26953125" style="1" customWidth="1"/>
    <col min="8704" max="8704" width="17.81640625" style="1" customWidth="1"/>
    <col min="8705" max="8705" width="22.81640625" style="1" customWidth="1"/>
    <col min="8706" max="8706" width="25.453125" style="1" customWidth="1"/>
    <col min="8707" max="8708" width="6.7265625" style="1" customWidth="1"/>
    <col min="8709" max="8709" width="26.453125" style="1" customWidth="1"/>
    <col min="8710" max="8710" width="18.54296875" style="1" customWidth="1"/>
    <col min="8711" max="8711" width="29.81640625" style="1" customWidth="1"/>
    <col min="8712" max="8712" width="23.54296875" style="1" customWidth="1"/>
    <col min="8713" max="8713" width="31.453125" style="1" customWidth="1"/>
    <col min="8714" max="8954" width="8.7265625" style="1"/>
    <col min="8955" max="8955" width="7.81640625" style="1" customWidth="1"/>
    <col min="8956" max="8956" width="8.54296875" style="1" customWidth="1"/>
    <col min="8957" max="8957" width="20.1796875" style="1" customWidth="1"/>
    <col min="8958" max="8958" width="16.453125" style="1" customWidth="1"/>
    <col min="8959" max="8959" width="22.26953125" style="1" customWidth="1"/>
    <col min="8960" max="8960" width="17.81640625" style="1" customWidth="1"/>
    <col min="8961" max="8961" width="22.81640625" style="1" customWidth="1"/>
    <col min="8962" max="8962" width="25.453125" style="1" customWidth="1"/>
    <col min="8963" max="8964" width="6.7265625" style="1" customWidth="1"/>
    <col min="8965" max="8965" width="26.453125" style="1" customWidth="1"/>
    <col min="8966" max="8966" width="18.54296875" style="1" customWidth="1"/>
    <col min="8967" max="8967" width="29.81640625" style="1" customWidth="1"/>
    <col min="8968" max="8968" width="23.54296875" style="1" customWidth="1"/>
    <col min="8969" max="8969" width="31.453125" style="1" customWidth="1"/>
    <col min="8970" max="9210" width="8.7265625" style="1"/>
    <col min="9211" max="9211" width="7.81640625" style="1" customWidth="1"/>
    <col min="9212" max="9212" width="8.54296875" style="1" customWidth="1"/>
    <col min="9213" max="9213" width="20.1796875" style="1" customWidth="1"/>
    <col min="9214" max="9214" width="16.453125" style="1" customWidth="1"/>
    <col min="9215" max="9215" width="22.26953125" style="1" customWidth="1"/>
    <col min="9216" max="9216" width="17.81640625" style="1" customWidth="1"/>
    <col min="9217" max="9217" width="22.81640625" style="1" customWidth="1"/>
    <col min="9218" max="9218" width="25.453125" style="1" customWidth="1"/>
    <col min="9219" max="9220" width="6.7265625" style="1" customWidth="1"/>
    <col min="9221" max="9221" width="26.453125" style="1" customWidth="1"/>
    <col min="9222" max="9222" width="18.54296875" style="1" customWidth="1"/>
    <col min="9223" max="9223" width="29.81640625" style="1" customWidth="1"/>
    <col min="9224" max="9224" width="23.54296875" style="1" customWidth="1"/>
    <col min="9225" max="9225" width="31.453125" style="1" customWidth="1"/>
    <col min="9226" max="9466" width="8.7265625" style="1"/>
    <col min="9467" max="9467" width="7.81640625" style="1" customWidth="1"/>
    <col min="9468" max="9468" width="8.54296875" style="1" customWidth="1"/>
    <col min="9469" max="9469" width="20.1796875" style="1" customWidth="1"/>
    <col min="9470" max="9470" width="16.453125" style="1" customWidth="1"/>
    <col min="9471" max="9471" width="22.26953125" style="1" customWidth="1"/>
    <col min="9472" max="9472" width="17.81640625" style="1" customWidth="1"/>
    <col min="9473" max="9473" width="22.81640625" style="1" customWidth="1"/>
    <col min="9474" max="9474" width="25.453125" style="1" customWidth="1"/>
    <col min="9475" max="9476" width="6.7265625" style="1" customWidth="1"/>
    <col min="9477" max="9477" width="26.453125" style="1" customWidth="1"/>
    <col min="9478" max="9478" width="18.54296875" style="1" customWidth="1"/>
    <col min="9479" max="9479" width="29.81640625" style="1" customWidth="1"/>
    <col min="9480" max="9480" width="23.54296875" style="1" customWidth="1"/>
    <col min="9481" max="9481" width="31.453125" style="1" customWidth="1"/>
    <col min="9482" max="9722" width="8.7265625" style="1"/>
    <col min="9723" max="9723" width="7.81640625" style="1" customWidth="1"/>
    <col min="9724" max="9724" width="8.54296875" style="1" customWidth="1"/>
    <col min="9725" max="9725" width="20.1796875" style="1" customWidth="1"/>
    <col min="9726" max="9726" width="16.453125" style="1" customWidth="1"/>
    <col min="9727" max="9727" width="22.26953125" style="1" customWidth="1"/>
    <col min="9728" max="9728" width="17.81640625" style="1" customWidth="1"/>
    <col min="9729" max="9729" width="22.81640625" style="1" customWidth="1"/>
    <col min="9730" max="9730" width="25.453125" style="1" customWidth="1"/>
    <col min="9731" max="9732" width="6.7265625" style="1" customWidth="1"/>
    <col min="9733" max="9733" width="26.453125" style="1" customWidth="1"/>
    <col min="9734" max="9734" width="18.54296875" style="1" customWidth="1"/>
    <col min="9735" max="9735" width="29.81640625" style="1" customWidth="1"/>
    <col min="9736" max="9736" width="23.54296875" style="1" customWidth="1"/>
    <col min="9737" max="9737" width="31.453125" style="1" customWidth="1"/>
    <col min="9738" max="9978" width="8.7265625" style="1"/>
    <col min="9979" max="9979" width="7.81640625" style="1" customWidth="1"/>
    <col min="9980" max="9980" width="8.54296875" style="1" customWidth="1"/>
    <col min="9981" max="9981" width="20.1796875" style="1" customWidth="1"/>
    <col min="9982" max="9982" width="16.453125" style="1" customWidth="1"/>
    <col min="9983" max="9983" width="22.26953125" style="1" customWidth="1"/>
    <col min="9984" max="9984" width="17.81640625" style="1" customWidth="1"/>
    <col min="9985" max="9985" width="22.81640625" style="1" customWidth="1"/>
    <col min="9986" max="9986" width="25.453125" style="1" customWidth="1"/>
    <col min="9987" max="9988" width="6.7265625" style="1" customWidth="1"/>
    <col min="9989" max="9989" width="26.453125" style="1" customWidth="1"/>
    <col min="9990" max="9990" width="18.54296875" style="1" customWidth="1"/>
    <col min="9991" max="9991" width="29.81640625" style="1" customWidth="1"/>
    <col min="9992" max="9992" width="23.54296875" style="1" customWidth="1"/>
    <col min="9993" max="9993" width="31.453125" style="1" customWidth="1"/>
    <col min="9994" max="10234" width="8.7265625" style="1"/>
    <col min="10235" max="10235" width="7.81640625" style="1" customWidth="1"/>
    <col min="10236" max="10236" width="8.54296875" style="1" customWidth="1"/>
    <col min="10237" max="10237" width="20.1796875" style="1" customWidth="1"/>
    <col min="10238" max="10238" width="16.453125" style="1" customWidth="1"/>
    <col min="10239" max="10239" width="22.26953125" style="1" customWidth="1"/>
    <col min="10240" max="10240" width="17.81640625" style="1" customWidth="1"/>
    <col min="10241" max="10241" width="22.81640625" style="1" customWidth="1"/>
    <col min="10242" max="10242" width="25.453125" style="1" customWidth="1"/>
    <col min="10243" max="10244" width="6.7265625" style="1" customWidth="1"/>
    <col min="10245" max="10245" width="26.453125" style="1" customWidth="1"/>
    <col min="10246" max="10246" width="18.54296875" style="1" customWidth="1"/>
    <col min="10247" max="10247" width="29.81640625" style="1" customWidth="1"/>
    <col min="10248" max="10248" width="23.54296875" style="1" customWidth="1"/>
    <col min="10249" max="10249" width="31.453125" style="1" customWidth="1"/>
    <col min="10250" max="10490" width="8.7265625" style="1"/>
    <col min="10491" max="10491" width="7.81640625" style="1" customWidth="1"/>
    <col min="10492" max="10492" width="8.54296875" style="1" customWidth="1"/>
    <col min="10493" max="10493" width="20.1796875" style="1" customWidth="1"/>
    <col min="10494" max="10494" width="16.453125" style="1" customWidth="1"/>
    <col min="10495" max="10495" width="22.26953125" style="1" customWidth="1"/>
    <col min="10496" max="10496" width="17.81640625" style="1" customWidth="1"/>
    <col min="10497" max="10497" width="22.81640625" style="1" customWidth="1"/>
    <col min="10498" max="10498" width="25.453125" style="1" customWidth="1"/>
    <col min="10499" max="10500" width="6.7265625" style="1" customWidth="1"/>
    <col min="10501" max="10501" width="26.453125" style="1" customWidth="1"/>
    <col min="10502" max="10502" width="18.54296875" style="1" customWidth="1"/>
    <col min="10503" max="10503" width="29.81640625" style="1" customWidth="1"/>
    <col min="10504" max="10504" width="23.54296875" style="1" customWidth="1"/>
    <col min="10505" max="10505" width="31.453125" style="1" customWidth="1"/>
    <col min="10506" max="10746" width="8.7265625" style="1"/>
    <col min="10747" max="10747" width="7.81640625" style="1" customWidth="1"/>
    <col min="10748" max="10748" width="8.54296875" style="1" customWidth="1"/>
    <col min="10749" max="10749" width="20.1796875" style="1" customWidth="1"/>
    <col min="10750" max="10750" width="16.453125" style="1" customWidth="1"/>
    <col min="10751" max="10751" width="22.26953125" style="1" customWidth="1"/>
    <col min="10752" max="10752" width="17.81640625" style="1" customWidth="1"/>
    <col min="10753" max="10753" width="22.81640625" style="1" customWidth="1"/>
    <col min="10754" max="10754" width="25.453125" style="1" customWidth="1"/>
    <col min="10755" max="10756" width="6.7265625" style="1" customWidth="1"/>
    <col min="10757" max="10757" width="26.453125" style="1" customWidth="1"/>
    <col min="10758" max="10758" width="18.54296875" style="1" customWidth="1"/>
    <col min="10759" max="10759" width="29.81640625" style="1" customWidth="1"/>
    <col min="10760" max="10760" width="23.54296875" style="1" customWidth="1"/>
    <col min="10761" max="10761" width="31.453125" style="1" customWidth="1"/>
    <col min="10762" max="11002" width="8.7265625" style="1"/>
    <col min="11003" max="11003" width="7.81640625" style="1" customWidth="1"/>
    <col min="11004" max="11004" width="8.54296875" style="1" customWidth="1"/>
    <col min="11005" max="11005" width="20.1796875" style="1" customWidth="1"/>
    <col min="11006" max="11006" width="16.453125" style="1" customWidth="1"/>
    <col min="11007" max="11007" width="22.26953125" style="1" customWidth="1"/>
    <col min="11008" max="11008" width="17.81640625" style="1" customWidth="1"/>
    <col min="11009" max="11009" width="22.81640625" style="1" customWidth="1"/>
    <col min="11010" max="11010" width="25.453125" style="1" customWidth="1"/>
    <col min="11011" max="11012" width="6.7265625" style="1" customWidth="1"/>
    <col min="11013" max="11013" width="26.453125" style="1" customWidth="1"/>
    <col min="11014" max="11014" width="18.54296875" style="1" customWidth="1"/>
    <col min="11015" max="11015" width="29.81640625" style="1" customWidth="1"/>
    <col min="11016" max="11016" width="23.54296875" style="1" customWidth="1"/>
    <col min="11017" max="11017" width="31.453125" style="1" customWidth="1"/>
    <col min="11018" max="11258" width="8.7265625" style="1"/>
    <col min="11259" max="11259" width="7.81640625" style="1" customWidth="1"/>
    <col min="11260" max="11260" width="8.54296875" style="1" customWidth="1"/>
    <col min="11261" max="11261" width="20.1796875" style="1" customWidth="1"/>
    <col min="11262" max="11262" width="16.453125" style="1" customWidth="1"/>
    <col min="11263" max="11263" width="22.26953125" style="1" customWidth="1"/>
    <col min="11264" max="11264" width="17.81640625" style="1" customWidth="1"/>
    <col min="11265" max="11265" width="22.81640625" style="1" customWidth="1"/>
    <col min="11266" max="11266" width="25.453125" style="1" customWidth="1"/>
    <col min="11267" max="11268" width="6.7265625" style="1" customWidth="1"/>
    <col min="11269" max="11269" width="26.453125" style="1" customWidth="1"/>
    <col min="11270" max="11270" width="18.54296875" style="1" customWidth="1"/>
    <col min="11271" max="11271" width="29.81640625" style="1" customWidth="1"/>
    <col min="11272" max="11272" width="23.54296875" style="1" customWidth="1"/>
    <col min="11273" max="11273" width="31.453125" style="1" customWidth="1"/>
    <col min="11274" max="11514" width="8.7265625" style="1"/>
    <col min="11515" max="11515" width="7.81640625" style="1" customWidth="1"/>
    <col min="11516" max="11516" width="8.54296875" style="1" customWidth="1"/>
    <col min="11517" max="11517" width="20.1796875" style="1" customWidth="1"/>
    <col min="11518" max="11518" width="16.453125" style="1" customWidth="1"/>
    <col min="11519" max="11519" width="22.26953125" style="1" customWidth="1"/>
    <col min="11520" max="11520" width="17.81640625" style="1" customWidth="1"/>
    <col min="11521" max="11521" width="22.81640625" style="1" customWidth="1"/>
    <col min="11522" max="11522" width="25.453125" style="1" customWidth="1"/>
    <col min="11523" max="11524" width="6.7265625" style="1" customWidth="1"/>
    <col min="11525" max="11525" width="26.453125" style="1" customWidth="1"/>
    <col min="11526" max="11526" width="18.54296875" style="1" customWidth="1"/>
    <col min="11527" max="11527" width="29.81640625" style="1" customWidth="1"/>
    <col min="11528" max="11528" width="23.54296875" style="1" customWidth="1"/>
    <col min="11529" max="11529" width="31.453125" style="1" customWidth="1"/>
    <col min="11530" max="11770" width="8.7265625" style="1"/>
    <col min="11771" max="11771" width="7.81640625" style="1" customWidth="1"/>
    <col min="11772" max="11772" width="8.54296875" style="1" customWidth="1"/>
    <col min="11773" max="11773" width="20.1796875" style="1" customWidth="1"/>
    <col min="11774" max="11774" width="16.453125" style="1" customWidth="1"/>
    <col min="11775" max="11775" width="22.26953125" style="1" customWidth="1"/>
    <col min="11776" max="11776" width="17.81640625" style="1" customWidth="1"/>
    <col min="11777" max="11777" width="22.81640625" style="1" customWidth="1"/>
    <col min="11778" max="11778" width="25.453125" style="1" customWidth="1"/>
    <col min="11779" max="11780" width="6.7265625" style="1" customWidth="1"/>
    <col min="11781" max="11781" width="26.453125" style="1" customWidth="1"/>
    <col min="11782" max="11782" width="18.54296875" style="1" customWidth="1"/>
    <col min="11783" max="11783" width="29.81640625" style="1" customWidth="1"/>
    <col min="11784" max="11784" width="23.54296875" style="1" customWidth="1"/>
    <col min="11785" max="11785" width="31.453125" style="1" customWidth="1"/>
    <col min="11786" max="12026" width="8.7265625" style="1"/>
    <col min="12027" max="12027" width="7.81640625" style="1" customWidth="1"/>
    <col min="12028" max="12028" width="8.54296875" style="1" customWidth="1"/>
    <col min="12029" max="12029" width="20.1796875" style="1" customWidth="1"/>
    <col min="12030" max="12030" width="16.453125" style="1" customWidth="1"/>
    <col min="12031" max="12031" width="22.26953125" style="1" customWidth="1"/>
    <col min="12032" max="12032" width="17.81640625" style="1" customWidth="1"/>
    <col min="12033" max="12033" width="22.81640625" style="1" customWidth="1"/>
    <col min="12034" max="12034" width="25.453125" style="1" customWidth="1"/>
    <col min="12035" max="12036" width="6.7265625" style="1" customWidth="1"/>
    <col min="12037" max="12037" width="26.453125" style="1" customWidth="1"/>
    <col min="12038" max="12038" width="18.54296875" style="1" customWidth="1"/>
    <col min="12039" max="12039" width="29.81640625" style="1" customWidth="1"/>
    <col min="12040" max="12040" width="23.54296875" style="1" customWidth="1"/>
    <col min="12041" max="12041" width="31.453125" style="1" customWidth="1"/>
    <col min="12042" max="12282" width="8.7265625" style="1"/>
    <col min="12283" max="12283" width="7.81640625" style="1" customWidth="1"/>
    <col min="12284" max="12284" width="8.54296875" style="1" customWidth="1"/>
    <col min="12285" max="12285" width="20.1796875" style="1" customWidth="1"/>
    <col min="12286" max="12286" width="16.453125" style="1" customWidth="1"/>
    <col min="12287" max="12287" width="22.26953125" style="1" customWidth="1"/>
    <col min="12288" max="12288" width="17.81640625" style="1" customWidth="1"/>
    <col min="12289" max="12289" width="22.81640625" style="1" customWidth="1"/>
    <col min="12290" max="12290" width="25.453125" style="1" customWidth="1"/>
    <col min="12291" max="12292" width="6.7265625" style="1" customWidth="1"/>
    <col min="12293" max="12293" width="26.453125" style="1" customWidth="1"/>
    <col min="12294" max="12294" width="18.54296875" style="1" customWidth="1"/>
    <col min="12295" max="12295" width="29.81640625" style="1" customWidth="1"/>
    <col min="12296" max="12296" width="23.54296875" style="1" customWidth="1"/>
    <col min="12297" max="12297" width="31.453125" style="1" customWidth="1"/>
    <col min="12298" max="12538" width="8.7265625" style="1"/>
    <col min="12539" max="12539" width="7.81640625" style="1" customWidth="1"/>
    <col min="12540" max="12540" width="8.54296875" style="1" customWidth="1"/>
    <col min="12541" max="12541" width="20.1796875" style="1" customWidth="1"/>
    <col min="12542" max="12542" width="16.453125" style="1" customWidth="1"/>
    <col min="12543" max="12543" width="22.26953125" style="1" customWidth="1"/>
    <col min="12544" max="12544" width="17.81640625" style="1" customWidth="1"/>
    <col min="12545" max="12545" width="22.81640625" style="1" customWidth="1"/>
    <col min="12546" max="12546" width="25.453125" style="1" customWidth="1"/>
    <col min="12547" max="12548" width="6.7265625" style="1" customWidth="1"/>
    <col min="12549" max="12549" width="26.453125" style="1" customWidth="1"/>
    <col min="12550" max="12550" width="18.54296875" style="1" customWidth="1"/>
    <col min="12551" max="12551" width="29.81640625" style="1" customWidth="1"/>
    <col min="12552" max="12552" width="23.54296875" style="1" customWidth="1"/>
    <col min="12553" max="12553" width="31.453125" style="1" customWidth="1"/>
    <col min="12554" max="12794" width="8.7265625" style="1"/>
    <col min="12795" max="12795" width="7.81640625" style="1" customWidth="1"/>
    <col min="12796" max="12796" width="8.54296875" style="1" customWidth="1"/>
    <col min="12797" max="12797" width="20.1796875" style="1" customWidth="1"/>
    <col min="12798" max="12798" width="16.453125" style="1" customWidth="1"/>
    <col min="12799" max="12799" width="22.26953125" style="1" customWidth="1"/>
    <col min="12800" max="12800" width="17.81640625" style="1" customWidth="1"/>
    <col min="12801" max="12801" width="22.81640625" style="1" customWidth="1"/>
    <col min="12802" max="12802" width="25.453125" style="1" customWidth="1"/>
    <col min="12803" max="12804" width="6.7265625" style="1" customWidth="1"/>
    <col min="12805" max="12805" width="26.453125" style="1" customWidth="1"/>
    <col min="12806" max="12806" width="18.54296875" style="1" customWidth="1"/>
    <col min="12807" max="12807" width="29.81640625" style="1" customWidth="1"/>
    <col min="12808" max="12808" width="23.54296875" style="1" customWidth="1"/>
    <col min="12809" max="12809" width="31.453125" style="1" customWidth="1"/>
    <col min="12810" max="13050" width="8.7265625" style="1"/>
    <col min="13051" max="13051" width="7.81640625" style="1" customWidth="1"/>
    <col min="13052" max="13052" width="8.54296875" style="1" customWidth="1"/>
    <col min="13053" max="13053" width="20.1796875" style="1" customWidth="1"/>
    <col min="13054" max="13054" width="16.453125" style="1" customWidth="1"/>
    <col min="13055" max="13055" width="22.26953125" style="1" customWidth="1"/>
    <col min="13056" max="13056" width="17.81640625" style="1" customWidth="1"/>
    <col min="13057" max="13057" width="22.81640625" style="1" customWidth="1"/>
    <col min="13058" max="13058" width="25.453125" style="1" customWidth="1"/>
    <col min="13059" max="13060" width="6.7265625" style="1" customWidth="1"/>
    <col min="13061" max="13061" width="26.453125" style="1" customWidth="1"/>
    <col min="13062" max="13062" width="18.54296875" style="1" customWidth="1"/>
    <col min="13063" max="13063" width="29.81640625" style="1" customWidth="1"/>
    <col min="13064" max="13064" width="23.54296875" style="1" customWidth="1"/>
    <col min="13065" max="13065" width="31.453125" style="1" customWidth="1"/>
    <col min="13066" max="13306" width="8.7265625" style="1"/>
    <col min="13307" max="13307" width="7.81640625" style="1" customWidth="1"/>
    <col min="13308" max="13308" width="8.54296875" style="1" customWidth="1"/>
    <col min="13309" max="13309" width="20.1796875" style="1" customWidth="1"/>
    <col min="13310" max="13310" width="16.453125" style="1" customWidth="1"/>
    <col min="13311" max="13311" width="22.26953125" style="1" customWidth="1"/>
    <col min="13312" max="13312" width="17.81640625" style="1" customWidth="1"/>
    <col min="13313" max="13313" width="22.81640625" style="1" customWidth="1"/>
    <col min="13314" max="13314" width="25.453125" style="1" customWidth="1"/>
    <col min="13315" max="13316" width="6.7265625" style="1" customWidth="1"/>
    <col min="13317" max="13317" width="26.453125" style="1" customWidth="1"/>
    <col min="13318" max="13318" width="18.54296875" style="1" customWidth="1"/>
    <col min="13319" max="13319" width="29.81640625" style="1" customWidth="1"/>
    <col min="13320" max="13320" width="23.54296875" style="1" customWidth="1"/>
    <col min="13321" max="13321" width="31.453125" style="1" customWidth="1"/>
    <col min="13322" max="13562" width="8.7265625" style="1"/>
    <col min="13563" max="13563" width="7.81640625" style="1" customWidth="1"/>
    <col min="13564" max="13564" width="8.54296875" style="1" customWidth="1"/>
    <col min="13565" max="13565" width="20.1796875" style="1" customWidth="1"/>
    <col min="13566" max="13566" width="16.453125" style="1" customWidth="1"/>
    <col min="13567" max="13567" width="22.26953125" style="1" customWidth="1"/>
    <col min="13568" max="13568" width="17.81640625" style="1" customWidth="1"/>
    <col min="13569" max="13569" width="22.81640625" style="1" customWidth="1"/>
    <col min="13570" max="13570" width="25.453125" style="1" customWidth="1"/>
    <col min="13571" max="13572" width="6.7265625" style="1" customWidth="1"/>
    <col min="13573" max="13573" width="26.453125" style="1" customWidth="1"/>
    <col min="13574" max="13574" width="18.54296875" style="1" customWidth="1"/>
    <col min="13575" max="13575" width="29.81640625" style="1" customWidth="1"/>
    <col min="13576" max="13576" width="23.54296875" style="1" customWidth="1"/>
    <col min="13577" max="13577" width="31.453125" style="1" customWidth="1"/>
    <col min="13578" max="13818" width="8.7265625" style="1"/>
    <col min="13819" max="13819" width="7.81640625" style="1" customWidth="1"/>
    <col min="13820" max="13820" width="8.54296875" style="1" customWidth="1"/>
    <col min="13821" max="13821" width="20.1796875" style="1" customWidth="1"/>
    <col min="13822" max="13822" width="16.453125" style="1" customWidth="1"/>
    <col min="13823" max="13823" width="22.26953125" style="1" customWidth="1"/>
    <col min="13824" max="13824" width="17.81640625" style="1" customWidth="1"/>
    <col min="13825" max="13825" width="22.81640625" style="1" customWidth="1"/>
    <col min="13826" max="13826" width="25.453125" style="1" customWidth="1"/>
    <col min="13827" max="13828" width="6.7265625" style="1" customWidth="1"/>
    <col min="13829" max="13829" width="26.453125" style="1" customWidth="1"/>
    <col min="13830" max="13830" width="18.54296875" style="1" customWidth="1"/>
    <col min="13831" max="13831" width="29.81640625" style="1" customWidth="1"/>
    <col min="13832" max="13832" width="23.54296875" style="1" customWidth="1"/>
    <col min="13833" max="13833" width="31.453125" style="1" customWidth="1"/>
    <col min="13834" max="14074" width="8.7265625" style="1"/>
    <col min="14075" max="14075" width="7.81640625" style="1" customWidth="1"/>
    <col min="14076" max="14076" width="8.54296875" style="1" customWidth="1"/>
    <col min="14077" max="14077" width="20.1796875" style="1" customWidth="1"/>
    <col min="14078" max="14078" width="16.453125" style="1" customWidth="1"/>
    <col min="14079" max="14079" width="22.26953125" style="1" customWidth="1"/>
    <col min="14080" max="14080" width="17.81640625" style="1" customWidth="1"/>
    <col min="14081" max="14081" width="22.81640625" style="1" customWidth="1"/>
    <col min="14082" max="14082" width="25.453125" style="1" customWidth="1"/>
    <col min="14083" max="14084" width="6.7265625" style="1" customWidth="1"/>
    <col min="14085" max="14085" width="26.453125" style="1" customWidth="1"/>
    <col min="14086" max="14086" width="18.54296875" style="1" customWidth="1"/>
    <col min="14087" max="14087" width="29.81640625" style="1" customWidth="1"/>
    <col min="14088" max="14088" width="23.54296875" style="1" customWidth="1"/>
    <col min="14089" max="14089" width="31.453125" style="1" customWidth="1"/>
    <col min="14090" max="14330" width="8.7265625" style="1"/>
    <col min="14331" max="14331" width="7.81640625" style="1" customWidth="1"/>
    <col min="14332" max="14332" width="8.54296875" style="1" customWidth="1"/>
    <col min="14333" max="14333" width="20.1796875" style="1" customWidth="1"/>
    <col min="14334" max="14334" width="16.453125" style="1" customWidth="1"/>
    <col min="14335" max="14335" width="22.26953125" style="1" customWidth="1"/>
    <col min="14336" max="14336" width="17.81640625" style="1" customWidth="1"/>
    <col min="14337" max="14337" width="22.81640625" style="1" customWidth="1"/>
    <col min="14338" max="14338" width="25.453125" style="1" customWidth="1"/>
    <col min="14339" max="14340" width="6.7265625" style="1" customWidth="1"/>
    <col min="14341" max="14341" width="26.453125" style="1" customWidth="1"/>
    <col min="14342" max="14342" width="18.54296875" style="1" customWidth="1"/>
    <col min="14343" max="14343" width="29.81640625" style="1" customWidth="1"/>
    <col min="14344" max="14344" width="23.54296875" style="1" customWidth="1"/>
    <col min="14345" max="14345" width="31.453125" style="1" customWidth="1"/>
    <col min="14346" max="14586" width="8.7265625" style="1"/>
    <col min="14587" max="14587" width="7.81640625" style="1" customWidth="1"/>
    <col min="14588" max="14588" width="8.54296875" style="1" customWidth="1"/>
    <col min="14589" max="14589" width="20.1796875" style="1" customWidth="1"/>
    <col min="14590" max="14590" width="16.453125" style="1" customWidth="1"/>
    <col min="14591" max="14591" width="22.26953125" style="1" customWidth="1"/>
    <col min="14592" max="14592" width="17.81640625" style="1" customWidth="1"/>
    <col min="14593" max="14593" width="22.81640625" style="1" customWidth="1"/>
    <col min="14594" max="14594" width="25.453125" style="1" customWidth="1"/>
    <col min="14595" max="14596" width="6.7265625" style="1" customWidth="1"/>
    <col min="14597" max="14597" width="26.453125" style="1" customWidth="1"/>
    <col min="14598" max="14598" width="18.54296875" style="1" customWidth="1"/>
    <col min="14599" max="14599" width="29.81640625" style="1" customWidth="1"/>
    <col min="14600" max="14600" width="23.54296875" style="1" customWidth="1"/>
    <col min="14601" max="14601" width="31.453125" style="1" customWidth="1"/>
    <col min="14602" max="14842" width="8.7265625" style="1"/>
    <col min="14843" max="14843" width="7.81640625" style="1" customWidth="1"/>
    <col min="14844" max="14844" width="8.54296875" style="1" customWidth="1"/>
    <col min="14845" max="14845" width="20.1796875" style="1" customWidth="1"/>
    <col min="14846" max="14846" width="16.453125" style="1" customWidth="1"/>
    <col min="14847" max="14847" width="22.26953125" style="1" customWidth="1"/>
    <col min="14848" max="14848" width="17.81640625" style="1" customWidth="1"/>
    <col min="14849" max="14849" width="22.81640625" style="1" customWidth="1"/>
    <col min="14850" max="14850" width="25.453125" style="1" customWidth="1"/>
    <col min="14851" max="14852" width="6.7265625" style="1" customWidth="1"/>
    <col min="14853" max="14853" width="26.453125" style="1" customWidth="1"/>
    <col min="14854" max="14854" width="18.54296875" style="1" customWidth="1"/>
    <col min="14855" max="14855" width="29.81640625" style="1" customWidth="1"/>
    <col min="14856" max="14856" width="23.54296875" style="1" customWidth="1"/>
    <col min="14857" max="14857" width="31.453125" style="1" customWidth="1"/>
    <col min="14858" max="15098" width="8.7265625" style="1"/>
    <col min="15099" max="15099" width="7.81640625" style="1" customWidth="1"/>
    <col min="15100" max="15100" width="8.54296875" style="1" customWidth="1"/>
    <col min="15101" max="15101" width="20.1796875" style="1" customWidth="1"/>
    <col min="15102" max="15102" width="16.453125" style="1" customWidth="1"/>
    <col min="15103" max="15103" width="22.26953125" style="1" customWidth="1"/>
    <col min="15104" max="15104" width="17.81640625" style="1" customWidth="1"/>
    <col min="15105" max="15105" width="22.81640625" style="1" customWidth="1"/>
    <col min="15106" max="15106" width="25.453125" style="1" customWidth="1"/>
    <col min="15107" max="15108" width="6.7265625" style="1" customWidth="1"/>
    <col min="15109" max="15109" width="26.453125" style="1" customWidth="1"/>
    <col min="15110" max="15110" width="18.54296875" style="1" customWidth="1"/>
    <col min="15111" max="15111" width="29.81640625" style="1" customWidth="1"/>
    <col min="15112" max="15112" width="23.54296875" style="1" customWidth="1"/>
    <col min="15113" max="15113" width="31.453125" style="1" customWidth="1"/>
    <col min="15114" max="15354" width="8.7265625" style="1"/>
    <col min="15355" max="15355" width="7.81640625" style="1" customWidth="1"/>
    <col min="15356" max="15356" width="8.54296875" style="1" customWidth="1"/>
    <col min="15357" max="15357" width="20.1796875" style="1" customWidth="1"/>
    <col min="15358" max="15358" width="16.453125" style="1" customWidth="1"/>
    <col min="15359" max="15359" width="22.26953125" style="1" customWidth="1"/>
    <col min="15360" max="15360" width="17.81640625" style="1" customWidth="1"/>
    <col min="15361" max="15361" width="22.81640625" style="1" customWidth="1"/>
    <col min="15362" max="15362" width="25.453125" style="1" customWidth="1"/>
    <col min="15363" max="15364" width="6.7265625" style="1" customWidth="1"/>
    <col min="15365" max="15365" width="26.453125" style="1" customWidth="1"/>
    <col min="15366" max="15366" width="18.54296875" style="1" customWidth="1"/>
    <col min="15367" max="15367" width="29.81640625" style="1" customWidth="1"/>
    <col min="15368" max="15368" width="23.54296875" style="1" customWidth="1"/>
    <col min="15369" max="15369" width="31.453125" style="1" customWidth="1"/>
    <col min="15370" max="15610" width="8.7265625" style="1"/>
    <col min="15611" max="15611" width="7.81640625" style="1" customWidth="1"/>
    <col min="15612" max="15612" width="8.54296875" style="1" customWidth="1"/>
    <col min="15613" max="15613" width="20.1796875" style="1" customWidth="1"/>
    <col min="15614" max="15614" width="16.453125" style="1" customWidth="1"/>
    <col min="15615" max="15615" width="22.26953125" style="1" customWidth="1"/>
    <col min="15616" max="15616" width="17.81640625" style="1" customWidth="1"/>
    <col min="15617" max="15617" width="22.81640625" style="1" customWidth="1"/>
    <col min="15618" max="15618" width="25.453125" style="1" customWidth="1"/>
    <col min="15619" max="15620" width="6.7265625" style="1" customWidth="1"/>
    <col min="15621" max="15621" width="26.453125" style="1" customWidth="1"/>
    <col min="15622" max="15622" width="18.54296875" style="1" customWidth="1"/>
    <col min="15623" max="15623" width="29.81640625" style="1" customWidth="1"/>
    <col min="15624" max="15624" width="23.54296875" style="1" customWidth="1"/>
    <col min="15625" max="15625" width="31.453125" style="1" customWidth="1"/>
    <col min="15626" max="15866" width="8.7265625" style="1"/>
    <col min="15867" max="15867" width="7.81640625" style="1" customWidth="1"/>
    <col min="15868" max="15868" width="8.54296875" style="1" customWidth="1"/>
    <col min="15869" max="15869" width="20.1796875" style="1" customWidth="1"/>
    <col min="15870" max="15870" width="16.453125" style="1" customWidth="1"/>
    <col min="15871" max="15871" width="22.26953125" style="1" customWidth="1"/>
    <col min="15872" max="15872" width="17.81640625" style="1" customWidth="1"/>
    <col min="15873" max="15873" width="22.81640625" style="1" customWidth="1"/>
    <col min="15874" max="15874" width="25.453125" style="1" customWidth="1"/>
    <col min="15875" max="15876" width="6.7265625" style="1" customWidth="1"/>
    <col min="15877" max="15877" width="26.453125" style="1" customWidth="1"/>
    <col min="15878" max="15878" width="18.54296875" style="1" customWidth="1"/>
    <col min="15879" max="15879" width="29.81640625" style="1" customWidth="1"/>
    <col min="15880" max="15880" width="23.54296875" style="1" customWidth="1"/>
    <col min="15881" max="15881" width="31.453125" style="1" customWidth="1"/>
    <col min="15882" max="16122" width="8.7265625" style="1"/>
    <col min="16123" max="16123" width="7.81640625" style="1" customWidth="1"/>
    <col min="16124" max="16124" width="8.54296875" style="1" customWidth="1"/>
    <col min="16125" max="16125" width="20.1796875" style="1" customWidth="1"/>
    <col min="16126" max="16126" width="16.453125" style="1" customWidth="1"/>
    <col min="16127" max="16127" width="22.26953125" style="1" customWidth="1"/>
    <col min="16128" max="16128" width="17.81640625" style="1" customWidth="1"/>
    <col min="16129" max="16129" width="22.81640625" style="1" customWidth="1"/>
    <col min="16130" max="16130" width="25.453125" style="1" customWidth="1"/>
    <col min="16131" max="16132" width="6.7265625" style="1" customWidth="1"/>
    <col min="16133" max="16133" width="26.453125" style="1" customWidth="1"/>
    <col min="16134" max="16134" width="18.54296875" style="1" customWidth="1"/>
    <col min="16135" max="16135" width="29.81640625" style="1" customWidth="1"/>
    <col min="16136" max="16136" width="23.54296875" style="1" customWidth="1"/>
    <col min="16137" max="16137" width="31.453125" style="1" customWidth="1"/>
    <col min="16138" max="16384" width="8.7265625" style="1"/>
  </cols>
  <sheetData>
    <row r="1" spans="1:14" ht="17.25" customHeight="1">
      <c r="A1" s="64" t="s">
        <v>194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4" ht="17.25" customHeight="1">
      <c r="A2" s="64" t="s">
        <v>175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4" ht="14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" customHeight="1">
      <c r="C4" s="4" t="s">
        <v>0</v>
      </c>
      <c r="D4" s="5" t="str">
        <f>Transpor_rapat!D4</f>
        <v>: ____________________________</v>
      </c>
      <c r="F4" s="6"/>
      <c r="G4" s="7"/>
      <c r="H4" s="7"/>
      <c r="I4" s="4" t="s">
        <v>26</v>
      </c>
      <c r="J4" s="4" t="s">
        <v>195</v>
      </c>
    </row>
    <row r="5" spans="1:14" ht="15" customHeight="1">
      <c r="C5" s="4" t="s">
        <v>2</v>
      </c>
      <c r="D5" s="5" t="str">
        <f>Transpor_rapat!D5</f>
        <v>: SD NEGERI LEBAKLEUNGSIR</v>
      </c>
      <c r="F5" s="6"/>
      <c r="H5" s="8"/>
      <c r="I5" s="4" t="s">
        <v>27</v>
      </c>
      <c r="J5" s="4" t="s">
        <v>196</v>
      </c>
    </row>
    <row r="6" spans="1:14" ht="15" customHeight="1">
      <c r="C6" s="4" t="s">
        <v>3</v>
      </c>
      <c r="D6" s="5" t="str">
        <f>Transpor_rapat!D6</f>
        <v>: Cikalongwetan</v>
      </c>
      <c r="F6" s="6"/>
      <c r="H6" s="8"/>
      <c r="I6" s="8" t="s">
        <v>28</v>
      </c>
      <c r="J6" s="4" t="s">
        <v>57</v>
      </c>
    </row>
    <row r="7" spans="1:14" ht="15" customHeight="1">
      <c r="C7" s="4" t="s">
        <v>5</v>
      </c>
      <c r="D7" s="5" t="str">
        <f>Transpor_rapat!D7</f>
        <v>: Bandung Barat</v>
      </c>
      <c r="F7" s="6"/>
      <c r="H7" s="8"/>
      <c r="I7" s="4" t="s">
        <v>7</v>
      </c>
      <c r="J7" s="30" t="s">
        <v>29</v>
      </c>
    </row>
    <row r="8" spans="1:14" ht="15" customHeight="1">
      <c r="H8" s="8"/>
      <c r="I8" s="8"/>
      <c r="J8" s="8"/>
    </row>
    <row r="9" spans="1:14" ht="41.25" customHeight="1">
      <c r="A9" s="9" t="s">
        <v>8</v>
      </c>
      <c r="B9" s="65" t="s">
        <v>9</v>
      </c>
      <c r="C9" s="66"/>
      <c r="D9" s="9" t="s">
        <v>10</v>
      </c>
      <c r="E9" s="10" t="s">
        <v>11</v>
      </c>
      <c r="F9" s="9" t="s">
        <v>45</v>
      </c>
      <c r="G9" s="9" t="s">
        <v>24</v>
      </c>
      <c r="H9" s="10" t="s">
        <v>13</v>
      </c>
      <c r="I9" s="10" t="s">
        <v>14</v>
      </c>
      <c r="J9" s="69" t="s">
        <v>17</v>
      </c>
      <c r="K9" s="71"/>
    </row>
    <row r="10" spans="1:14" ht="30.5" customHeight="1">
      <c r="A10" s="11">
        <v>1</v>
      </c>
      <c r="B10" s="12" t="s">
        <v>38</v>
      </c>
      <c r="C10" s="13"/>
      <c r="D10" s="13" t="s">
        <v>52</v>
      </c>
      <c r="E10" s="14" t="s">
        <v>155</v>
      </c>
      <c r="F10" s="14">
        <v>2</v>
      </c>
      <c r="G10" s="14" t="s">
        <v>25</v>
      </c>
      <c r="H10" s="15">
        <v>75000</v>
      </c>
      <c r="I10" s="16">
        <f>F10*H10</f>
        <v>150000</v>
      </c>
      <c r="J10" s="54">
        <v>1</v>
      </c>
      <c r="K10" s="56">
        <v>2</v>
      </c>
    </row>
    <row r="11" spans="1:14" ht="30.5" customHeight="1">
      <c r="A11" s="11">
        <v>2</v>
      </c>
      <c r="B11" s="12"/>
      <c r="C11" s="13"/>
      <c r="D11" s="13"/>
      <c r="E11" s="14" t="s">
        <v>34</v>
      </c>
      <c r="F11" s="14"/>
      <c r="G11" s="14"/>
      <c r="H11" s="15"/>
      <c r="I11" s="16">
        <f t="shared" ref="I11:I13" si="0">F11*H11</f>
        <v>0</v>
      </c>
      <c r="J11" s="55"/>
      <c r="K11" s="57"/>
    </row>
    <row r="12" spans="1:14" ht="22.5" hidden="1" customHeight="1">
      <c r="A12" s="11">
        <v>3</v>
      </c>
      <c r="B12" s="12"/>
      <c r="C12" s="13"/>
      <c r="D12" s="13"/>
      <c r="E12" s="14"/>
      <c r="F12" s="14"/>
      <c r="G12" s="14"/>
      <c r="H12" s="15"/>
      <c r="I12" s="16">
        <f t="shared" si="0"/>
        <v>0</v>
      </c>
      <c r="J12" s="54">
        <v>3</v>
      </c>
      <c r="K12" s="56">
        <v>4</v>
      </c>
    </row>
    <row r="13" spans="1:14" ht="22.5" hidden="1" customHeight="1">
      <c r="A13" s="11">
        <v>4</v>
      </c>
      <c r="B13" s="12"/>
      <c r="C13" s="13"/>
      <c r="D13" s="13"/>
      <c r="E13" s="14"/>
      <c r="F13" s="14"/>
      <c r="G13" s="14"/>
      <c r="H13" s="15"/>
      <c r="I13" s="16">
        <f t="shared" si="0"/>
        <v>0</v>
      </c>
      <c r="J13" s="55"/>
      <c r="K13" s="57"/>
    </row>
    <row r="14" spans="1:14" s="21" customFormat="1" ht="22.5" customHeight="1">
      <c r="A14" s="69" t="s">
        <v>20</v>
      </c>
      <c r="B14" s="70"/>
      <c r="C14" s="70"/>
      <c r="D14" s="70"/>
      <c r="E14" s="70"/>
      <c r="F14" s="70"/>
      <c r="G14" s="70"/>
      <c r="H14" s="71"/>
      <c r="I14" s="18">
        <f>SUM(I10:I13)</f>
        <v>150000</v>
      </c>
      <c r="J14" s="20"/>
      <c r="K14" s="20"/>
      <c r="N14" s="22"/>
    </row>
    <row r="15" spans="1:14" ht="23.25" customHeight="1">
      <c r="A15" s="7"/>
      <c r="B15" s="7"/>
      <c r="C15" s="7"/>
      <c r="D15" s="7"/>
      <c r="E15" s="7"/>
      <c r="F15" s="7"/>
      <c r="G15" s="7"/>
      <c r="H15" s="23"/>
      <c r="I15" s="23"/>
    </row>
    <row r="16" spans="1:14">
      <c r="A16" s="8"/>
      <c r="B16" s="8"/>
      <c r="C16" s="8"/>
      <c r="D16" s="8"/>
      <c r="E16" s="8"/>
      <c r="F16" s="8"/>
      <c r="G16" s="8"/>
      <c r="H16" s="8"/>
      <c r="J16" s="24" t="s">
        <v>190</v>
      </c>
    </row>
    <row r="17" spans="1:14">
      <c r="A17" s="8"/>
      <c r="C17" s="24" t="s">
        <v>21</v>
      </c>
      <c r="D17" s="24"/>
      <c r="E17" s="24"/>
      <c r="F17" s="24"/>
      <c r="G17" s="8"/>
      <c r="H17" s="8"/>
      <c r="J17" s="24" t="s">
        <v>183</v>
      </c>
    </row>
    <row r="18" spans="1:14">
      <c r="A18" s="8"/>
      <c r="C18" s="24" t="s">
        <v>22</v>
      </c>
      <c r="D18" s="24"/>
      <c r="E18" s="24"/>
      <c r="F18" s="24"/>
      <c r="G18" s="8"/>
      <c r="H18" s="8"/>
      <c r="J18" s="24" t="s">
        <v>23</v>
      </c>
    </row>
    <row r="19" spans="1:14">
      <c r="A19" s="8"/>
      <c r="C19" s="24"/>
      <c r="D19" s="24"/>
      <c r="E19" s="24"/>
      <c r="F19" s="24"/>
      <c r="G19" s="8"/>
      <c r="H19" s="8"/>
      <c r="J19" s="25"/>
      <c r="N19" s="26"/>
    </row>
    <row r="20" spans="1:14">
      <c r="A20" s="8"/>
      <c r="C20" s="24"/>
      <c r="D20" s="24"/>
      <c r="E20" s="24"/>
      <c r="F20" s="24"/>
      <c r="G20" s="8"/>
      <c r="H20" s="8"/>
      <c r="J20" s="25"/>
    </row>
    <row r="21" spans="1:14">
      <c r="A21" s="8"/>
      <c r="C21" s="24"/>
      <c r="D21" s="24"/>
      <c r="E21" s="24"/>
      <c r="F21" s="24"/>
      <c r="G21" s="8"/>
      <c r="H21" s="8"/>
      <c r="J21" s="25"/>
    </row>
    <row r="22" spans="1:14">
      <c r="A22" s="8"/>
      <c r="C22" s="24"/>
      <c r="D22" s="24"/>
      <c r="E22" s="24"/>
      <c r="F22" s="24"/>
      <c r="G22" s="8"/>
      <c r="H22" s="8"/>
      <c r="J22" s="25"/>
    </row>
    <row r="23" spans="1:14">
      <c r="A23" s="8"/>
      <c r="C23" s="24"/>
      <c r="D23" s="24"/>
      <c r="E23" s="24"/>
      <c r="F23" s="24"/>
      <c r="G23" s="8"/>
      <c r="H23" s="8"/>
      <c r="J23" s="25"/>
    </row>
    <row r="24" spans="1:14" ht="15" customHeight="1">
      <c r="A24" s="8"/>
      <c r="C24" s="27" t="str">
        <f>Transpor_rapat!C253</f>
        <v>BADRUDDIN, S.Ag.</v>
      </c>
      <c r="D24" s="28"/>
      <c r="E24" s="28"/>
      <c r="F24" s="8"/>
      <c r="G24" s="8"/>
      <c r="J24" s="27" t="str">
        <f>Honor_penjaga!O423</f>
        <v>DEDE GUNAWAN, S.Pd</v>
      </c>
    </row>
    <row r="25" spans="1:14" ht="13.5" customHeight="1">
      <c r="A25" s="8"/>
      <c r="C25" s="43" t="str">
        <f>Transpor_rapat!C254</f>
        <v>NIP. 197405082014121002</v>
      </c>
      <c r="D25" s="25"/>
      <c r="E25" s="25"/>
      <c r="F25" s="8"/>
      <c r="G25" s="8"/>
      <c r="J25" s="43" t="str">
        <f>Honor_penjaga!O424</f>
        <v>NIP. 198507172020121003</v>
      </c>
    </row>
    <row r="26" spans="1:14" ht="15" customHeight="1">
      <c r="A26" s="8"/>
      <c r="C26" s="28"/>
      <c r="D26" s="28"/>
      <c r="E26" s="28"/>
      <c r="F26" s="28"/>
      <c r="G26" s="8"/>
      <c r="H26" s="8"/>
      <c r="J26" s="29"/>
    </row>
    <row r="27" spans="1:14" ht="13.5" customHeight="1"/>
    <row r="28" spans="1:14" ht="13.5" customHeight="1"/>
    <row r="29" spans="1:14" ht="13.5" customHeight="1"/>
    <row r="30" spans="1:14" ht="13.5" customHeight="1"/>
  </sheetData>
  <mergeCells count="9">
    <mergeCell ref="J12:J13"/>
    <mergeCell ref="K12:K13"/>
    <mergeCell ref="A14:H14"/>
    <mergeCell ref="A1:K1"/>
    <mergeCell ref="A2:K2"/>
    <mergeCell ref="B9:C9"/>
    <mergeCell ref="J9:K9"/>
    <mergeCell ref="J10:J11"/>
    <mergeCell ref="K10:K11"/>
  </mergeCells>
  <pageMargins left="1.06" right="0.99" top="1.1599999999999999" bottom="0.53" header="0.31496062992125984" footer="0.31496062992125984"/>
  <pageSetup paperSize="14" fitToHeight="0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3"/>
    <pageSetUpPr fitToPage="1"/>
  </sheetPr>
  <dimension ref="A1:P26"/>
  <sheetViews>
    <sheetView zoomScale="90" zoomScaleNormal="90" zoomScaleSheetLayoutView="80" workbookViewId="0">
      <selection activeCell="K11" sqref="K11"/>
    </sheetView>
  </sheetViews>
  <sheetFormatPr defaultRowHeight="11.5"/>
  <cols>
    <col min="1" max="1" width="4.453125" style="1" customWidth="1"/>
    <col min="2" max="2" width="7.453125" style="1" customWidth="1"/>
    <col min="3" max="3" width="21" style="1" customWidth="1"/>
    <col min="4" max="4" width="18.453125" style="1" customWidth="1"/>
    <col min="5" max="5" width="7.81640625" style="1" customWidth="1"/>
    <col min="6" max="6" width="3.7265625" style="1" customWidth="1"/>
    <col min="7" max="7" width="9.54296875" style="1" customWidth="1"/>
    <col min="8" max="8" width="10.7265625" style="1" customWidth="1"/>
    <col min="9" max="9" width="16.54296875" style="1" customWidth="1"/>
    <col min="10" max="10" width="16.453125" style="1" customWidth="1"/>
    <col min="11" max="11" width="17" style="1" customWidth="1"/>
    <col min="12" max="13" width="13.54296875" style="1" customWidth="1"/>
    <col min="14" max="14" width="5.54296875" style="1" customWidth="1"/>
    <col min="15" max="15" width="15.26953125" style="1" customWidth="1"/>
    <col min="16" max="16" width="35.26953125" style="2" customWidth="1"/>
    <col min="17" max="17" width="10.26953125" style="1" customWidth="1"/>
    <col min="18" max="18" width="12.54296875" style="1" customWidth="1"/>
    <col min="19" max="19" width="16" style="1" customWidth="1"/>
    <col min="20" max="20" width="16.54296875" style="1" customWidth="1"/>
    <col min="21" max="21" width="21.81640625" style="1" customWidth="1"/>
    <col min="22" max="252" width="9.1796875" style="1"/>
    <col min="253" max="253" width="7.81640625" style="1" customWidth="1"/>
    <col min="254" max="254" width="8.54296875" style="1" customWidth="1"/>
    <col min="255" max="255" width="20.1796875" style="1" customWidth="1"/>
    <col min="256" max="256" width="16.453125" style="1" customWidth="1"/>
    <col min="257" max="257" width="22.26953125" style="1" customWidth="1"/>
    <col min="258" max="258" width="17.81640625" style="1" customWidth="1"/>
    <col min="259" max="259" width="22.81640625" style="1" customWidth="1"/>
    <col min="260" max="260" width="25.453125" style="1" customWidth="1"/>
    <col min="261" max="262" width="6.7265625" style="1" customWidth="1"/>
    <col min="263" max="263" width="26.453125" style="1" customWidth="1"/>
    <col min="264" max="264" width="18.54296875" style="1" customWidth="1"/>
    <col min="265" max="265" width="29.81640625" style="1" customWidth="1"/>
    <col min="266" max="266" width="23.54296875" style="1" customWidth="1"/>
    <col min="267" max="267" width="31.453125" style="1" customWidth="1"/>
    <col min="268" max="508" width="9.1796875" style="1"/>
    <col min="509" max="509" width="7.81640625" style="1" customWidth="1"/>
    <col min="510" max="510" width="8.54296875" style="1" customWidth="1"/>
    <col min="511" max="511" width="20.1796875" style="1" customWidth="1"/>
    <col min="512" max="512" width="16.453125" style="1" customWidth="1"/>
    <col min="513" max="513" width="22.26953125" style="1" customWidth="1"/>
    <col min="514" max="514" width="17.81640625" style="1" customWidth="1"/>
    <col min="515" max="515" width="22.81640625" style="1" customWidth="1"/>
    <col min="516" max="516" width="25.453125" style="1" customWidth="1"/>
    <col min="517" max="518" width="6.7265625" style="1" customWidth="1"/>
    <col min="519" max="519" width="26.453125" style="1" customWidth="1"/>
    <col min="520" max="520" width="18.54296875" style="1" customWidth="1"/>
    <col min="521" max="521" width="29.81640625" style="1" customWidth="1"/>
    <col min="522" max="522" width="23.54296875" style="1" customWidth="1"/>
    <col min="523" max="523" width="31.453125" style="1" customWidth="1"/>
    <col min="524" max="764" width="9.1796875" style="1"/>
    <col min="765" max="765" width="7.81640625" style="1" customWidth="1"/>
    <col min="766" max="766" width="8.54296875" style="1" customWidth="1"/>
    <col min="767" max="767" width="20.1796875" style="1" customWidth="1"/>
    <col min="768" max="768" width="16.453125" style="1" customWidth="1"/>
    <col min="769" max="769" width="22.26953125" style="1" customWidth="1"/>
    <col min="770" max="770" width="17.81640625" style="1" customWidth="1"/>
    <col min="771" max="771" width="22.81640625" style="1" customWidth="1"/>
    <col min="772" max="772" width="25.453125" style="1" customWidth="1"/>
    <col min="773" max="774" width="6.7265625" style="1" customWidth="1"/>
    <col min="775" max="775" width="26.453125" style="1" customWidth="1"/>
    <col min="776" max="776" width="18.54296875" style="1" customWidth="1"/>
    <col min="777" max="777" width="29.81640625" style="1" customWidth="1"/>
    <col min="778" max="778" width="23.54296875" style="1" customWidth="1"/>
    <col min="779" max="779" width="31.453125" style="1" customWidth="1"/>
    <col min="780" max="1020" width="9.1796875" style="1"/>
    <col min="1021" max="1021" width="7.81640625" style="1" customWidth="1"/>
    <col min="1022" max="1022" width="8.54296875" style="1" customWidth="1"/>
    <col min="1023" max="1023" width="20.1796875" style="1" customWidth="1"/>
    <col min="1024" max="1024" width="16.453125" style="1" customWidth="1"/>
    <col min="1025" max="1025" width="22.26953125" style="1" customWidth="1"/>
    <col min="1026" max="1026" width="17.81640625" style="1" customWidth="1"/>
    <col min="1027" max="1027" width="22.81640625" style="1" customWidth="1"/>
    <col min="1028" max="1028" width="25.453125" style="1" customWidth="1"/>
    <col min="1029" max="1030" width="6.7265625" style="1" customWidth="1"/>
    <col min="1031" max="1031" width="26.453125" style="1" customWidth="1"/>
    <col min="1032" max="1032" width="18.54296875" style="1" customWidth="1"/>
    <col min="1033" max="1033" width="29.81640625" style="1" customWidth="1"/>
    <col min="1034" max="1034" width="23.54296875" style="1" customWidth="1"/>
    <col min="1035" max="1035" width="31.453125" style="1" customWidth="1"/>
    <col min="1036" max="1276" width="9.1796875" style="1"/>
    <col min="1277" max="1277" width="7.81640625" style="1" customWidth="1"/>
    <col min="1278" max="1278" width="8.54296875" style="1" customWidth="1"/>
    <col min="1279" max="1279" width="20.1796875" style="1" customWidth="1"/>
    <col min="1280" max="1280" width="16.453125" style="1" customWidth="1"/>
    <col min="1281" max="1281" width="22.26953125" style="1" customWidth="1"/>
    <col min="1282" max="1282" width="17.81640625" style="1" customWidth="1"/>
    <col min="1283" max="1283" width="22.81640625" style="1" customWidth="1"/>
    <col min="1284" max="1284" width="25.453125" style="1" customWidth="1"/>
    <col min="1285" max="1286" width="6.7265625" style="1" customWidth="1"/>
    <col min="1287" max="1287" width="26.453125" style="1" customWidth="1"/>
    <col min="1288" max="1288" width="18.54296875" style="1" customWidth="1"/>
    <col min="1289" max="1289" width="29.81640625" style="1" customWidth="1"/>
    <col min="1290" max="1290" width="23.54296875" style="1" customWidth="1"/>
    <col min="1291" max="1291" width="31.453125" style="1" customWidth="1"/>
    <col min="1292" max="1532" width="9.1796875" style="1"/>
    <col min="1533" max="1533" width="7.81640625" style="1" customWidth="1"/>
    <col min="1534" max="1534" width="8.54296875" style="1" customWidth="1"/>
    <col min="1535" max="1535" width="20.1796875" style="1" customWidth="1"/>
    <col min="1536" max="1536" width="16.453125" style="1" customWidth="1"/>
    <col min="1537" max="1537" width="22.26953125" style="1" customWidth="1"/>
    <col min="1538" max="1538" width="17.81640625" style="1" customWidth="1"/>
    <col min="1539" max="1539" width="22.81640625" style="1" customWidth="1"/>
    <col min="1540" max="1540" width="25.453125" style="1" customWidth="1"/>
    <col min="1541" max="1542" width="6.7265625" style="1" customWidth="1"/>
    <col min="1543" max="1543" width="26.453125" style="1" customWidth="1"/>
    <col min="1544" max="1544" width="18.54296875" style="1" customWidth="1"/>
    <col min="1545" max="1545" width="29.81640625" style="1" customWidth="1"/>
    <col min="1546" max="1546" width="23.54296875" style="1" customWidth="1"/>
    <col min="1547" max="1547" width="31.453125" style="1" customWidth="1"/>
    <col min="1548" max="1788" width="9.1796875" style="1"/>
    <col min="1789" max="1789" width="7.81640625" style="1" customWidth="1"/>
    <col min="1790" max="1790" width="8.54296875" style="1" customWidth="1"/>
    <col min="1791" max="1791" width="20.1796875" style="1" customWidth="1"/>
    <col min="1792" max="1792" width="16.453125" style="1" customWidth="1"/>
    <col min="1793" max="1793" width="22.26953125" style="1" customWidth="1"/>
    <col min="1794" max="1794" width="17.81640625" style="1" customWidth="1"/>
    <col min="1795" max="1795" width="22.81640625" style="1" customWidth="1"/>
    <col min="1796" max="1796" width="25.453125" style="1" customWidth="1"/>
    <col min="1797" max="1798" width="6.7265625" style="1" customWidth="1"/>
    <col min="1799" max="1799" width="26.453125" style="1" customWidth="1"/>
    <col min="1800" max="1800" width="18.54296875" style="1" customWidth="1"/>
    <col min="1801" max="1801" width="29.81640625" style="1" customWidth="1"/>
    <col min="1802" max="1802" width="23.54296875" style="1" customWidth="1"/>
    <col min="1803" max="1803" width="31.453125" style="1" customWidth="1"/>
    <col min="1804" max="2044" width="9.1796875" style="1"/>
    <col min="2045" max="2045" width="7.81640625" style="1" customWidth="1"/>
    <col min="2046" max="2046" width="8.54296875" style="1" customWidth="1"/>
    <col min="2047" max="2047" width="20.1796875" style="1" customWidth="1"/>
    <col min="2048" max="2048" width="16.453125" style="1" customWidth="1"/>
    <col min="2049" max="2049" width="22.26953125" style="1" customWidth="1"/>
    <col min="2050" max="2050" width="17.81640625" style="1" customWidth="1"/>
    <col min="2051" max="2051" width="22.81640625" style="1" customWidth="1"/>
    <col min="2052" max="2052" width="25.453125" style="1" customWidth="1"/>
    <col min="2053" max="2054" width="6.7265625" style="1" customWidth="1"/>
    <col min="2055" max="2055" width="26.453125" style="1" customWidth="1"/>
    <col min="2056" max="2056" width="18.54296875" style="1" customWidth="1"/>
    <col min="2057" max="2057" width="29.81640625" style="1" customWidth="1"/>
    <col min="2058" max="2058" width="23.54296875" style="1" customWidth="1"/>
    <col min="2059" max="2059" width="31.453125" style="1" customWidth="1"/>
    <col min="2060" max="2300" width="9.1796875" style="1"/>
    <col min="2301" max="2301" width="7.81640625" style="1" customWidth="1"/>
    <col min="2302" max="2302" width="8.54296875" style="1" customWidth="1"/>
    <col min="2303" max="2303" width="20.1796875" style="1" customWidth="1"/>
    <col min="2304" max="2304" width="16.453125" style="1" customWidth="1"/>
    <col min="2305" max="2305" width="22.26953125" style="1" customWidth="1"/>
    <col min="2306" max="2306" width="17.81640625" style="1" customWidth="1"/>
    <col min="2307" max="2307" width="22.81640625" style="1" customWidth="1"/>
    <col min="2308" max="2308" width="25.453125" style="1" customWidth="1"/>
    <col min="2309" max="2310" width="6.7265625" style="1" customWidth="1"/>
    <col min="2311" max="2311" width="26.453125" style="1" customWidth="1"/>
    <col min="2312" max="2312" width="18.54296875" style="1" customWidth="1"/>
    <col min="2313" max="2313" width="29.81640625" style="1" customWidth="1"/>
    <col min="2314" max="2314" width="23.54296875" style="1" customWidth="1"/>
    <col min="2315" max="2315" width="31.453125" style="1" customWidth="1"/>
    <col min="2316" max="2556" width="9.1796875" style="1"/>
    <col min="2557" max="2557" width="7.81640625" style="1" customWidth="1"/>
    <col min="2558" max="2558" width="8.54296875" style="1" customWidth="1"/>
    <col min="2559" max="2559" width="20.1796875" style="1" customWidth="1"/>
    <col min="2560" max="2560" width="16.453125" style="1" customWidth="1"/>
    <col min="2561" max="2561" width="22.26953125" style="1" customWidth="1"/>
    <col min="2562" max="2562" width="17.81640625" style="1" customWidth="1"/>
    <col min="2563" max="2563" width="22.81640625" style="1" customWidth="1"/>
    <col min="2564" max="2564" width="25.453125" style="1" customWidth="1"/>
    <col min="2565" max="2566" width="6.7265625" style="1" customWidth="1"/>
    <col min="2567" max="2567" width="26.453125" style="1" customWidth="1"/>
    <col min="2568" max="2568" width="18.54296875" style="1" customWidth="1"/>
    <col min="2569" max="2569" width="29.81640625" style="1" customWidth="1"/>
    <col min="2570" max="2570" width="23.54296875" style="1" customWidth="1"/>
    <col min="2571" max="2571" width="31.453125" style="1" customWidth="1"/>
    <col min="2572" max="2812" width="9.1796875" style="1"/>
    <col min="2813" max="2813" width="7.81640625" style="1" customWidth="1"/>
    <col min="2814" max="2814" width="8.54296875" style="1" customWidth="1"/>
    <col min="2815" max="2815" width="20.1796875" style="1" customWidth="1"/>
    <col min="2816" max="2816" width="16.453125" style="1" customWidth="1"/>
    <col min="2817" max="2817" width="22.26953125" style="1" customWidth="1"/>
    <col min="2818" max="2818" width="17.81640625" style="1" customWidth="1"/>
    <col min="2819" max="2819" width="22.81640625" style="1" customWidth="1"/>
    <col min="2820" max="2820" width="25.453125" style="1" customWidth="1"/>
    <col min="2821" max="2822" width="6.7265625" style="1" customWidth="1"/>
    <col min="2823" max="2823" width="26.453125" style="1" customWidth="1"/>
    <col min="2824" max="2824" width="18.54296875" style="1" customWidth="1"/>
    <col min="2825" max="2825" width="29.81640625" style="1" customWidth="1"/>
    <col min="2826" max="2826" width="23.54296875" style="1" customWidth="1"/>
    <col min="2827" max="2827" width="31.453125" style="1" customWidth="1"/>
    <col min="2828" max="3068" width="9.1796875" style="1"/>
    <col min="3069" max="3069" width="7.81640625" style="1" customWidth="1"/>
    <col min="3070" max="3070" width="8.54296875" style="1" customWidth="1"/>
    <col min="3071" max="3071" width="20.1796875" style="1" customWidth="1"/>
    <col min="3072" max="3072" width="16.453125" style="1" customWidth="1"/>
    <col min="3073" max="3073" width="22.26953125" style="1" customWidth="1"/>
    <col min="3074" max="3074" width="17.81640625" style="1" customWidth="1"/>
    <col min="3075" max="3075" width="22.81640625" style="1" customWidth="1"/>
    <col min="3076" max="3076" width="25.453125" style="1" customWidth="1"/>
    <col min="3077" max="3078" width="6.7265625" style="1" customWidth="1"/>
    <col min="3079" max="3079" width="26.453125" style="1" customWidth="1"/>
    <col min="3080" max="3080" width="18.54296875" style="1" customWidth="1"/>
    <col min="3081" max="3081" width="29.81640625" style="1" customWidth="1"/>
    <col min="3082" max="3082" width="23.54296875" style="1" customWidth="1"/>
    <col min="3083" max="3083" width="31.453125" style="1" customWidth="1"/>
    <col min="3084" max="3324" width="9.1796875" style="1"/>
    <col min="3325" max="3325" width="7.81640625" style="1" customWidth="1"/>
    <col min="3326" max="3326" width="8.54296875" style="1" customWidth="1"/>
    <col min="3327" max="3327" width="20.1796875" style="1" customWidth="1"/>
    <col min="3328" max="3328" width="16.453125" style="1" customWidth="1"/>
    <col min="3329" max="3329" width="22.26953125" style="1" customWidth="1"/>
    <col min="3330" max="3330" width="17.81640625" style="1" customWidth="1"/>
    <col min="3331" max="3331" width="22.81640625" style="1" customWidth="1"/>
    <col min="3332" max="3332" width="25.453125" style="1" customWidth="1"/>
    <col min="3333" max="3334" width="6.7265625" style="1" customWidth="1"/>
    <col min="3335" max="3335" width="26.453125" style="1" customWidth="1"/>
    <col min="3336" max="3336" width="18.54296875" style="1" customWidth="1"/>
    <col min="3337" max="3337" width="29.81640625" style="1" customWidth="1"/>
    <col min="3338" max="3338" width="23.54296875" style="1" customWidth="1"/>
    <col min="3339" max="3339" width="31.453125" style="1" customWidth="1"/>
    <col min="3340" max="3580" width="9.1796875" style="1"/>
    <col min="3581" max="3581" width="7.81640625" style="1" customWidth="1"/>
    <col min="3582" max="3582" width="8.54296875" style="1" customWidth="1"/>
    <col min="3583" max="3583" width="20.1796875" style="1" customWidth="1"/>
    <col min="3584" max="3584" width="16.453125" style="1" customWidth="1"/>
    <col min="3585" max="3585" width="22.26953125" style="1" customWidth="1"/>
    <col min="3586" max="3586" width="17.81640625" style="1" customWidth="1"/>
    <col min="3587" max="3587" width="22.81640625" style="1" customWidth="1"/>
    <col min="3588" max="3588" width="25.453125" style="1" customWidth="1"/>
    <col min="3589" max="3590" width="6.7265625" style="1" customWidth="1"/>
    <col min="3591" max="3591" width="26.453125" style="1" customWidth="1"/>
    <col min="3592" max="3592" width="18.54296875" style="1" customWidth="1"/>
    <col min="3593" max="3593" width="29.81640625" style="1" customWidth="1"/>
    <col min="3594" max="3594" width="23.54296875" style="1" customWidth="1"/>
    <col min="3595" max="3595" width="31.453125" style="1" customWidth="1"/>
    <col min="3596" max="3836" width="9.1796875" style="1"/>
    <col min="3837" max="3837" width="7.81640625" style="1" customWidth="1"/>
    <col min="3838" max="3838" width="8.54296875" style="1" customWidth="1"/>
    <col min="3839" max="3839" width="20.1796875" style="1" customWidth="1"/>
    <col min="3840" max="3840" width="16.453125" style="1" customWidth="1"/>
    <col min="3841" max="3841" width="22.26953125" style="1" customWidth="1"/>
    <col min="3842" max="3842" width="17.81640625" style="1" customWidth="1"/>
    <col min="3843" max="3843" width="22.81640625" style="1" customWidth="1"/>
    <col min="3844" max="3844" width="25.453125" style="1" customWidth="1"/>
    <col min="3845" max="3846" width="6.7265625" style="1" customWidth="1"/>
    <col min="3847" max="3847" width="26.453125" style="1" customWidth="1"/>
    <col min="3848" max="3848" width="18.54296875" style="1" customWidth="1"/>
    <col min="3849" max="3849" width="29.81640625" style="1" customWidth="1"/>
    <col min="3850" max="3850" width="23.54296875" style="1" customWidth="1"/>
    <col min="3851" max="3851" width="31.453125" style="1" customWidth="1"/>
    <col min="3852" max="4092" width="9.1796875" style="1"/>
    <col min="4093" max="4093" width="7.81640625" style="1" customWidth="1"/>
    <col min="4094" max="4094" width="8.54296875" style="1" customWidth="1"/>
    <col min="4095" max="4095" width="20.1796875" style="1" customWidth="1"/>
    <col min="4096" max="4096" width="16.453125" style="1" customWidth="1"/>
    <col min="4097" max="4097" width="22.26953125" style="1" customWidth="1"/>
    <col min="4098" max="4098" width="17.81640625" style="1" customWidth="1"/>
    <col min="4099" max="4099" width="22.81640625" style="1" customWidth="1"/>
    <col min="4100" max="4100" width="25.453125" style="1" customWidth="1"/>
    <col min="4101" max="4102" width="6.7265625" style="1" customWidth="1"/>
    <col min="4103" max="4103" width="26.453125" style="1" customWidth="1"/>
    <col min="4104" max="4104" width="18.54296875" style="1" customWidth="1"/>
    <col min="4105" max="4105" width="29.81640625" style="1" customWidth="1"/>
    <col min="4106" max="4106" width="23.54296875" style="1" customWidth="1"/>
    <col min="4107" max="4107" width="31.453125" style="1" customWidth="1"/>
    <col min="4108" max="4348" width="9.1796875" style="1"/>
    <col min="4349" max="4349" width="7.81640625" style="1" customWidth="1"/>
    <col min="4350" max="4350" width="8.54296875" style="1" customWidth="1"/>
    <col min="4351" max="4351" width="20.1796875" style="1" customWidth="1"/>
    <col min="4352" max="4352" width="16.453125" style="1" customWidth="1"/>
    <col min="4353" max="4353" width="22.26953125" style="1" customWidth="1"/>
    <col min="4354" max="4354" width="17.81640625" style="1" customWidth="1"/>
    <col min="4355" max="4355" width="22.81640625" style="1" customWidth="1"/>
    <col min="4356" max="4356" width="25.453125" style="1" customWidth="1"/>
    <col min="4357" max="4358" width="6.7265625" style="1" customWidth="1"/>
    <col min="4359" max="4359" width="26.453125" style="1" customWidth="1"/>
    <col min="4360" max="4360" width="18.54296875" style="1" customWidth="1"/>
    <col min="4361" max="4361" width="29.81640625" style="1" customWidth="1"/>
    <col min="4362" max="4362" width="23.54296875" style="1" customWidth="1"/>
    <col min="4363" max="4363" width="31.453125" style="1" customWidth="1"/>
    <col min="4364" max="4604" width="9.1796875" style="1"/>
    <col min="4605" max="4605" width="7.81640625" style="1" customWidth="1"/>
    <col min="4606" max="4606" width="8.54296875" style="1" customWidth="1"/>
    <col min="4607" max="4607" width="20.1796875" style="1" customWidth="1"/>
    <col min="4608" max="4608" width="16.453125" style="1" customWidth="1"/>
    <col min="4609" max="4609" width="22.26953125" style="1" customWidth="1"/>
    <col min="4610" max="4610" width="17.81640625" style="1" customWidth="1"/>
    <col min="4611" max="4611" width="22.81640625" style="1" customWidth="1"/>
    <col min="4612" max="4612" width="25.453125" style="1" customWidth="1"/>
    <col min="4613" max="4614" width="6.7265625" style="1" customWidth="1"/>
    <col min="4615" max="4615" width="26.453125" style="1" customWidth="1"/>
    <col min="4616" max="4616" width="18.54296875" style="1" customWidth="1"/>
    <col min="4617" max="4617" width="29.81640625" style="1" customWidth="1"/>
    <col min="4618" max="4618" width="23.54296875" style="1" customWidth="1"/>
    <col min="4619" max="4619" width="31.453125" style="1" customWidth="1"/>
    <col min="4620" max="4860" width="9.1796875" style="1"/>
    <col min="4861" max="4861" width="7.81640625" style="1" customWidth="1"/>
    <col min="4862" max="4862" width="8.54296875" style="1" customWidth="1"/>
    <col min="4863" max="4863" width="20.1796875" style="1" customWidth="1"/>
    <col min="4864" max="4864" width="16.453125" style="1" customWidth="1"/>
    <col min="4865" max="4865" width="22.26953125" style="1" customWidth="1"/>
    <col min="4866" max="4866" width="17.81640625" style="1" customWidth="1"/>
    <col min="4867" max="4867" width="22.81640625" style="1" customWidth="1"/>
    <col min="4868" max="4868" width="25.453125" style="1" customWidth="1"/>
    <col min="4869" max="4870" width="6.7265625" style="1" customWidth="1"/>
    <col min="4871" max="4871" width="26.453125" style="1" customWidth="1"/>
    <col min="4872" max="4872" width="18.54296875" style="1" customWidth="1"/>
    <col min="4873" max="4873" width="29.81640625" style="1" customWidth="1"/>
    <col min="4874" max="4874" width="23.54296875" style="1" customWidth="1"/>
    <col min="4875" max="4875" width="31.453125" style="1" customWidth="1"/>
    <col min="4876" max="5116" width="9.1796875" style="1"/>
    <col min="5117" max="5117" width="7.81640625" style="1" customWidth="1"/>
    <col min="5118" max="5118" width="8.54296875" style="1" customWidth="1"/>
    <col min="5119" max="5119" width="20.1796875" style="1" customWidth="1"/>
    <col min="5120" max="5120" width="16.453125" style="1" customWidth="1"/>
    <col min="5121" max="5121" width="22.26953125" style="1" customWidth="1"/>
    <col min="5122" max="5122" width="17.81640625" style="1" customWidth="1"/>
    <col min="5123" max="5123" width="22.81640625" style="1" customWidth="1"/>
    <col min="5124" max="5124" width="25.453125" style="1" customWidth="1"/>
    <col min="5125" max="5126" width="6.7265625" style="1" customWidth="1"/>
    <col min="5127" max="5127" width="26.453125" style="1" customWidth="1"/>
    <col min="5128" max="5128" width="18.54296875" style="1" customWidth="1"/>
    <col min="5129" max="5129" width="29.81640625" style="1" customWidth="1"/>
    <col min="5130" max="5130" width="23.54296875" style="1" customWidth="1"/>
    <col min="5131" max="5131" width="31.453125" style="1" customWidth="1"/>
    <col min="5132" max="5372" width="9.1796875" style="1"/>
    <col min="5373" max="5373" width="7.81640625" style="1" customWidth="1"/>
    <col min="5374" max="5374" width="8.54296875" style="1" customWidth="1"/>
    <col min="5375" max="5375" width="20.1796875" style="1" customWidth="1"/>
    <col min="5376" max="5376" width="16.453125" style="1" customWidth="1"/>
    <col min="5377" max="5377" width="22.26953125" style="1" customWidth="1"/>
    <col min="5378" max="5378" width="17.81640625" style="1" customWidth="1"/>
    <col min="5379" max="5379" width="22.81640625" style="1" customWidth="1"/>
    <col min="5380" max="5380" width="25.453125" style="1" customWidth="1"/>
    <col min="5381" max="5382" width="6.7265625" style="1" customWidth="1"/>
    <col min="5383" max="5383" width="26.453125" style="1" customWidth="1"/>
    <col min="5384" max="5384" width="18.54296875" style="1" customWidth="1"/>
    <col min="5385" max="5385" width="29.81640625" style="1" customWidth="1"/>
    <col min="5386" max="5386" width="23.54296875" style="1" customWidth="1"/>
    <col min="5387" max="5387" width="31.453125" style="1" customWidth="1"/>
    <col min="5388" max="5628" width="9.1796875" style="1"/>
    <col min="5629" max="5629" width="7.81640625" style="1" customWidth="1"/>
    <col min="5630" max="5630" width="8.54296875" style="1" customWidth="1"/>
    <col min="5631" max="5631" width="20.1796875" style="1" customWidth="1"/>
    <col min="5632" max="5632" width="16.453125" style="1" customWidth="1"/>
    <col min="5633" max="5633" width="22.26953125" style="1" customWidth="1"/>
    <col min="5634" max="5634" width="17.81640625" style="1" customWidth="1"/>
    <col min="5635" max="5635" width="22.81640625" style="1" customWidth="1"/>
    <col min="5636" max="5636" width="25.453125" style="1" customWidth="1"/>
    <col min="5637" max="5638" width="6.7265625" style="1" customWidth="1"/>
    <col min="5639" max="5639" width="26.453125" style="1" customWidth="1"/>
    <col min="5640" max="5640" width="18.54296875" style="1" customWidth="1"/>
    <col min="5641" max="5641" width="29.81640625" style="1" customWidth="1"/>
    <col min="5642" max="5642" width="23.54296875" style="1" customWidth="1"/>
    <col min="5643" max="5643" width="31.453125" style="1" customWidth="1"/>
    <col min="5644" max="5884" width="9.1796875" style="1"/>
    <col min="5885" max="5885" width="7.81640625" style="1" customWidth="1"/>
    <col min="5886" max="5886" width="8.54296875" style="1" customWidth="1"/>
    <col min="5887" max="5887" width="20.1796875" style="1" customWidth="1"/>
    <col min="5888" max="5888" width="16.453125" style="1" customWidth="1"/>
    <col min="5889" max="5889" width="22.26953125" style="1" customWidth="1"/>
    <col min="5890" max="5890" width="17.81640625" style="1" customWidth="1"/>
    <col min="5891" max="5891" width="22.81640625" style="1" customWidth="1"/>
    <col min="5892" max="5892" width="25.453125" style="1" customWidth="1"/>
    <col min="5893" max="5894" width="6.7265625" style="1" customWidth="1"/>
    <col min="5895" max="5895" width="26.453125" style="1" customWidth="1"/>
    <col min="5896" max="5896" width="18.54296875" style="1" customWidth="1"/>
    <col min="5897" max="5897" width="29.81640625" style="1" customWidth="1"/>
    <col min="5898" max="5898" width="23.54296875" style="1" customWidth="1"/>
    <col min="5899" max="5899" width="31.453125" style="1" customWidth="1"/>
    <col min="5900" max="6140" width="9.1796875" style="1"/>
    <col min="6141" max="6141" width="7.81640625" style="1" customWidth="1"/>
    <col min="6142" max="6142" width="8.54296875" style="1" customWidth="1"/>
    <col min="6143" max="6143" width="20.1796875" style="1" customWidth="1"/>
    <col min="6144" max="6144" width="16.453125" style="1" customWidth="1"/>
    <col min="6145" max="6145" width="22.26953125" style="1" customWidth="1"/>
    <col min="6146" max="6146" width="17.81640625" style="1" customWidth="1"/>
    <col min="6147" max="6147" width="22.81640625" style="1" customWidth="1"/>
    <col min="6148" max="6148" width="25.453125" style="1" customWidth="1"/>
    <col min="6149" max="6150" width="6.7265625" style="1" customWidth="1"/>
    <col min="6151" max="6151" width="26.453125" style="1" customWidth="1"/>
    <col min="6152" max="6152" width="18.54296875" style="1" customWidth="1"/>
    <col min="6153" max="6153" width="29.81640625" style="1" customWidth="1"/>
    <col min="6154" max="6154" width="23.54296875" style="1" customWidth="1"/>
    <col min="6155" max="6155" width="31.453125" style="1" customWidth="1"/>
    <col min="6156" max="6396" width="9.1796875" style="1"/>
    <col min="6397" max="6397" width="7.81640625" style="1" customWidth="1"/>
    <col min="6398" max="6398" width="8.54296875" style="1" customWidth="1"/>
    <col min="6399" max="6399" width="20.1796875" style="1" customWidth="1"/>
    <col min="6400" max="6400" width="16.453125" style="1" customWidth="1"/>
    <col min="6401" max="6401" width="22.26953125" style="1" customWidth="1"/>
    <col min="6402" max="6402" width="17.81640625" style="1" customWidth="1"/>
    <col min="6403" max="6403" width="22.81640625" style="1" customWidth="1"/>
    <col min="6404" max="6404" width="25.453125" style="1" customWidth="1"/>
    <col min="6405" max="6406" width="6.7265625" style="1" customWidth="1"/>
    <col min="6407" max="6407" width="26.453125" style="1" customWidth="1"/>
    <col min="6408" max="6408" width="18.54296875" style="1" customWidth="1"/>
    <col min="6409" max="6409" width="29.81640625" style="1" customWidth="1"/>
    <col min="6410" max="6410" width="23.54296875" style="1" customWidth="1"/>
    <col min="6411" max="6411" width="31.453125" style="1" customWidth="1"/>
    <col min="6412" max="6652" width="9.1796875" style="1"/>
    <col min="6653" max="6653" width="7.81640625" style="1" customWidth="1"/>
    <col min="6654" max="6654" width="8.54296875" style="1" customWidth="1"/>
    <col min="6655" max="6655" width="20.1796875" style="1" customWidth="1"/>
    <col min="6656" max="6656" width="16.453125" style="1" customWidth="1"/>
    <col min="6657" max="6657" width="22.26953125" style="1" customWidth="1"/>
    <col min="6658" max="6658" width="17.81640625" style="1" customWidth="1"/>
    <col min="6659" max="6659" width="22.81640625" style="1" customWidth="1"/>
    <col min="6660" max="6660" width="25.453125" style="1" customWidth="1"/>
    <col min="6661" max="6662" width="6.7265625" style="1" customWidth="1"/>
    <col min="6663" max="6663" width="26.453125" style="1" customWidth="1"/>
    <col min="6664" max="6664" width="18.54296875" style="1" customWidth="1"/>
    <col min="6665" max="6665" width="29.81640625" style="1" customWidth="1"/>
    <col min="6666" max="6666" width="23.54296875" style="1" customWidth="1"/>
    <col min="6667" max="6667" width="31.453125" style="1" customWidth="1"/>
    <col min="6668" max="6908" width="9.1796875" style="1"/>
    <col min="6909" max="6909" width="7.81640625" style="1" customWidth="1"/>
    <col min="6910" max="6910" width="8.54296875" style="1" customWidth="1"/>
    <col min="6911" max="6911" width="20.1796875" style="1" customWidth="1"/>
    <col min="6912" max="6912" width="16.453125" style="1" customWidth="1"/>
    <col min="6913" max="6913" width="22.26953125" style="1" customWidth="1"/>
    <col min="6914" max="6914" width="17.81640625" style="1" customWidth="1"/>
    <col min="6915" max="6915" width="22.81640625" style="1" customWidth="1"/>
    <col min="6916" max="6916" width="25.453125" style="1" customWidth="1"/>
    <col min="6917" max="6918" width="6.7265625" style="1" customWidth="1"/>
    <col min="6919" max="6919" width="26.453125" style="1" customWidth="1"/>
    <col min="6920" max="6920" width="18.54296875" style="1" customWidth="1"/>
    <col min="6921" max="6921" width="29.81640625" style="1" customWidth="1"/>
    <col min="6922" max="6922" width="23.54296875" style="1" customWidth="1"/>
    <col min="6923" max="6923" width="31.453125" style="1" customWidth="1"/>
    <col min="6924" max="7164" width="9.1796875" style="1"/>
    <col min="7165" max="7165" width="7.81640625" style="1" customWidth="1"/>
    <col min="7166" max="7166" width="8.54296875" style="1" customWidth="1"/>
    <col min="7167" max="7167" width="20.1796875" style="1" customWidth="1"/>
    <col min="7168" max="7168" width="16.453125" style="1" customWidth="1"/>
    <col min="7169" max="7169" width="22.26953125" style="1" customWidth="1"/>
    <col min="7170" max="7170" width="17.81640625" style="1" customWidth="1"/>
    <col min="7171" max="7171" width="22.81640625" style="1" customWidth="1"/>
    <col min="7172" max="7172" width="25.453125" style="1" customWidth="1"/>
    <col min="7173" max="7174" width="6.7265625" style="1" customWidth="1"/>
    <col min="7175" max="7175" width="26.453125" style="1" customWidth="1"/>
    <col min="7176" max="7176" width="18.54296875" style="1" customWidth="1"/>
    <col min="7177" max="7177" width="29.81640625" style="1" customWidth="1"/>
    <col min="7178" max="7178" width="23.54296875" style="1" customWidth="1"/>
    <col min="7179" max="7179" width="31.453125" style="1" customWidth="1"/>
    <col min="7180" max="7420" width="9.1796875" style="1"/>
    <col min="7421" max="7421" width="7.81640625" style="1" customWidth="1"/>
    <col min="7422" max="7422" width="8.54296875" style="1" customWidth="1"/>
    <col min="7423" max="7423" width="20.1796875" style="1" customWidth="1"/>
    <col min="7424" max="7424" width="16.453125" style="1" customWidth="1"/>
    <col min="7425" max="7425" width="22.26953125" style="1" customWidth="1"/>
    <col min="7426" max="7426" width="17.81640625" style="1" customWidth="1"/>
    <col min="7427" max="7427" width="22.81640625" style="1" customWidth="1"/>
    <col min="7428" max="7428" width="25.453125" style="1" customWidth="1"/>
    <col min="7429" max="7430" width="6.7265625" style="1" customWidth="1"/>
    <col min="7431" max="7431" width="26.453125" style="1" customWidth="1"/>
    <col min="7432" max="7432" width="18.54296875" style="1" customWidth="1"/>
    <col min="7433" max="7433" width="29.81640625" style="1" customWidth="1"/>
    <col min="7434" max="7434" width="23.54296875" style="1" customWidth="1"/>
    <col min="7435" max="7435" width="31.453125" style="1" customWidth="1"/>
    <col min="7436" max="7676" width="9.1796875" style="1"/>
    <col min="7677" max="7677" width="7.81640625" style="1" customWidth="1"/>
    <col min="7678" max="7678" width="8.54296875" style="1" customWidth="1"/>
    <col min="7679" max="7679" width="20.1796875" style="1" customWidth="1"/>
    <col min="7680" max="7680" width="16.453125" style="1" customWidth="1"/>
    <col min="7681" max="7681" width="22.26953125" style="1" customWidth="1"/>
    <col min="7682" max="7682" width="17.81640625" style="1" customWidth="1"/>
    <col min="7683" max="7683" width="22.81640625" style="1" customWidth="1"/>
    <col min="7684" max="7684" width="25.453125" style="1" customWidth="1"/>
    <col min="7685" max="7686" width="6.7265625" style="1" customWidth="1"/>
    <col min="7687" max="7687" width="26.453125" style="1" customWidth="1"/>
    <col min="7688" max="7688" width="18.54296875" style="1" customWidth="1"/>
    <col min="7689" max="7689" width="29.81640625" style="1" customWidth="1"/>
    <col min="7690" max="7690" width="23.54296875" style="1" customWidth="1"/>
    <col min="7691" max="7691" width="31.453125" style="1" customWidth="1"/>
    <col min="7692" max="7932" width="9.1796875" style="1"/>
    <col min="7933" max="7933" width="7.81640625" style="1" customWidth="1"/>
    <col min="7934" max="7934" width="8.54296875" style="1" customWidth="1"/>
    <col min="7935" max="7935" width="20.1796875" style="1" customWidth="1"/>
    <col min="7936" max="7936" width="16.453125" style="1" customWidth="1"/>
    <col min="7937" max="7937" width="22.26953125" style="1" customWidth="1"/>
    <col min="7938" max="7938" width="17.81640625" style="1" customWidth="1"/>
    <col min="7939" max="7939" width="22.81640625" style="1" customWidth="1"/>
    <col min="7940" max="7940" width="25.453125" style="1" customWidth="1"/>
    <col min="7941" max="7942" width="6.7265625" style="1" customWidth="1"/>
    <col min="7943" max="7943" width="26.453125" style="1" customWidth="1"/>
    <col min="7944" max="7944" width="18.54296875" style="1" customWidth="1"/>
    <col min="7945" max="7945" width="29.81640625" style="1" customWidth="1"/>
    <col min="7946" max="7946" width="23.54296875" style="1" customWidth="1"/>
    <col min="7947" max="7947" width="31.453125" style="1" customWidth="1"/>
    <col min="7948" max="8188" width="9.1796875" style="1"/>
    <col min="8189" max="8189" width="7.81640625" style="1" customWidth="1"/>
    <col min="8190" max="8190" width="8.54296875" style="1" customWidth="1"/>
    <col min="8191" max="8191" width="20.1796875" style="1" customWidth="1"/>
    <col min="8192" max="8192" width="16.453125" style="1" customWidth="1"/>
    <col min="8193" max="8193" width="22.26953125" style="1" customWidth="1"/>
    <col min="8194" max="8194" width="17.81640625" style="1" customWidth="1"/>
    <col min="8195" max="8195" width="22.81640625" style="1" customWidth="1"/>
    <col min="8196" max="8196" width="25.453125" style="1" customWidth="1"/>
    <col min="8197" max="8198" width="6.7265625" style="1" customWidth="1"/>
    <col min="8199" max="8199" width="26.453125" style="1" customWidth="1"/>
    <col min="8200" max="8200" width="18.54296875" style="1" customWidth="1"/>
    <col min="8201" max="8201" width="29.81640625" style="1" customWidth="1"/>
    <col min="8202" max="8202" width="23.54296875" style="1" customWidth="1"/>
    <col min="8203" max="8203" width="31.453125" style="1" customWidth="1"/>
    <col min="8204" max="8444" width="9.1796875" style="1"/>
    <col min="8445" max="8445" width="7.81640625" style="1" customWidth="1"/>
    <col min="8446" max="8446" width="8.54296875" style="1" customWidth="1"/>
    <col min="8447" max="8447" width="20.1796875" style="1" customWidth="1"/>
    <col min="8448" max="8448" width="16.453125" style="1" customWidth="1"/>
    <col min="8449" max="8449" width="22.26953125" style="1" customWidth="1"/>
    <col min="8450" max="8450" width="17.81640625" style="1" customWidth="1"/>
    <col min="8451" max="8451" width="22.81640625" style="1" customWidth="1"/>
    <col min="8452" max="8452" width="25.453125" style="1" customWidth="1"/>
    <col min="8453" max="8454" width="6.7265625" style="1" customWidth="1"/>
    <col min="8455" max="8455" width="26.453125" style="1" customWidth="1"/>
    <col min="8456" max="8456" width="18.54296875" style="1" customWidth="1"/>
    <col min="8457" max="8457" width="29.81640625" style="1" customWidth="1"/>
    <col min="8458" max="8458" width="23.54296875" style="1" customWidth="1"/>
    <col min="8459" max="8459" width="31.453125" style="1" customWidth="1"/>
    <col min="8460" max="8700" width="9.1796875" style="1"/>
    <col min="8701" max="8701" width="7.81640625" style="1" customWidth="1"/>
    <col min="8702" max="8702" width="8.54296875" style="1" customWidth="1"/>
    <col min="8703" max="8703" width="20.1796875" style="1" customWidth="1"/>
    <col min="8704" max="8704" width="16.453125" style="1" customWidth="1"/>
    <col min="8705" max="8705" width="22.26953125" style="1" customWidth="1"/>
    <col min="8706" max="8706" width="17.81640625" style="1" customWidth="1"/>
    <col min="8707" max="8707" width="22.81640625" style="1" customWidth="1"/>
    <col min="8708" max="8708" width="25.453125" style="1" customWidth="1"/>
    <col min="8709" max="8710" width="6.7265625" style="1" customWidth="1"/>
    <col min="8711" max="8711" width="26.453125" style="1" customWidth="1"/>
    <col min="8712" max="8712" width="18.54296875" style="1" customWidth="1"/>
    <col min="8713" max="8713" width="29.81640625" style="1" customWidth="1"/>
    <col min="8714" max="8714" width="23.54296875" style="1" customWidth="1"/>
    <col min="8715" max="8715" width="31.453125" style="1" customWidth="1"/>
    <col min="8716" max="8956" width="9.1796875" style="1"/>
    <col min="8957" max="8957" width="7.81640625" style="1" customWidth="1"/>
    <col min="8958" max="8958" width="8.54296875" style="1" customWidth="1"/>
    <col min="8959" max="8959" width="20.1796875" style="1" customWidth="1"/>
    <col min="8960" max="8960" width="16.453125" style="1" customWidth="1"/>
    <col min="8961" max="8961" width="22.26953125" style="1" customWidth="1"/>
    <col min="8962" max="8962" width="17.81640625" style="1" customWidth="1"/>
    <col min="8963" max="8963" width="22.81640625" style="1" customWidth="1"/>
    <col min="8964" max="8964" width="25.453125" style="1" customWidth="1"/>
    <col min="8965" max="8966" width="6.7265625" style="1" customWidth="1"/>
    <col min="8967" max="8967" width="26.453125" style="1" customWidth="1"/>
    <col min="8968" max="8968" width="18.54296875" style="1" customWidth="1"/>
    <col min="8969" max="8969" width="29.81640625" style="1" customWidth="1"/>
    <col min="8970" max="8970" width="23.54296875" style="1" customWidth="1"/>
    <col min="8971" max="8971" width="31.453125" style="1" customWidth="1"/>
    <col min="8972" max="9212" width="9.1796875" style="1"/>
    <col min="9213" max="9213" width="7.81640625" style="1" customWidth="1"/>
    <col min="9214" max="9214" width="8.54296875" style="1" customWidth="1"/>
    <col min="9215" max="9215" width="20.1796875" style="1" customWidth="1"/>
    <col min="9216" max="9216" width="16.453125" style="1" customWidth="1"/>
    <col min="9217" max="9217" width="22.26953125" style="1" customWidth="1"/>
    <col min="9218" max="9218" width="17.81640625" style="1" customWidth="1"/>
    <col min="9219" max="9219" width="22.81640625" style="1" customWidth="1"/>
    <col min="9220" max="9220" width="25.453125" style="1" customWidth="1"/>
    <col min="9221" max="9222" width="6.7265625" style="1" customWidth="1"/>
    <col min="9223" max="9223" width="26.453125" style="1" customWidth="1"/>
    <col min="9224" max="9224" width="18.54296875" style="1" customWidth="1"/>
    <col min="9225" max="9225" width="29.81640625" style="1" customWidth="1"/>
    <col min="9226" max="9226" width="23.54296875" style="1" customWidth="1"/>
    <col min="9227" max="9227" width="31.453125" style="1" customWidth="1"/>
    <col min="9228" max="9468" width="9.1796875" style="1"/>
    <col min="9469" max="9469" width="7.81640625" style="1" customWidth="1"/>
    <col min="9470" max="9470" width="8.54296875" style="1" customWidth="1"/>
    <col min="9471" max="9471" width="20.1796875" style="1" customWidth="1"/>
    <col min="9472" max="9472" width="16.453125" style="1" customWidth="1"/>
    <col min="9473" max="9473" width="22.26953125" style="1" customWidth="1"/>
    <col min="9474" max="9474" width="17.81640625" style="1" customWidth="1"/>
    <col min="9475" max="9475" width="22.81640625" style="1" customWidth="1"/>
    <col min="9476" max="9476" width="25.453125" style="1" customWidth="1"/>
    <col min="9477" max="9478" width="6.7265625" style="1" customWidth="1"/>
    <col min="9479" max="9479" width="26.453125" style="1" customWidth="1"/>
    <col min="9480" max="9480" width="18.54296875" style="1" customWidth="1"/>
    <col min="9481" max="9481" width="29.81640625" style="1" customWidth="1"/>
    <col min="9482" max="9482" width="23.54296875" style="1" customWidth="1"/>
    <col min="9483" max="9483" width="31.453125" style="1" customWidth="1"/>
    <col min="9484" max="9724" width="9.1796875" style="1"/>
    <col min="9725" max="9725" width="7.81640625" style="1" customWidth="1"/>
    <col min="9726" max="9726" width="8.54296875" style="1" customWidth="1"/>
    <col min="9727" max="9727" width="20.1796875" style="1" customWidth="1"/>
    <col min="9728" max="9728" width="16.453125" style="1" customWidth="1"/>
    <col min="9729" max="9729" width="22.26953125" style="1" customWidth="1"/>
    <col min="9730" max="9730" width="17.81640625" style="1" customWidth="1"/>
    <col min="9731" max="9731" width="22.81640625" style="1" customWidth="1"/>
    <col min="9732" max="9732" width="25.453125" style="1" customWidth="1"/>
    <col min="9733" max="9734" width="6.7265625" style="1" customWidth="1"/>
    <col min="9735" max="9735" width="26.453125" style="1" customWidth="1"/>
    <col min="9736" max="9736" width="18.54296875" style="1" customWidth="1"/>
    <col min="9737" max="9737" width="29.81640625" style="1" customWidth="1"/>
    <col min="9738" max="9738" width="23.54296875" style="1" customWidth="1"/>
    <col min="9739" max="9739" width="31.453125" style="1" customWidth="1"/>
    <col min="9740" max="9980" width="9.1796875" style="1"/>
    <col min="9981" max="9981" width="7.81640625" style="1" customWidth="1"/>
    <col min="9982" max="9982" width="8.54296875" style="1" customWidth="1"/>
    <col min="9983" max="9983" width="20.1796875" style="1" customWidth="1"/>
    <col min="9984" max="9984" width="16.453125" style="1" customWidth="1"/>
    <col min="9985" max="9985" width="22.26953125" style="1" customWidth="1"/>
    <col min="9986" max="9986" width="17.81640625" style="1" customWidth="1"/>
    <col min="9987" max="9987" width="22.81640625" style="1" customWidth="1"/>
    <col min="9988" max="9988" width="25.453125" style="1" customWidth="1"/>
    <col min="9989" max="9990" width="6.7265625" style="1" customWidth="1"/>
    <col min="9991" max="9991" width="26.453125" style="1" customWidth="1"/>
    <col min="9992" max="9992" width="18.54296875" style="1" customWidth="1"/>
    <col min="9993" max="9993" width="29.81640625" style="1" customWidth="1"/>
    <col min="9994" max="9994" width="23.54296875" style="1" customWidth="1"/>
    <col min="9995" max="9995" width="31.453125" style="1" customWidth="1"/>
    <col min="9996" max="10236" width="9.1796875" style="1"/>
    <col min="10237" max="10237" width="7.81640625" style="1" customWidth="1"/>
    <col min="10238" max="10238" width="8.54296875" style="1" customWidth="1"/>
    <col min="10239" max="10239" width="20.1796875" style="1" customWidth="1"/>
    <col min="10240" max="10240" width="16.453125" style="1" customWidth="1"/>
    <col min="10241" max="10241" width="22.26953125" style="1" customWidth="1"/>
    <col min="10242" max="10242" width="17.81640625" style="1" customWidth="1"/>
    <col min="10243" max="10243" width="22.81640625" style="1" customWidth="1"/>
    <col min="10244" max="10244" width="25.453125" style="1" customWidth="1"/>
    <col min="10245" max="10246" width="6.7265625" style="1" customWidth="1"/>
    <col min="10247" max="10247" width="26.453125" style="1" customWidth="1"/>
    <col min="10248" max="10248" width="18.54296875" style="1" customWidth="1"/>
    <col min="10249" max="10249" width="29.81640625" style="1" customWidth="1"/>
    <col min="10250" max="10250" width="23.54296875" style="1" customWidth="1"/>
    <col min="10251" max="10251" width="31.453125" style="1" customWidth="1"/>
    <col min="10252" max="10492" width="9.1796875" style="1"/>
    <col min="10493" max="10493" width="7.81640625" style="1" customWidth="1"/>
    <col min="10494" max="10494" width="8.54296875" style="1" customWidth="1"/>
    <col min="10495" max="10495" width="20.1796875" style="1" customWidth="1"/>
    <col min="10496" max="10496" width="16.453125" style="1" customWidth="1"/>
    <col min="10497" max="10497" width="22.26953125" style="1" customWidth="1"/>
    <col min="10498" max="10498" width="17.81640625" style="1" customWidth="1"/>
    <col min="10499" max="10499" width="22.81640625" style="1" customWidth="1"/>
    <col min="10500" max="10500" width="25.453125" style="1" customWidth="1"/>
    <col min="10501" max="10502" width="6.7265625" style="1" customWidth="1"/>
    <col min="10503" max="10503" width="26.453125" style="1" customWidth="1"/>
    <col min="10504" max="10504" width="18.54296875" style="1" customWidth="1"/>
    <col min="10505" max="10505" width="29.81640625" style="1" customWidth="1"/>
    <col min="10506" max="10506" width="23.54296875" style="1" customWidth="1"/>
    <col min="10507" max="10507" width="31.453125" style="1" customWidth="1"/>
    <col min="10508" max="10748" width="9.1796875" style="1"/>
    <col min="10749" max="10749" width="7.81640625" style="1" customWidth="1"/>
    <col min="10750" max="10750" width="8.54296875" style="1" customWidth="1"/>
    <col min="10751" max="10751" width="20.1796875" style="1" customWidth="1"/>
    <col min="10752" max="10752" width="16.453125" style="1" customWidth="1"/>
    <col min="10753" max="10753" width="22.26953125" style="1" customWidth="1"/>
    <col min="10754" max="10754" width="17.81640625" style="1" customWidth="1"/>
    <col min="10755" max="10755" width="22.81640625" style="1" customWidth="1"/>
    <col min="10756" max="10756" width="25.453125" style="1" customWidth="1"/>
    <col min="10757" max="10758" width="6.7265625" style="1" customWidth="1"/>
    <col min="10759" max="10759" width="26.453125" style="1" customWidth="1"/>
    <col min="10760" max="10760" width="18.54296875" style="1" customWidth="1"/>
    <col min="10761" max="10761" width="29.81640625" style="1" customWidth="1"/>
    <col min="10762" max="10762" width="23.54296875" style="1" customWidth="1"/>
    <col min="10763" max="10763" width="31.453125" style="1" customWidth="1"/>
    <col min="10764" max="11004" width="9.1796875" style="1"/>
    <col min="11005" max="11005" width="7.81640625" style="1" customWidth="1"/>
    <col min="11006" max="11006" width="8.54296875" style="1" customWidth="1"/>
    <col min="11007" max="11007" width="20.1796875" style="1" customWidth="1"/>
    <col min="11008" max="11008" width="16.453125" style="1" customWidth="1"/>
    <col min="11009" max="11009" width="22.26953125" style="1" customWidth="1"/>
    <col min="11010" max="11010" width="17.81640625" style="1" customWidth="1"/>
    <col min="11011" max="11011" width="22.81640625" style="1" customWidth="1"/>
    <col min="11012" max="11012" width="25.453125" style="1" customWidth="1"/>
    <col min="11013" max="11014" width="6.7265625" style="1" customWidth="1"/>
    <col min="11015" max="11015" width="26.453125" style="1" customWidth="1"/>
    <col min="11016" max="11016" width="18.54296875" style="1" customWidth="1"/>
    <col min="11017" max="11017" width="29.81640625" style="1" customWidth="1"/>
    <col min="11018" max="11018" width="23.54296875" style="1" customWidth="1"/>
    <col min="11019" max="11019" width="31.453125" style="1" customWidth="1"/>
    <col min="11020" max="11260" width="9.1796875" style="1"/>
    <col min="11261" max="11261" width="7.81640625" style="1" customWidth="1"/>
    <col min="11262" max="11262" width="8.54296875" style="1" customWidth="1"/>
    <col min="11263" max="11263" width="20.1796875" style="1" customWidth="1"/>
    <col min="11264" max="11264" width="16.453125" style="1" customWidth="1"/>
    <col min="11265" max="11265" width="22.26953125" style="1" customWidth="1"/>
    <col min="11266" max="11266" width="17.81640625" style="1" customWidth="1"/>
    <col min="11267" max="11267" width="22.81640625" style="1" customWidth="1"/>
    <col min="11268" max="11268" width="25.453125" style="1" customWidth="1"/>
    <col min="11269" max="11270" width="6.7265625" style="1" customWidth="1"/>
    <col min="11271" max="11271" width="26.453125" style="1" customWidth="1"/>
    <col min="11272" max="11272" width="18.54296875" style="1" customWidth="1"/>
    <col min="11273" max="11273" width="29.81640625" style="1" customWidth="1"/>
    <col min="11274" max="11274" width="23.54296875" style="1" customWidth="1"/>
    <col min="11275" max="11275" width="31.453125" style="1" customWidth="1"/>
    <col min="11276" max="11516" width="9.1796875" style="1"/>
    <col min="11517" max="11517" width="7.81640625" style="1" customWidth="1"/>
    <col min="11518" max="11518" width="8.54296875" style="1" customWidth="1"/>
    <col min="11519" max="11519" width="20.1796875" style="1" customWidth="1"/>
    <col min="11520" max="11520" width="16.453125" style="1" customWidth="1"/>
    <col min="11521" max="11521" width="22.26953125" style="1" customWidth="1"/>
    <col min="11522" max="11522" width="17.81640625" style="1" customWidth="1"/>
    <col min="11523" max="11523" width="22.81640625" style="1" customWidth="1"/>
    <col min="11524" max="11524" width="25.453125" style="1" customWidth="1"/>
    <col min="11525" max="11526" width="6.7265625" style="1" customWidth="1"/>
    <col min="11527" max="11527" width="26.453125" style="1" customWidth="1"/>
    <col min="11528" max="11528" width="18.54296875" style="1" customWidth="1"/>
    <col min="11529" max="11529" width="29.81640625" style="1" customWidth="1"/>
    <col min="11530" max="11530" width="23.54296875" style="1" customWidth="1"/>
    <col min="11531" max="11531" width="31.453125" style="1" customWidth="1"/>
    <col min="11532" max="11772" width="9.1796875" style="1"/>
    <col min="11773" max="11773" width="7.81640625" style="1" customWidth="1"/>
    <col min="11774" max="11774" width="8.54296875" style="1" customWidth="1"/>
    <col min="11775" max="11775" width="20.1796875" style="1" customWidth="1"/>
    <col min="11776" max="11776" width="16.453125" style="1" customWidth="1"/>
    <col min="11777" max="11777" width="22.26953125" style="1" customWidth="1"/>
    <col min="11778" max="11778" width="17.81640625" style="1" customWidth="1"/>
    <col min="11779" max="11779" width="22.81640625" style="1" customWidth="1"/>
    <col min="11780" max="11780" width="25.453125" style="1" customWidth="1"/>
    <col min="11781" max="11782" width="6.7265625" style="1" customWidth="1"/>
    <col min="11783" max="11783" width="26.453125" style="1" customWidth="1"/>
    <col min="11784" max="11784" width="18.54296875" style="1" customWidth="1"/>
    <col min="11785" max="11785" width="29.81640625" style="1" customWidth="1"/>
    <col min="11786" max="11786" width="23.54296875" style="1" customWidth="1"/>
    <col min="11787" max="11787" width="31.453125" style="1" customWidth="1"/>
    <col min="11788" max="12028" width="9.1796875" style="1"/>
    <col min="12029" max="12029" width="7.81640625" style="1" customWidth="1"/>
    <col min="12030" max="12030" width="8.54296875" style="1" customWidth="1"/>
    <col min="12031" max="12031" width="20.1796875" style="1" customWidth="1"/>
    <col min="12032" max="12032" width="16.453125" style="1" customWidth="1"/>
    <col min="12033" max="12033" width="22.26953125" style="1" customWidth="1"/>
    <col min="12034" max="12034" width="17.81640625" style="1" customWidth="1"/>
    <col min="12035" max="12035" width="22.81640625" style="1" customWidth="1"/>
    <col min="12036" max="12036" width="25.453125" style="1" customWidth="1"/>
    <col min="12037" max="12038" width="6.7265625" style="1" customWidth="1"/>
    <col min="12039" max="12039" width="26.453125" style="1" customWidth="1"/>
    <col min="12040" max="12040" width="18.54296875" style="1" customWidth="1"/>
    <col min="12041" max="12041" width="29.81640625" style="1" customWidth="1"/>
    <col min="12042" max="12042" width="23.54296875" style="1" customWidth="1"/>
    <col min="12043" max="12043" width="31.453125" style="1" customWidth="1"/>
    <col min="12044" max="12284" width="9.1796875" style="1"/>
    <col min="12285" max="12285" width="7.81640625" style="1" customWidth="1"/>
    <col min="12286" max="12286" width="8.54296875" style="1" customWidth="1"/>
    <col min="12287" max="12287" width="20.1796875" style="1" customWidth="1"/>
    <col min="12288" max="12288" width="16.453125" style="1" customWidth="1"/>
    <col min="12289" max="12289" width="22.26953125" style="1" customWidth="1"/>
    <col min="12290" max="12290" width="17.81640625" style="1" customWidth="1"/>
    <col min="12291" max="12291" width="22.81640625" style="1" customWidth="1"/>
    <col min="12292" max="12292" width="25.453125" style="1" customWidth="1"/>
    <col min="12293" max="12294" width="6.7265625" style="1" customWidth="1"/>
    <col min="12295" max="12295" width="26.453125" style="1" customWidth="1"/>
    <col min="12296" max="12296" width="18.54296875" style="1" customWidth="1"/>
    <col min="12297" max="12297" width="29.81640625" style="1" customWidth="1"/>
    <col min="12298" max="12298" width="23.54296875" style="1" customWidth="1"/>
    <col min="12299" max="12299" width="31.453125" style="1" customWidth="1"/>
    <col min="12300" max="12540" width="9.1796875" style="1"/>
    <col min="12541" max="12541" width="7.81640625" style="1" customWidth="1"/>
    <col min="12542" max="12542" width="8.54296875" style="1" customWidth="1"/>
    <col min="12543" max="12543" width="20.1796875" style="1" customWidth="1"/>
    <col min="12544" max="12544" width="16.453125" style="1" customWidth="1"/>
    <col min="12545" max="12545" width="22.26953125" style="1" customWidth="1"/>
    <col min="12546" max="12546" width="17.81640625" style="1" customWidth="1"/>
    <col min="12547" max="12547" width="22.81640625" style="1" customWidth="1"/>
    <col min="12548" max="12548" width="25.453125" style="1" customWidth="1"/>
    <col min="12549" max="12550" width="6.7265625" style="1" customWidth="1"/>
    <col min="12551" max="12551" width="26.453125" style="1" customWidth="1"/>
    <col min="12552" max="12552" width="18.54296875" style="1" customWidth="1"/>
    <col min="12553" max="12553" width="29.81640625" style="1" customWidth="1"/>
    <col min="12554" max="12554" width="23.54296875" style="1" customWidth="1"/>
    <col min="12555" max="12555" width="31.453125" style="1" customWidth="1"/>
    <col min="12556" max="12796" width="9.1796875" style="1"/>
    <col min="12797" max="12797" width="7.81640625" style="1" customWidth="1"/>
    <col min="12798" max="12798" width="8.54296875" style="1" customWidth="1"/>
    <col min="12799" max="12799" width="20.1796875" style="1" customWidth="1"/>
    <col min="12800" max="12800" width="16.453125" style="1" customWidth="1"/>
    <col min="12801" max="12801" width="22.26953125" style="1" customWidth="1"/>
    <col min="12802" max="12802" width="17.81640625" style="1" customWidth="1"/>
    <col min="12803" max="12803" width="22.81640625" style="1" customWidth="1"/>
    <col min="12804" max="12804" width="25.453125" style="1" customWidth="1"/>
    <col min="12805" max="12806" width="6.7265625" style="1" customWidth="1"/>
    <col min="12807" max="12807" width="26.453125" style="1" customWidth="1"/>
    <col min="12808" max="12808" width="18.54296875" style="1" customWidth="1"/>
    <col min="12809" max="12809" width="29.81640625" style="1" customWidth="1"/>
    <col min="12810" max="12810" width="23.54296875" style="1" customWidth="1"/>
    <col min="12811" max="12811" width="31.453125" style="1" customWidth="1"/>
    <col min="12812" max="13052" width="9.1796875" style="1"/>
    <col min="13053" max="13053" width="7.81640625" style="1" customWidth="1"/>
    <col min="13054" max="13054" width="8.54296875" style="1" customWidth="1"/>
    <col min="13055" max="13055" width="20.1796875" style="1" customWidth="1"/>
    <col min="13056" max="13056" width="16.453125" style="1" customWidth="1"/>
    <col min="13057" max="13057" width="22.26953125" style="1" customWidth="1"/>
    <col min="13058" max="13058" width="17.81640625" style="1" customWidth="1"/>
    <col min="13059" max="13059" width="22.81640625" style="1" customWidth="1"/>
    <col min="13060" max="13060" width="25.453125" style="1" customWidth="1"/>
    <col min="13061" max="13062" width="6.7265625" style="1" customWidth="1"/>
    <col min="13063" max="13063" width="26.453125" style="1" customWidth="1"/>
    <col min="13064" max="13064" width="18.54296875" style="1" customWidth="1"/>
    <col min="13065" max="13065" width="29.81640625" style="1" customWidth="1"/>
    <col min="13066" max="13066" width="23.54296875" style="1" customWidth="1"/>
    <col min="13067" max="13067" width="31.453125" style="1" customWidth="1"/>
    <col min="13068" max="13308" width="9.1796875" style="1"/>
    <col min="13309" max="13309" width="7.81640625" style="1" customWidth="1"/>
    <col min="13310" max="13310" width="8.54296875" style="1" customWidth="1"/>
    <col min="13311" max="13311" width="20.1796875" style="1" customWidth="1"/>
    <col min="13312" max="13312" width="16.453125" style="1" customWidth="1"/>
    <col min="13313" max="13313" width="22.26953125" style="1" customWidth="1"/>
    <col min="13314" max="13314" width="17.81640625" style="1" customWidth="1"/>
    <col min="13315" max="13315" width="22.81640625" style="1" customWidth="1"/>
    <col min="13316" max="13316" width="25.453125" style="1" customWidth="1"/>
    <col min="13317" max="13318" width="6.7265625" style="1" customWidth="1"/>
    <col min="13319" max="13319" width="26.453125" style="1" customWidth="1"/>
    <col min="13320" max="13320" width="18.54296875" style="1" customWidth="1"/>
    <col min="13321" max="13321" width="29.81640625" style="1" customWidth="1"/>
    <col min="13322" max="13322" width="23.54296875" style="1" customWidth="1"/>
    <col min="13323" max="13323" width="31.453125" style="1" customWidth="1"/>
    <col min="13324" max="13564" width="9.1796875" style="1"/>
    <col min="13565" max="13565" width="7.81640625" style="1" customWidth="1"/>
    <col min="13566" max="13566" width="8.54296875" style="1" customWidth="1"/>
    <col min="13567" max="13567" width="20.1796875" style="1" customWidth="1"/>
    <col min="13568" max="13568" width="16.453125" style="1" customWidth="1"/>
    <col min="13569" max="13569" width="22.26953125" style="1" customWidth="1"/>
    <col min="13570" max="13570" width="17.81640625" style="1" customWidth="1"/>
    <col min="13571" max="13571" width="22.81640625" style="1" customWidth="1"/>
    <col min="13572" max="13572" width="25.453125" style="1" customWidth="1"/>
    <col min="13573" max="13574" width="6.7265625" style="1" customWidth="1"/>
    <col min="13575" max="13575" width="26.453125" style="1" customWidth="1"/>
    <col min="13576" max="13576" width="18.54296875" style="1" customWidth="1"/>
    <col min="13577" max="13577" width="29.81640625" style="1" customWidth="1"/>
    <col min="13578" max="13578" width="23.54296875" style="1" customWidth="1"/>
    <col min="13579" max="13579" width="31.453125" style="1" customWidth="1"/>
    <col min="13580" max="13820" width="9.1796875" style="1"/>
    <col min="13821" max="13821" width="7.81640625" style="1" customWidth="1"/>
    <col min="13822" max="13822" width="8.54296875" style="1" customWidth="1"/>
    <col min="13823" max="13823" width="20.1796875" style="1" customWidth="1"/>
    <col min="13824" max="13824" width="16.453125" style="1" customWidth="1"/>
    <col min="13825" max="13825" width="22.26953125" style="1" customWidth="1"/>
    <col min="13826" max="13826" width="17.81640625" style="1" customWidth="1"/>
    <col min="13827" max="13827" width="22.81640625" style="1" customWidth="1"/>
    <col min="13828" max="13828" width="25.453125" style="1" customWidth="1"/>
    <col min="13829" max="13830" width="6.7265625" style="1" customWidth="1"/>
    <col min="13831" max="13831" width="26.453125" style="1" customWidth="1"/>
    <col min="13832" max="13832" width="18.54296875" style="1" customWidth="1"/>
    <col min="13833" max="13833" width="29.81640625" style="1" customWidth="1"/>
    <col min="13834" max="13834" width="23.54296875" style="1" customWidth="1"/>
    <col min="13835" max="13835" width="31.453125" style="1" customWidth="1"/>
    <col min="13836" max="14076" width="9.1796875" style="1"/>
    <col min="14077" max="14077" width="7.81640625" style="1" customWidth="1"/>
    <col min="14078" max="14078" width="8.54296875" style="1" customWidth="1"/>
    <col min="14079" max="14079" width="20.1796875" style="1" customWidth="1"/>
    <col min="14080" max="14080" width="16.453125" style="1" customWidth="1"/>
    <col min="14081" max="14081" width="22.26953125" style="1" customWidth="1"/>
    <col min="14082" max="14082" width="17.81640625" style="1" customWidth="1"/>
    <col min="14083" max="14083" width="22.81640625" style="1" customWidth="1"/>
    <col min="14084" max="14084" width="25.453125" style="1" customWidth="1"/>
    <col min="14085" max="14086" width="6.7265625" style="1" customWidth="1"/>
    <col min="14087" max="14087" width="26.453125" style="1" customWidth="1"/>
    <col min="14088" max="14088" width="18.54296875" style="1" customWidth="1"/>
    <col min="14089" max="14089" width="29.81640625" style="1" customWidth="1"/>
    <col min="14090" max="14090" width="23.54296875" style="1" customWidth="1"/>
    <col min="14091" max="14091" width="31.453125" style="1" customWidth="1"/>
    <col min="14092" max="14332" width="9.1796875" style="1"/>
    <col min="14333" max="14333" width="7.81640625" style="1" customWidth="1"/>
    <col min="14334" max="14334" width="8.54296875" style="1" customWidth="1"/>
    <col min="14335" max="14335" width="20.1796875" style="1" customWidth="1"/>
    <col min="14336" max="14336" width="16.453125" style="1" customWidth="1"/>
    <col min="14337" max="14337" width="22.26953125" style="1" customWidth="1"/>
    <col min="14338" max="14338" width="17.81640625" style="1" customWidth="1"/>
    <col min="14339" max="14339" width="22.81640625" style="1" customWidth="1"/>
    <col min="14340" max="14340" width="25.453125" style="1" customWidth="1"/>
    <col min="14341" max="14342" width="6.7265625" style="1" customWidth="1"/>
    <col min="14343" max="14343" width="26.453125" style="1" customWidth="1"/>
    <col min="14344" max="14344" width="18.54296875" style="1" customWidth="1"/>
    <col min="14345" max="14345" width="29.81640625" style="1" customWidth="1"/>
    <col min="14346" max="14346" width="23.54296875" style="1" customWidth="1"/>
    <col min="14347" max="14347" width="31.453125" style="1" customWidth="1"/>
    <col min="14348" max="14588" width="9.1796875" style="1"/>
    <col min="14589" max="14589" width="7.81640625" style="1" customWidth="1"/>
    <col min="14590" max="14590" width="8.54296875" style="1" customWidth="1"/>
    <col min="14591" max="14591" width="20.1796875" style="1" customWidth="1"/>
    <col min="14592" max="14592" width="16.453125" style="1" customWidth="1"/>
    <col min="14593" max="14593" width="22.26953125" style="1" customWidth="1"/>
    <col min="14594" max="14594" width="17.81640625" style="1" customWidth="1"/>
    <col min="14595" max="14595" width="22.81640625" style="1" customWidth="1"/>
    <col min="14596" max="14596" width="25.453125" style="1" customWidth="1"/>
    <col min="14597" max="14598" width="6.7265625" style="1" customWidth="1"/>
    <col min="14599" max="14599" width="26.453125" style="1" customWidth="1"/>
    <col min="14600" max="14600" width="18.54296875" style="1" customWidth="1"/>
    <col min="14601" max="14601" width="29.81640625" style="1" customWidth="1"/>
    <col min="14602" max="14602" width="23.54296875" style="1" customWidth="1"/>
    <col min="14603" max="14603" width="31.453125" style="1" customWidth="1"/>
    <col min="14604" max="14844" width="9.1796875" style="1"/>
    <col min="14845" max="14845" width="7.81640625" style="1" customWidth="1"/>
    <col min="14846" max="14846" width="8.54296875" style="1" customWidth="1"/>
    <col min="14847" max="14847" width="20.1796875" style="1" customWidth="1"/>
    <col min="14848" max="14848" width="16.453125" style="1" customWidth="1"/>
    <col min="14849" max="14849" width="22.26953125" style="1" customWidth="1"/>
    <col min="14850" max="14850" width="17.81640625" style="1" customWidth="1"/>
    <col min="14851" max="14851" width="22.81640625" style="1" customWidth="1"/>
    <col min="14852" max="14852" width="25.453125" style="1" customWidth="1"/>
    <col min="14853" max="14854" width="6.7265625" style="1" customWidth="1"/>
    <col min="14855" max="14855" width="26.453125" style="1" customWidth="1"/>
    <col min="14856" max="14856" width="18.54296875" style="1" customWidth="1"/>
    <col min="14857" max="14857" width="29.81640625" style="1" customWidth="1"/>
    <col min="14858" max="14858" width="23.54296875" style="1" customWidth="1"/>
    <col min="14859" max="14859" width="31.453125" style="1" customWidth="1"/>
    <col min="14860" max="15100" width="9.1796875" style="1"/>
    <col min="15101" max="15101" width="7.81640625" style="1" customWidth="1"/>
    <col min="15102" max="15102" width="8.54296875" style="1" customWidth="1"/>
    <col min="15103" max="15103" width="20.1796875" style="1" customWidth="1"/>
    <col min="15104" max="15104" width="16.453125" style="1" customWidth="1"/>
    <col min="15105" max="15105" width="22.26953125" style="1" customWidth="1"/>
    <col min="15106" max="15106" width="17.81640625" style="1" customWidth="1"/>
    <col min="15107" max="15107" width="22.81640625" style="1" customWidth="1"/>
    <col min="15108" max="15108" width="25.453125" style="1" customWidth="1"/>
    <col min="15109" max="15110" width="6.7265625" style="1" customWidth="1"/>
    <col min="15111" max="15111" width="26.453125" style="1" customWidth="1"/>
    <col min="15112" max="15112" width="18.54296875" style="1" customWidth="1"/>
    <col min="15113" max="15113" width="29.81640625" style="1" customWidth="1"/>
    <col min="15114" max="15114" width="23.54296875" style="1" customWidth="1"/>
    <col min="15115" max="15115" width="31.453125" style="1" customWidth="1"/>
    <col min="15116" max="15356" width="9.1796875" style="1"/>
    <col min="15357" max="15357" width="7.81640625" style="1" customWidth="1"/>
    <col min="15358" max="15358" width="8.54296875" style="1" customWidth="1"/>
    <col min="15359" max="15359" width="20.1796875" style="1" customWidth="1"/>
    <col min="15360" max="15360" width="16.453125" style="1" customWidth="1"/>
    <col min="15361" max="15361" width="22.26953125" style="1" customWidth="1"/>
    <col min="15362" max="15362" width="17.81640625" style="1" customWidth="1"/>
    <col min="15363" max="15363" width="22.81640625" style="1" customWidth="1"/>
    <col min="15364" max="15364" width="25.453125" style="1" customWidth="1"/>
    <col min="15365" max="15366" width="6.7265625" style="1" customWidth="1"/>
    <col min="15367" max="15367" width="26.453125" style="1" customWidth="1"/>
    <col min="15368" max="15368" width="18.54296875" style="1" customWidth="1"/>
    <col min="15369" max="15369" width="29.81640625" style="1" customWidth="1"/>
    <col min="15370" max="15370" width="23.54296875" style="1" customWidth="1"/>
    <col min="15371" max="15371" width="31.453125" style="1" customWidth="1"/>
    <col min="15372" max="15612" width="9.1796875" style="1"/>
    <col min="15613" max="15613" width="7.81640625" style="1" customWidth="1"/>
    <col min="15614" max="15614" width="8.54296875" style="1" customWidth="1"/>
    <col min="15615" max="15615" width="20.1796875" style="1" customWidth="1"/>
    <col min="15616" max="15616" width="16.453125" style="1" customWidth="1"/>
    <col min="15617" max="15617" width="22.26953125" style="1" customWidth="1"/>
    <col min="15618" max="15618" width="17.81640625" style="1" customWidth="1"/>
    <col min="15619" max="15619" width="22.81640625" style="1" customWidth="1"/>
    <col min="15620" max="15620" width="25.453125" style="1" customWidth="1"/>
    <col min="15621" max="15622" width="6.7265625" style="1" customWidth="1"/>
    <col min="15623" max="15623" width="26.453125" style="1" customWidth="1"/>
    <col min="15624" max="15624" width="18.54296875" style="1" customWidth="1"/>
    <col min="15625" max="15625" width="29.81640625" style="1" customWidth="1"/>
    <col min="15626" max="15626" width="23.54296875" style="1" customWidth="1"/>
    <col min="15627" max="15627" width="31.453125" style="1" customWidth="1"/>
    <col min="15628" max="15868" width="9.1796875" style="1"/>
    <col min="15869" max="15869" width="7.81640625" style="1" customWidth="1"/>
    <col min="15870" max="15870" width="8.54296875" style="1" customWidth="1"/>
    <col min="15871" max="15871" width="20.1796875" style="1" customWidth="1"/>
    <col min="15872" max="15872" width="16.453125" style="1" customWidth="1"/>
    <col min="15873" max="15873" width="22.26953125" style="1" customWidth="1"/>
    <col min="15874" max="15874" width="17.81640625" style="1" customWidth="1"/>
    <col min="15875" max="15875" width="22.81640625" style="1" customWidth="1"/>
    <col min="15876" max="15876" width="25.453125" style="1" customWidth="1"/>
    <col min="15877" max="15878" width="6.7265625" style="1" customWidth="1"/>
    <col min="15879" max="15879" width="26.453125" style="1" customWidth="1"/>
    <col min="15880" max="15880" width="18.54296875" style="1" customWidth="1"/>
    <col min="15881" max="15881" width="29.81640625" style="1" customWidth="1"/>
    <col min="15882" max="15882" width="23.54296875" style="1" customWidth="1"/>
    <col min="15883" max="15883" width="31.453125" style="1" customWidth="1"/>
    <col min="15884" max="16124" width="9.1796875" style="1"/>
    <col min="16125" max="16125" width="7.81640625" style="1" customWidth="1"/>
    <col min="16126" max="16126" width="8.54296875" style="1" customWidth="1"/>
    <col min="16127" max="16127" width="20.1796875" style="1" customWidth="1"/>
    <col min="16128" max="16128" width="16.453125" style="1" customWidth="1"/>
    <col min="16129" max="16129" width="22.26953125" style="1" customWidth="1"/>
    <col min="16130" max="16130" width="17.81640625" style="1" customWidth="1"/>
    <col min="16131" max="16131" width="22.81640625" style="1" customWidth="1"/>
    <col min="16132" max="16132" width="25.453125" style="1" customWidth="1"/>
    <col min="16133" max="16134" width="6.7265625" style="1" customWidth="1"/>
    <col min="16135" max="16135" width="26.453125" style="1" customWidth="1"/>
    <col min="16136" max="16136" width="18.54296875" style="1" customWidth="1"/>
    <col min="16137" max="16137" width="29.81640625" style="1" customWidth="1"/>
    <col min="16138" max="16138" width="23.54296875" style="1" customWidth="1"/>
    <col min="16139" max="16139" width="31.453125" style="1" customWidth="1"/>
    <col min="16140" max="16384" width="9.1796875" style="1"/>
  </cols>
  <sheetData>
    <row r="1" spans="1:16" ht="17.25" customHeight="1">
      <c r="A1" s="64" t="s">
        <v>71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6" ht="17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6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6" ht="15" customHeight="1">
      <c r="C4" s="4" t="s">
        <v>0</v>
      </c>
      <c r="D4" s="5" t="s">
        <v>56</v>
      </c>
      <c r="F4" s="6"/>
      <c r="G4" s="7"/>
      <c r="H4" s="7"/>
      <c r="I4" s="7"/>
      <c r="J4" s="4"/>
      <c r="K4" s="4" t="s">
        <v>26</v>
      </c>
      <c r="L4" s="4" t="s">
        <v>66</v>
      </c>
    </row>
    <row r="5" spans="1:16" ht="15" customHeight="1">
      <c r="C5" s="4" t="s">
        <v>2</v>
      </c>
      <c r="D5" s="4" t="str">
        <f>Honor_guru!D5</f>
        <v>: SD NEGERI LEBAKLEUNGSIR</v>
      </c>
      <c r="F5" s="6"/>
      <c r="H5" s="8"/>
      <c r="I5" s="8"/>
      <c r="J5" s="4"/>
      <c r="K5" s="4" t="s">
        <v>27</v>
      </c>
      <c r="L5" s="4" t="s">
        <v>67</v>
      </c>
    </row>
    <row r="6" spans="1:16" ht="15" customHeight="1">
      <c r="C6" s="4" t="s">
        <v>3</v>
      </c>
      <c r="D6" s="4" t="s">
        <v>4</v>
      </c>
      <c r="F6" s="6"/>
      <c r="H6" s="8"/>
      <c r="I6" s="8"/>
      <c r="J6" s="8"/>
      <c r="K6" s="8" t="s">
        <v>28</v>
      </c>
      <c r="L6" s="4" t="s">
        <v>68</v>
      </c>
    </row>
    <row r="7" spans="1:16" ht="15" customHeight="1">
      <c r="C7" s="4" t="s">
        <v>5</v>
      </c>
      <c r="D7" s="4" t="s">
        <v>6</v>
      </c>
      <c r="F7" s="6"/>
      <c r="H7" s="8"/>
      <c r="I7" s="8"/>
      <c r="J7" s="4"/>
      <c r="K7" s="4" t="s">
        <v>7</v>
      </c>
      <c r="L7" s="4" t="s">
        <v>69</v>
      </c>
      <c r="M7" s="8"/>
    </row>
    <row r="8" spans="1:16" ht="15" customHeight="1">
      <c r="H8" s="8"/>
      <c r="I8" s="8"/>
      <c r="J8" s="8"/>
      <c r="K8" s="8"/>
      <c r="L8" s="8"/>
    </row>
    <row r="9" spans="1:16" ht="41.25" customHeight="1">
      <c r="A9" s="9" t="s">
        <v>8</v>
      </c>
      <c r="B9" s="65" t="s">
        <v>9</v>
      </c>
      <c r="C9" s="66"/>
      <c r="D9" s="9" t="s">
        <v>10</v>
      </c>
      <c r="E9" s="10" t="s">
        <v>11</v>
      </c>
      <c r="F9" s="69" t="s">
        <v>12</v>
      </c>
      <c r="G9" s="71"/>
      <c r="H9" s="10" t="s">
        <v>13</v>
      </c>
      <c r="I9" s="9" t="s">
        <v>14</v>
      </c>
      <c r="J9" s="31" t="s">
        <v>15</v>
      </c>
      <c r="K9" s="10" t="s">
        <v>16</v>
      </c>
      <c r="L9" s="69" t="s">
        <v>17</v>
      </c>
      <c r="M9" s="71"/>
    </row>
    <row r="10" spans="1:16" ht="22.5" customHeight="1">
      <c r="A10" s="11">
        <v>1</v>
      </c>
      <c r="B10" s="12" t="s">
        <v>70</v>
      </c>
      <c r="C10" s="13"/>
      <c r="D10" s="13" t="s">
        <v>47</v>
      </c>
      <c r="E10" s="14" t="s">
        <v>34</v>
      </c>
      <c r="F10" s="14">
        <v>3</v>
      </c>
      <c r="G10" s="14" t="s">
        <v>39</v>
      </c>
      <c r="H10" s="15">
        <v>125000</v>
      </c>
      <c r="I10" s="16">
        <f t="shared" ref="I10:I13" si="0">SUM(F10*H10)</f>
        <v>375000</v>
      </c>
      <c r="J10" s="17">
        <f>I10*0/100</f>
        <v>0</v>
      </c>
      <c r="K10" s="16">
        <f t="shared" ref="K10:K13" si="1">SUM(I10-J10)</f>
        <v>375000</v>
      </c>
      <c r="L10" s="54">
        <v>1</v>
      </c>
      <c r="M10" s="56">
        <v>2</v>
      </c>
    </row>
    <row r="11" spans="1:16" ht="22.5" customHeight="1">
      <c r="A11" s="11">
        <v>2</v>
      </c>
      <c r="B11" s="12"/>
      <c r="C11" s="13"/>
      <c r="D11" s="13"/>
      <c r="E11" s="14"/>
      <c r="F11" s="14"/>
      <c r="G11" s="14"/>
      <c r="H11" s="15"/>
      <c r="I11" s="16">
        <f t="shared" si="0"/>
        <v>0</v>
      </c>
      <c r="J11" s="17">
        <f>I11*5/100</f>
        <v>0</v>
      </c>
      <c r="K11" s="16">
        <f t="shared" si="1"/>
        <v>0</v>
      </c>
      <c r="L11" s="55"/>
      <c r="M11" s="57"/>
    </row>
    <row r="12" spans="1:16" ht="22.5" hidden="1" customHeight="1">
      <c r="A12" s="11">
        <v>3</v>
      </c>
      <c r="B12" s="12"/>
      <c r="C12" s="13"/>
      <c r="D12" s="13"/>
      <c r="E12" s="14"/>
      <c r="F12" s="14"/>
      <c r="G12" s="14"/>
      <c r="H12" s="15"/>
      <c r="I12" s="16">
        <f t="shared" si="0"/>
        <v>0</v>
      </c>
      <c r="J12" s="17">
        <f>I12*5/100</f>
        <v>0</v>
      </c>
      <c r="K12" s="16">
        <f t="shared" si="1"/>
        <v>0</v>
      </c>
      <c r="L12" s="54">
        <v>3</v>
      </c>
      <c r="M12" s="56">
        <v>4</v>
      </c>
    </row>
    <row r="13" spans="1:16" ht="22.5" hidden="1" customHeight="1">
      <c r="A13" s="11">
        <v>4</v>
      </c>
      <c r="B13" s="12"/>
      <c r="C13" s="13"/>
      <c r="D13" s="13"/>
      <c r="E13" s="14"/>
      <c r="F13" s="14"/>
      <c r="G13" s="14"/>
      <c r="H13" s="15"/>
      <c r="I13" s="16">
        <f t="shared" si="0"/>
        <v>0</v>
      </c>
      <c r="J13" s="17">
        <f t="shared" ref="J13" si="2">I13*0/100</f>
        <v>0</v>
      </c>
      <c r="K13" s="16">
        <f t="shared" si="1"/>
        <v>0</v>
      </c>
      <c r="L13" s="55"/>
      <c r="M13" s="57"/>
    </row>
    <row r="14" spans="1:16" s="21" customFormat="1" ht="22.5" customHeight="1">
      <c r="A14" s="69" t="s">
        <v>20</v>
      </c>
      <c r="B14" s="70"/>
      <c r="C14" s="70"/>
      <c r="D14" s="70"/>
      <c r="E14" s="70"/>
      <c r="F14" s="70"/>
      <c r="G14" s="70"/>
      <c r="H14" s="71"/>
      <c r="I14" s="18">
        <f>SUM(I10:I13)</f>
        <v>375000</v>
      </c>
      <c r="J14" s="19">
        <f>SUM(J10:J13)</f>
        <v>0</v>
      </c>
      <c r="K14" s="18">
        <f>SUM(K10:K13)</f>
        <v>375000</v>
      </c>
      <c r="L14" s="20"/>
      <c r="M14" s="20"/>
      <c r="P14" s="22"/>
    </row>
    <row r="15" spans="1:16" ht="23.25" customHeight="1">
      <c r="A15" s="7"/>
      <c r="B15" s="7"/>
      <c r="C15" s="7"/>
      <c r="D15" s="7"/>
      <c r="E15" s="7"/>
      <c r="F15" s="7"/>
      <c r="G15" s="7"/>
      <c r="H15" s="23"/>
      <c r="I15" s="23"/>
      <c r="K15" s="23"/>
    </row>
    <row r="16" spans="1:16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L16" s="24" t="s">
        <v>123</v>
      </c>
    </row>
    <row r="17" spans="1:16" ht="18" customHeight="1">
      <c r="A17" s="8"/>
      <c r="C17" s="24" t="s">
        <v>21</v>
      </c>
      <c r="D17" s="24"/>
      <c r="E17" s="24"/>
      <c r="F17" s="24"/>
      <c r="G17" s="8"/>
      <c r="H17" s="8"/>
      <c r="I17" s="8"/>
      <c r="L17" s="24" t="s">
        <v>123</v>
      </c>
    </row>
    <row r="18" spans="1:16">
      <c r="A18" s="8"/>
      <c r="C18" s="24" t="s">
        <v>22</v>
      </c>
      <c r="D18" s="24"/>
      <c r="E18" s="24"/>
      <c r="F18" s="24"/>
      <c r="G18" s="8"/>
      <c r="H18" s="8"/>
      <c r="I18" s="8"/>
      <c r="L18" s="24" t="s">
        <v>23</v>
      </c>
    </row>
    <row r="19" spans="1:16">
      <c r="A19" s="8"/>
      <c r="C19" s="24"/>
      <c r="D19" s="24"/>
      <c r="E19" s="24"/>
      <c r="F19" s="24"/>
      <c r="G19" s="8"/>
      <c r="H19" s="8"/>
      <c r="I19" s="8"/>
      <c r="L19" s="25"/>
      <c r="P19" s="26"/>
    </row>
    <row r="20" spans="1:16">
      <c r="A20" s="8"/>
      <c r="C20" s="24"/>
      <c r="D20" s="24"/>
      <c r="E20" s="24"/>
      <c r="F20" s="24"/>
      <c r="G20" s="8"/>
      <c r="H20" s="8"/>
      <c r="I20" s="8"/>
      <c r="L20" s="25"/>
    </row>
    <row r="21" spans="1:16">
      <c r="A21" s="8"/>
      <c r="C21" s="24"/>
      <c r="D21" s="24"/>
      <c r="E21" s="24"/>
      <c r="F21" s="24"/>
      <c r="G21" s="8"/>
      <c r="H21" s="8"/>
      <c r="I21" s="8"/>
      <c r="L21" s="25"/>
    </row>
    <row r="22" spans="1:16">
      <c r="A22" s="8"/>
      <c r="C22" s="24"/>
      <c r="D22" s="24"/>
      <c r="E22" s="24"/>
      <c r="F22" s="24"/>
      <c r="G22" s="8"/>
      <c r="H22" s="8"/>
      <c r="I22" s="8"/>
      <c r="L22" s="25"/>
    </row>
    <row r="23" spans="1:16">
      <c r="A23" s="8"/>
      <c r="C23" s="24"/>
      <c r="D23" s="24"/>
      <c r="E23" s="24"/>
      <c r="F23" s="24"/>
      <c r="G23" s="8"/>
      <c r="H23" s="8"/>
      <c r="I23" s="8"/>
      <c r="L23" s="25"/>
    </row>
    <row r="24" spans="1:16" ht="15" customHeight="1">
      <c r="A24" s="8"/>
      <c r="C24" s="27" t="str">
        <f>Honor_guru!C27</f>
        <v>BADRUDDIN, S.Ag.</v>
      </c>
      <c r="D24" s="28"/>
      <c r="E24" s="28"/>
      <c r="F24" s="8"/>
      <c r="G24" s="8"/>
      <c r="I24" s="8"/>
      <c r="L24" s="27" t="str">
        <f>Honor_guru!P27</f>
        <v>DEDE GUNAWAN, S.Pd.</v>
      </c>
    </row>
    <row r="25" spans="1:16" ht="13.5" customHeight="1">
      <c r="A25" s="8"/>
      <c r="C25" s="33" t="str">
        <f>Honor_guru!C28</f>
        <v>NIP. 197405082014121002</v>
      </c>
      <c r="D25" s="25"/>
      <c r="E25" s="25"/>
      <c r="F25" s="8"/>
      <c r="G25" s="8"/>
      <c r="I25" s="8"/>
      <c r="L25" s="33" t="str">
        <f>Honor_guru!P28</f>
        <v>NIP. 198507172020121003</v>
      </c>
    </row>
    <row r="26" spans="1:16" ht="15" customHeight="1">
      <c r="A26" s="8"/>
      <c r="C26" s="28"/>
      <c r="D26" s="28"/>
      <c r="E26" s="28"/>
      <c r="F26" s="28"/>
      <c r="G26" s="8"/>
      <c r="H26" s="8"/>
      <c r="I26" s="8"/>
      <c r="L26" s="29"/>
    </row>
  </sheetData>
  <mergeCells count="10">
    <mergeCell ref="L12:L13"/>
    <mergeCell ref="M12:M13"/>
    <mergeCell ref="A14:H14"/>
    <mergeCell ref="A1:M1"/>
    <mergeCell ref="A2:M2"/>
    <mergeCell ref="B9:C9"/>
    <mergeCell ref="F9:G9"/>
    <mergeCell ref="L9:M9"/>
    <mergeCell ref="L10:L11"/>
    <mergeCell ref="M10:M11"/>
  </mergeCells>
  <printOptions horizontalCentered="1"/>
  <pageMargins left="0.87" right="1.73" top="1.23" bottom="0.71" header="0.31496062992125984" footer="0.31496062992125984"/>
  <pageSetup paperSize="5" scale="91" fitToHeight="0" orientation="landscape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941-46AF-4DCE-BF7E-CD0DBEEF2152}">
  <sheetPr codeName="Sheet6">
    <tabColor rgb="FF7030A0"/>
    <pageSetUpPr fitToPage="1"/>
  </sheetPr>
  <dimension ref="A1:N478"/>
  <sheetViews>
    <sheetView showGridLines="0" zoomScale="90" zoomScaleNormal="90" zoomScaleSheetLayoutView="80" workbookViewId="0">
      <selection activeCell="B9" sqref="B9:C9"/>
    </sheetView>
  </sheetViews>
  <sheetFormatPr defaultRowHeight="11.5"/>
  <cols>
    <col min="1" max="1" width="4.453125" style="1" customWidth="1"/>
    <col min="2" max="2" width="7.453125" style="1" customWidth="1"/>
    <col min="3" max="3" width="21.26953125" style="1" customWidth="1"/>
    <col min="4" max="4" width="15.36328125" style="1" customWidth="1"/>
    <col min="5" max="5" width="18.7265625" style="1" customWidth="1"/>
    <col min="6" max="6" width="5.54296875" style="1" customWidth="1"/>
    <col min="7" max="7" width="10.7265625" style="1" customWidth="1"/>
    <col min="8" max="8" width="11.453125" style="1" customWidth="1"/>
    <col min="9" max="9" width="17" style="1" customWidth="1"/>
    <col min="10" max="10" width="15.453125" style="1" customWidth="1"/>
    <col min="11" max="11" width="16" style="1" customWidth="1"/>
    <col min="12" max="12" width="5.54296875" style="1" customWidth="1"/>
    <col min="13" max="13" width="15.26953125" style="1" customWidth="1"/>
    <col min="14" max="14" width="35.26953125" style="2" customWidth="1"/>
    <col min="15" max="15" width="10.26953125" style="1" customWidth="1"/>
    <col min="16" max="16" width="12.54296875" style="1" customWidth="1"/>
    <col min="17" max="17" width="16" style="1" customWidth="1"/>
    <col min="18" max="18" width="16.54296875" style="1" customWidth="1"/>
    <col min="19" max="19" width="21.81640625" style="1" customWidth="1"/>
    <col min="20" max="250" width="8.7265625" style="1"/>
    <col min="251" max="251" width="7.81640625" style="1" customWidth="1"/>
    <col min="252" max="252" width="8.54296875" style="1" customWidth="1"/>
    <col min="253" max="253" width="20.1796875" style="1" customWidth="1"/>
    <col min="254" max="254" width="16.453125" style="1" customWidth="1"/>
    <col min="255" max="255" width="22.26953125" style="1" customWidth="1"/>
    <col min="256" max="256" width="17.81640625" style="1" customWidth="1"/>
    <col min="257" max="257" width="22.81640625" style="1" customWidth="1"/>
    <col min="258" max="258" width="25.453125" style="1" customWidth="1"/>
    <col min="259" max="260" width="6.7265625" style="1" customWidth="1"/>
    <col min="261" max="261" width="26.453125" style="1" customWidth="1"/>
    <col min="262" max="262" width="18.54296875" style="1" customWidth="1"/>
    <col min="263" max="263" width="29.81640625" style="1" customWidth="1"/>
    <col min="264" max="264" width="23.54296875" style="1" customWidth="1"/>
    <col min="265" max="265" width="31.453125" style="1" customWidth="1"/>
    <col min="266" max="506" width="8.7265625" style="1"/>
    <col min="507" max="507" width="7.81640625" style="1" customWidth="1"/>
    <col min="508" max="508" width="8.54296875" style="1" customWidth="1"/>
    <col min="509" max="509" width="20.1796875" style="1" customWidth="1"/>
    <col min="510" max="510" width="16.453125" style="1" customWidth="1"/>
    <col min="511" max="511" width="22.26953125" style="1" customWidth="1"/>
    <col min="512" max="512" width="17.81640625" style="1" customWidth="1"/>
    <col min="513" max="513" width="22.81640625" style="1" customWidth="1"/>
    <col min="514" max="514" width="25.453125" style="1" customWidth="1"/>
    <col min="515" max="516" width="6.7265625" style="1" customWidth="1"/>
    <col min="517" max="517" width="26.453125" style="1" customWidth="1"/>
    <col min="518" max="518" width="18.54296875" style="1" customWidth="1"/>
    <col min="519" max="519" width="29.81640625" style="1" customWidth="1"/>
    <col min="520" max="520" width="23.54296875" style="1" customWidth="1"/>
    <col min="521" max="521" width="31.453125" style="1" customWidth="1"/>
    <col min="522" max="762" width="8.7265625" style="1"/>
    <col min="763" max="763" width="7.81640625" style="1" customWidth="1"/>
    <col min="764" max="764" width="8.54296875" style="1" customWidth="1"/>
    <col min="765" max="765" width="20.1796875" style="1" customWidth="1"/>
    <col min="766" max="766" width="16.453125" style="1" customWidth="1"/>
    <col min="767" max="767" width="22.26953125" style="1" customWidth="1"/>
    <col min="768" max="768" width="17.81640625" style="1" customWidth="1"/>
    <col min="769" max="769" width="22.81640625" style="1" customWidth="1"/>
    <col min="770" max="770" width="25.453125" style="1" customWidth="1"/>
    <col min="771" max="772" width="6.7265625" style="1" customWidth="1"/>
    <col min="773" max="773" width="26.453125" style="1" customWidth="1"/>
    <col min="774" max="774" width="18.54296875" style="1" customWidth="1"/>
    <col min="775" max="775" width="29.81640625" style="1" customWidth="1"/>
    <col min="776" max="776" width="23.54296875" style="1" customWidth="1"/>
    <col min="777" max="777" width="31.453125" style="1" customWidth="1"/>
    <col min="778" max="1018" width="8.7265625" style="1"/>
    <col min="1019" max="1019" width="7.81640625" style="1" customWidth="1"/>
    <col min="1020" max="1020" width="8.54296875" style="1" customWidth="1"/>
    <col min="1021" max="1021" width="20.1796875" style="1" customWidth="1"/>
    <col min="1022" max="1022" width="16.453125" style="1" customWidth="1"/>
    <col min="1023" max="1023" width="22.26953125" style="1" customWidth="1"/>
    <col min="1024" max="1024" width="17.81640625" style="1" customWidth="1"/>
    <col min="1025" max="1025" width="22.81640625" style="1" customWidth="1"/>
    <col min="1026" max="1026" width="25.453125" style="1" customWidth="1"/>
    <col min="1027" max="1028" width="6.7265625" style="1" customWidth="1"/>
    <col min="1029" max="1029" width="26.453125" style="1" customWidth="1"/>
    <col min="1030" max="1030" width="18.54296875" style="1" customWidth="1"/>
    <col min="1031" max="1031" width="29.81640625" style="1" customWidth="1"/>
    <col min="1032" max="1032" width="23.54296875" style="1" customWidth="1"/>
    <col min="1033" max="1033" width="31.453125" style="1" customWidth="1"/>
    <col min="1034" max="1274" width="8.7265625" style="1"/>
    <col min="1275" max="1275" width="7.81640625" style="1" customWidth="1"/>
    <col min="1276" max="1276" width="8.54296875" style="1" customWidth="1"/>
    <col min="1277" max="1277" width="20.1796875" style="1" customWidth="1"/>
    <col min="1278" max="1278" width="16.453125" style="1" customWidth="1"/>
    <col min="1279" max="1279" width="22.26953125" style="1" customWidth="1"/>
    <col min="1280" max="1280" width="17.81640625" style="1" customWidth="1"/>
    <col min="1281" max="1281" width="22.81640625" style="1" customWidth="1"/>
    <col min="1282" max="1282" width="25.453125" style="1" customWidth="1"/>
    <col min="1283" max="1284" width="6.7265625" style="1" customWidth="1"/>
    <col min="1285" max="1285" width="26.453125" style="1" customWidth="1"/>
    <col min="1286" max="1286" width="18.54296875" style="1" customWidth="1"/>
    <col min="1287" max="1287" width="29.81640625" style="1" customWidth="1"/>
    <col min="1288" max="1288" width="23.54296875" style="1" customWidth="1"/>
    <col min="1289" max="1289" width="31.453125" style="1" customWidth="1"/>
    <col min="1290" max="1530" width="8.7265625" style="1"/>
    <col min="1531" max="1531" width="7.81640625" style="1" customWidth="1"/>
    <col min="1532" max="1532" width="8.54296875" style="1" customWidth="1"/>
    <col min="1533" max="1533" width="20.1796875" style="1" customWidth="1"/>
    <col min="1534" max="1534" width="16.453125" style="1" customWidth="1"/>
    <col min="1535" max="1535" width="22.26953125" style="1" customWidth="1"/>
    <col min="1536" max="1536" width="17.81640625" style="1" customWidth="1"/>
    <col min="1537" max="1537" width="22.81640625" style="1" customWidth="1"/>
    <col min="1538" max="1538" width="25.453125" style="1" customWidth="1"/>
    <col min="1539" max="1540" width="6.7265625" style="1" customWidth="1"/>
    <col min="1541" max="1541" width="26.453125" style="1" customWidth="1"/>
    <col min="1542" max="1542" width="18.54296875" style="1" customWidth="1"/>
    <col min="1543" max="1543" width="29.81640625" style="1" customWidth="1"/>
    <col min="1544" max="1544" width="23.54296875" style="1" customWidth="1"/>
    <col min="1545" max="1545" width="31.453125" style="1" customWidth="1"/>
    <col min="1546" max="1786" width="8.7265625" style="1"/>
    <col min="1787" max="1787" width="7.81640625" style="1" customWidth="1"/>
    <col min="1788" max="1788" width="8.54296875" style="1" customWidth="1"/>
    <col min="1789" max="1789" width="20.1796875" style="1" customWidth="1"/>
    <col min="1790" max="1790" width="16.453125" style="1" customWidth="1"/>
    <col min="1791" max="1791" width="22.26953125" style="1" customWidth="1"/>
    <col min="1792" max="1792" width="17.81640625" style="1" customWidth="1"/>
    <col min="1793" max="1793" width="22.81640625" style="1" customWidth="1"/>
    <col min="1794" max="1794" width="25.453125" style="1" customWidth="1"/>
    <col min="1795" max="1796" width="6.7265625" style="1" customWidth="1"/>
    <col min="1797" max="1797" width="26.453125" style="1" customWidth="1"/>
    <col min="1798" max="1798" width="18.54296875" style="1" customWidth="1"/>
    <col min="1799" max="1799" width="29.81640625" style="1" customWidth="1"/>
    <col min="1800" max="1800" width="23.54296875" style="1" customWidth="1"/>
    <col min="1801" max="1801" width="31.453125" style="1" customWidth="1"/>
    <col min="1802" max="2042" width="8.7265625" style="1"/>
    <col min="2043" max="2043" width="7.81640625" style="1" customWidth="1"/>
    <col min="2044" max="2044" width="8.54296875" style="1" customWidth="1"/>
    <col min="2045" max="2045" width="20.1796875" style="1" customWidth="1"/>
    <col min="2046" max="2046" width="16.453125" style="1" customWidth="1"/>
    <col min="2047" max="2047" width="22.26953125" style="1" customWidth="1"/>
    <col min="2048" max="2048" width="17.81640625" style="1" customWidth="1"/>
    <col min="2049" max="2049" width="22.81640625" style="1" customWidth="1"/>
    <col min="2050" max="2050" width="25.453125" style="1" customWidth="1"/>
    <col min="2051" max="2052" width="6.7265625" style="1" customWidth="1"/>
    <col min="2053" max="2053" width="26.453125" style="1" customWidth="1"/>
    <col min="2054" max="2054" width="18.54296875" style="1" customWidth="1"/>
    <col min="2055" max="2055" width="29.81640625" style="1" customWidth="1"/>
    <col min="2056" max="2056" width="23.54296875" style="1" customWidth="1"/>
    <col min="2057" max="2057" width="31.453125" style="1" customWidth="1"/>
    <col min="2058" max="2298" width="8.7265625" style="1"/>
    <col min="2299" max="2299" width="7.81640625" style="1" customWidth="1"/>
    <col min="2300" max="2300" width="8.54296875" style="1" customWidth="1"/>
    <col min="2301" max="2301" width="20.1796875" style="1" customWidth="1"/>
    <col min="2302" max="2302" width="16.453125" style="1" customWidth="1"/>
    <col min="2303" max="2303" width="22.26953125" style="1" customWidth="1"/>
    <col min="2304" max="2304" width="17.81640625" style="1" customWidth="1"/>
    <col min="2305" max="2305" width="22.81640625" style="1" customWidth="1"/>
    <col min="2306" max="2306" width="25.453125" style="1" customWidth="1"/>
    <col min="2307" max="2308" width="6.7265625" style="1" customWidth="1"/>
    <col min="2309" max="2309" width="26.453125" style="1" customWidth="1"/>
    <col min="2310" max="2310" width="18.54296875" style="1" customWidth="1"/>
    <col min="2311" max="2311" width="29.81640625" style="1" customWidth="1"/>
    <col min="2312" max="2312" width="23.54296875" style="1" customWidth="1"/>
    <col min="2313" max="2313" width="31.453125" style="1" customWidth="1"/>
    <col min="2314" max="2554" width="8.7265625" style="1"/>
    <col min="2555" max="2555" width="7.81640625" style="1" customWidth="1"/>
    <col min="2556" max="2556" width="8.54296875" style="1" customWidth="1"/>
    <col min="2557" max="2557" width="20.1796875" style="1" customWidth="1"/>
    <col min="2558" max="2558" width="16.453125" style="1" customWidth="1"/>
    <col min="2559" max="2559" width="22.26953125" style="1" customWidth="1"/>
    <col min="2560" max="2560" width="17.81640625" style="1" customWidth="1"/>
    <col min="2561" max="2561" width="22.81640625" style="1" customWidth="1"/>
    <col min="2562" max="2562" width="25.453125" style="1" customWidth="1"/>
    <col min="2563" max="2564" width="6.7265625" style="1" customWidth="1"/>
    <col min="2565" max="2565" width="26.453125" style="1" customWidth="1"/>
    <col min="2566" max="2566" width="18.54296875" style="1" customWidth="1"/>
    <col min="2567" max="2567" width="29.81640625" style="1" customWidth="1"/>
    <col min="2568" max="2568" width="23.54296875" style="1" customWidth="1"/>
    <col min="2569" max="2569" width="31.453125" style="1" customWidth="1"/>
    <col min="2570" max="2810" width="8.7265625" style="1"/>
    <col min="2811" max="2811" width="7.81640625" style="1" customWidth="1"/>
    <col min="2812" max="2812" width="8.54296875" style="1" customWidth="1"/>
    <col min="2813" max="2813" width="20.1796875" style="1" customWidth="1"/>
    <col min="2814" max="2814" width="16.453125" style="1" customWidth="1"/>
    <col min="2815" max="2815" width="22.26953125" style="1" customWidth="1"/>
    <col min="2816" max="2816" width="17.81640625" style="1" customWidth="1"/>
    <col min="2817" max="2817" width="22.81640625" style="1" customWidth="1"/>
    <col min="2818" max="2818" width="25.453125" style="1" customWidth="1"/>
    <col min="2819" max="2820" width="6.7265625" style="1" customWidth="1"/>
    <col min="2821" max="2821" width="26.453125" style="1" customWidth="1"/>
    <col min="2822" max="2822" width="18.54296875" style="1" customWidth="1"/>
    <col min="2823" max="2823" width="29.81640625" style="1" customWidth="1"/>
    <col min="2824" max="2824" width="23.54296875" style="1" customWidth="1"/>
    <col min="2825" max="2825" width="31.453125" style="1" customWidth="1"/>
    <col min="2826" max="3066" width="8.7265625" style="1"/>
    <col min="3067" max="3067" width="7.81640625" style="1" customWidth="1"/>
    <col min="3068" max="3068" width="8.54296875" style="1" customWidth="1"/>
    <col min="3069" max="3069" width="20.1796875" style="1" customWidth="1"/>
    <col min="3070" max="3070" width="16.453125" style="1" customWidth="1"/>
    <col min="3071" max="3071" width="22.26953125" style="1" customWidth="1"/>
    <col min="3072" max="3072" width="17.81640625" style="1" customWidth="1"/>
    <col min="3073" max="3073" width="22.81640625" style="1" customWidth="1"/>
    <col min="3074" max="3074" width="25.453125" style="1" customWidth="1"/>
    <col min="3075" max="3076" width="6.7265625" style="1" customWidth="1"/>
    <col min="3077" max="3077" width="26.453125" style="1" customWidth="1"/>
    <col min="3078" max="3078" width="18.54296875" style="1" customWidth="1"/>
    <col min="3079" max="3079" width="29.81640625" style="1" customWidth="1"/>
    <col min="3080" max="3080" width="23.54296875" style="1" customWidth="1"/>
    <col min="3081" max="3081" width="31.453125" style="1" customWidth="1"/>
    <col min="3082" max="3322" width="8.7265625" style="1"/>
    <col min="3323" max="3323" width="7.81640625" style="1" customWidth="1"/>
    <col min="3324" max="3324" width="8.54296875" style="1" customWidth="1"/>
    <col min="3325" max="3325" width="20.1796875" style="1" customWidth="1"/>
    <col min="3326" max="3326" width="16.453125" style="1" customWidth="1"/>
    <col min="3327" max="3327" width="22.26953125" style="1" customWidth="1"/>
    <col min="3328" max="3328" width="17.81640625" style="1" customWidth="1"/>
    <col min="3329" max="3329" width="22.81640625" style="1" customWidth="1"/>
    <col min="3330" max="3330" width="25.453125" style="1" customWidth="1"/>
    <col min="3331" max="3332" width="6.7265625" style="1" customWidth="1"/>
    <col min="3333" max="3333" width="26.453125" style="1" customWidth="1"/>
    <col min="3334" max="3334" width="18.54296875" style="1" customWidth="1"/>
    <col min="3335" max="3335" width="29.81640625" style="1" customWidth="1"/>
    <col min="3336" max="3336" width="23.54296875" style="1" customWidth="1"/>
    <col min="3337" max="3337" width="31.453125" style="1" customWidth="1"/>
    <col min="3338" max="3578" width="8.7265625" style="1"/>
    <col min="3579" max="3579" width="7.81640625" style="1" customWidth="1"/>
    <col min="3580" max="3580" width="8.54296875" style="1" customWidth="1"/>
    <col min="3581" max="3581" width="20.1796875" style="1" customWidth="1"/>
    <col min="3582" max="3582" width="16.453125" style="1" customWidth="1"/>
    <col min="3583" max="3583" width="22.26953125" style="1" customWidth="1"/>
    <col min="3584" max="3584" width="17.81640625" style="1" customWidth="1"/>
    <col min="3585" max="3585" width="22.81640625" style="1" customWidth="1"/>
    <col min="3586" max="3586" width="25.453125" style="1" customWidth="1"/>
    <col min="3587" max="3588" width="6.7265625" style="1" customWidth="1"/>
    <col min="3589" max="3589" width="26.453125" style="1" customWidth="1"/>
    <col min="3590" max="3590" width="18.54296875" style="1" customWidth="1"/>
    <col min="3591" max="3591" width="29.81640625" style="1" customWidth="1"/>
    <col min="3592" max="3592" width="23.54296875" style="1" customWidth="1"/>
    <col min="3593" max="3593" width="31.453125" style="1" customWidth="1"/>
    <col min="3594" max="3834" width="8.7265625" style="1"/>
    <col min="3835" max="3835" width="7.81640625" style="1" customWidth="1"/>
    <col min="3836" max="3836" width="8.54296875" style="1" customWidth="1"/>
    <col min="3837" max="3837" width="20.1796875" style="1" customWidth="1"/>
    <col min="3838" max="3838" width="16.453125" style="1" customWidth="1"/>
    <col min="3839" max="3839" width="22.26953125" style="1" customWidth="1"/>
    <col min="3840" max="3840" width="17.81640625" style="1" customWidth="1"/>
    <col min="3841" max="3841" width="22.81640625" style="1" customWidth="1"/>
    <col min="3842" max="3842" width="25.453125" style="1" customWidth="1"/>
    <col min="3843" max="3844" width="6.7265625" style="1" customWidth="1"/>
    <col min="3845" max="3845" width="26.453125" style="1" customWidth="1"/>
    <col min="3846" max="3846" width="18.54296875" style="1" customWidth="1"/>
    <col min="3847" max="3847" width="29.81640625" style="1" customWidth="1"/>
    <col min="3848" max="3848" width="23.54296875" style="1" customWidth="1"/>
    <col min="3849" max="3849" width="31.453125" style="1" customWidth="1"/>
    <col min="3850" max="4090" width="8.7265625" style="1"/>
    <col min="4091" max="4091" width="7.81640625" style="1" customWidth="1"/>
    <col min="4092" max="4092" width="8.54296875" style="1" customWidth="1"/>
    <col min="4093" max="4093" width="20.1796875" style="1" customWidth="1"/>
    <col min="4094" max="4094" width="16.453125" style="1" customWidth="1"/>
    <col min="4095" max="4095" width="22.26953125" style="1" customWidth="1"/>
    <col min="4096" max="4096" width="17.81640625" style="1" customWidth="1"/>
    <col min="4097" max="4097" width="22.81640625" style="1" customWidth="1"/>
    <col min="4098" max="4098" width="25.453125" style="1" customWidth="1"/>
    <col min="4099" max="4100" width="6.7265625" style="1" customWidth="1"/>
    <col min="4101" max="4101" width="26.453125" style="1" customWidth="1"/>
    <col min="4102" max="4102" width="18.54296875" style="1" customWidth="1"/>
    <col min="4103" max="4103" width="29.81640625" style="1" customWidth="1"/>
    <col min="4104" max="4104" width="23.54296875" style="1" customWidth="1"/>
    <col min="4105" max="4105" width="31.453125" style="1" customWidth="1"/>
    <col min="4106" max="4346" width="8.7265625" style="1"/>
    <col min="4347" max="4347" width="7.81640625" style="1" customWidth="1"/>
    <col min="4348" max="4348" width="8.54296875" style="1" customWidth="1"/>
    <col min="4349" max="4349" width="20.1796875" style="1" customWidth="1"/>
    <col min="4350" max="4350" width="16.453125" style="1" customWidth="1"/>
    <col min="4351" max="4351" width="22.26953125" style="1" customWidth="1"/>
    <col min="4352" max="4352" width="17.81640625" style="1" customWidth="1"/>
    <col min="4353" max="4353" width="22.81640625" style="1" customWidth="1"/>
    <col min="4354" max="4354" width="25.453125" style="1" customWidth="1"/>
    <col min="4355" max="4356" width="6.7265625" style="1" customWidth="1"/>
    <col min="4357" max="4357" width="26.453125" style="1" customWidth="1"/>
    <col min="4358" max="4358" width="18.54296875" style="1" customWidth="1"/>
    <col min="4359" max="4359" width="29.81640625" style="1" customWidth="1"/>
    <col min="4360" max="4360" width="23.54296875" style="1" customWidth="1"/>
    <col min="4361" max="4361" width="31.453125" style="1" customWidth="1"/>
    <col min="4362" max="4602" width="8.7265625" style="1"/>
    <col min="4603" max="4603" width="7.81640625" style="1" customWidth="1"/>
    <col min="4604" max="4604" width="8.54296875" style="1" customWidth="1"/>
    <col min="4605" max="4605" width="20.1796875" style="1" customWidth="1"/>
    <col min="4606" max="4606" width="16.453125" style="1" customWidth="1"/>
    <col min="4607" max="4607" width="22.26953125" style="1" customWidth="1"/>
    <col min="4608" max="4608" width="17.81640625" style="1" customWidth="1"/>
    <col min="4609" max="4609" width="22.81640625" style="1" customWidth="1"/>
    <col min="4610" max="4610" width="25.453125" style="1" customWidth="1"/>
    <col min="4611" max="4612" width="6.7265625" style="1" customWidth="1"/>
    <col min="4613" max="4613" width="26.453125" style="1" customWidth="1"/>
    <col min="4614" max="4614" width="18.54296875" style="1" customWidth="1"/>
    <col min="4615" max="4615" width="29.81640625" style="1" customWidth="1"/>
    <col min="4616" max="4616" width="23.54296875" style="1" customWidth="1"/>
    <col min="4617" max="4617" width="31.453125" style="1" customWidth="1"/>
    <col min="4618" max="4858" width="8.7265625" style="1"/>
    <col min="4859" max="4859" width="7.81640625" style="1" customWidth="1"/>
    <col min="4860" max="4860" width="8.54296875" style="1" customWidth="1"/>
    <col min="4861" max="4861" width="20.1796875" style="1" customWidth="1"/>
    <col min="4862" max="4862" width="16.453125" style="1" customWidth="1"/>
    <col min="4863" max="4863" width="22.26953125" style="1" customWidth="1"/>
    <col min="4864" max="4864" width="17.81640625" style="1" customWidth="1"/>
    <col min="4865" max="4865" width="22.81640625" style="1" customWidth="1"/>
    <col min="4866" max="4866" width="25.453125" style="1" customWidth="1"/>
    <col min="4867" max="4868" width="6.7265625" style="1" customWidth="1"/>
    <col min="4869" max="4869" width="26.453125" style="1" customWidth="1"/>
    <col min="4870" max="4870" width="18.54296875" style="1" customWidth="1"/>
    <col min="4871" max="4871" width="29.81640625" style="1" customWidth="1"/>
    <col min="4872" max="4872" width="23.54296875" style="1" customWidth="1"/>
    <col min="4873" max="4873" width="31.453125" style="1" customWidth="1"/>
    <col min="4874" max="5114" width="8.7265625" style="1"/>
    <col min="5115" max="5115" width="7.81640625" style="1" customWidth="1"/>
    <col min="5116" max="5116" width="8.54296875" style="1" customWidth="1"/>
    <col min="5117" max="5117" width="20.1796875" style="1" customWidth="1"/>
    <col min="5118" max="5118" width="16.453125" style="1" customWidth="1"/>
    <col min="5119" max="5119" width="22.26953125" style="1" customWidth="1"/>
    <col min="5120" max="5120" width="17.81640625" style="1" customWidth="1"/>
    <col min="5121" max="5121" width="22.81640625" style="1" customWidth="1"/>
    <col min="5122" max="5122" width="25.453125" style="1" customWidth="1"/>
    <col min="5123" max="5124" width="6.7265625" style="1" customWidth="1"/>
    <col min="5125" max="5125" width="26.453125" style="1" customWidth="1"/>
    <col min="5126" max="5126" width="18.54296875" style="1" customWidth="1"/>
    <col min="5127" max="5127" width="29.81640625" style="1" customWidth="1"/>
    <col min="5128" max="5128" width="23.54296875" style="1" customWidth="1"/>
    <col min="5129" max="5129" width="31.453125" style="1" customWidth="1"/>
    <col min="5130" max="5370" width="8.7265625" style="1"/>
    <col min="5371" max="5371" width="7.81640625" style="1" customWidth="1"/>
    <col min="5372" max="5372" width="8.54296875" style="1" customWidth="1"/>
    <col min="5373" max="5373" width="20.1796875" style="1" customWidth="1"/>
    <col min="5374" max="5374" width="16.453125" style="1" customWidth="1"/>
    <col min="5375" max="5375" width="22.26953125" style="1" customWidth="1"/>
    <col min="5376" max="5376" width="17.81640625" style="1" customWidth="1"/>
    <col min="5377" max="5377" width="22.81640625" style="1" customWidth="1"/>
    <col min="5378" max="5378" width="25.453125" style="1" customWidth="1"/>
    <col min="5379" max="5380" width="6.7265625" style="1" customWidth="1"/>
    <col min="5381" max="5381" width="26.453125" style="1" customWidth="1"/>
    <col min="5382" max="5382" width="18.54296875" style="1" customWidth="1"/>
    <col min="5383" max="5383" width="29.81640625" style="1" customWidth="1"/>
    <col min="5384" max="5384" width="23.54296875" style="1" customWidth="1"/>
    <col min="5385" max="5385" width="31.453125" style="1" customWidth="1"/>
    <col min="5386" max="5626" width="8.7265625" style="1"/>
    <col min="5627" max="5627" width="7.81640625" style="1" customWidth="1"/>
    <col min="5628" max="5628" width="8.54296875" style="1" customWidth="1"/>
    <col min="5629" max="5629" width="20.1796875" style="1" customWidth="1"/>
    <col min="5630" max="5630" width="16.453125" style="1" customWidth="1"/>
    <col min="5631" max="5631" width="22.26953125" style="1" customWidth="1"/>
    <col min="5632" max="5632" width="17.81640625" style="1" customWidth="1"/>
    <col min="5633" max="5633" width="22.81640625" style="1" customWidth="1"/>
    <col min="5634" max="5634" width="25.453125" style="1" customWidth="1"/>
    <col min="5635" max="5636" width="6.7265625" style="1" customWidth="1"/>
    <col min="5637" max="5637" width="26.453125" style="1" customWidth="1"/>
    <col min="5638" max="5638" width="18.54296875" style="1" customWidth="1"/>
    <col min="5639" max="5639" width="29.81640625" style="1" customWidth="1"/>
    <col min="5640" max="5640" width="23.54296875" style="1" customWidth="1"/>
    <col min="5641" max="5641" width="31.453125" style="1" customWidth="1"/>
    <col min="5642" max="5882" width="8.7265625" style="1"/>
    <col min="5883" max="5883" width="7.81640625" style="1" customWidth="1"/>
    <col min="5884" max="5884" width="8.54296875" style="1" customWidth="1"/>
    <col min="5885" max="5885" width="20.1796875" style="1" customWidth="1"/>
    <col min="5886" max="5886" width="16.453125" style="1" customWidth="1"/>
    <col min="5887" max="5887" width="22.26953125" style="1" customWidth="1"/>
    <col min="5888" max="5888" width="17.81640625" style="1" customWidth="1"/>
    <col min="5889" max="5889" width="22.81640625" style="1" customWidth="1"/>
    <col min="5890" max="5890" width="25.453125" style="1" customWidth="1"/>
    <col min="5891" max="5892" width="6.7265625" style="1" customWidth="1"/>
    <col min="5893" max="5893" width="26.453125" style="1" customWidth="1"/>
    <col min="5894" max="5894" width="18.54296875" style="1" customWidth="1"/>
    <col min="5895" max="5895" width="29.81640625" style="1" customWidth="1"/>
    <col min="5896" max="5896" width="23.54296875" style="1" customWidth="1"/>
    <col min="5897" max="5897" width="31.453125" style="1" customWidth="1"/>
    <col min="5898" max="6138" width="8.7265625" style="1"/>
    <col min="6139" max="6139" width="7.81640625" style="1" customWidth="1"/>
    <col min="6140" max="6140" width="8.54296875" style="1" customWidth="1"/>
    <col min="6141" max="6141" width="20.1796875" style="1" customWidth="1"/>
    <col min="6142" max="6142" width="16.453125" style="1" customWidth="1"/>
    <col min="6143" max="6143" width="22.26953125" style="1" customWidth="1"/>
    <col min="6144" max="6144" width="17.81640625" style="1" customWidth="1"/>
    <col min="6145" max="6145" width="22.81640625" style="1" customWidth="1"/>
    <col min="6146" max="6146" width="25.453125" style="1" customWidth="1"/>
    <col min="6147" max="6148" width="6.7265625" style="1" customWidth="1"/>
    <col min="6149" max="6149" width="26.453125" style="1" customWidth="1"/>
    <col min="6150" max="6150" width="18.54296875" style="1" customWidth="1"/>
    <col min="6151" max="6151" width="29.81640625" style="1" customWidth="1"/>
    <col min="6152" max="6152" width="23.54296875" style="1" customWidth="1"/>
    <col min="6153" max="6153" width="31.453125" style="1" customWidth="1"/>
    <col min="6154" max="6394" width="8.7265625" style="1"/>
    <col min="6395" max="6395" width="7.81640625" style="1" customWidth="1"/>
    <col min="6396" max="6396" width="8.54296875" style="1" customWidth="1"/>
    <col min="6397" max="6397" width="20.1796875" style="1" customWidth="1"/>
    <col min="6398" max="6398" width="16.453125" style="1" customWidth="1"/>
    <col min="6399" max="6399" width="22.26953125" style="1" customWidth="1"/>
    <col min="6400" max="6400" width="17.81640625" style="1" customWidth="1"/>
    <col min="6401" max="6401" width="22.81640625" style="1" customWidth="1"/>
    <col min="6402" max="6402" width="25.453125" style="1" customWidth="1"/>
    <col min="6403" max="6404" width="6.7265625" style="1" customWidth="1"/>
    <col min="6405" max="6405" width="26.453125" style="1" customWidth="1"/>
    <col min="6406" max="6406" width="18.54296875" style="1" customWidth="1"/>
    <col min="6407" max="6407" width="29.81640625" style="1" customWidth="1"/>
    <col min="6408" max="6408" width="23.54296875" style="1" customWidth="1"/>
    <col min="6409" max="6409" width="31.453125" style="1" customWidth="1"/>
    <col min="6410" max="6650" width="8.7265625" style="1"/>
    <col min="6651" max="6651" width="7.81640625" style="1" customWidth="1"/>
    <col min="6652" max="6652" width="8.54296875" style="1" customWidth="1"/>
    <col min="6653" max="6653" width="20.1796875" style="1" customWidth="1"/>
    <col min="6654" max="6654" width="16.453125" style="1" customWidth="1"/>
    <col min="6655" max="6655" width="22.26953125" style="1" customWidth="1"/>
    <col min="6656" max="6656" width="17.81640625" style="1" customWidth="1"/>
    <col min="6657" max="6657" width="22.81640625" style="1" customWidth="1"/>
    <col min="6658" max="6658" width="25.453125" style="1" customWidth="1"/>
    <col min="6659" max="6660" width="6.7265625" style="1" customWidth="1"/>
    <col min="6661" max="6661" width="26.453125" style="1" customWidth="1"/>
    <col min="6662" max="6662" width="18.54296875" style="1" customWidth="1"/>
    <col min="6663" max="6663" width="29.81640625" style="1" customWidth="1"/>
    <col min="6664" max="6664" width="23.54296875" style="1" customWidth="1"/>
    <col min="6665" max="6665" width="31.453125" style="1" customWidth="1"/>
    <col min="6666" max="6906" width="8.7265625" style="1"/>
    <col min="6907" max="6907" width="7.81640625" style="1" customWidth="1"/>
    <col min="6908" max="6908" width="8.54296875" style="1" customWidth="1"/>
    <col min="6909" max="6909" width="20.1796875" style="1" customWidth="1"/>
    <col min="6910" max="6910" width="16.453125" style="1" customWidth="1"/>
    <col min="6911" max="6911" width="22.26953125" style="1" customWidth="1"/>
    <col min="6912" max="6912" width="17.81640625" style="1" customWidth="1"/>
    <col min="6913" max="6913" width="22.81640625" style="1" customWidth="1"/>
    <col min="6914" max="6914" width="25.453125" style="1" customWidth="1"/>
    <col min="6915" max="6916" width="6.7265625" style="1" customWidth="1"/>
    <col min="6917" max="6917" width="26.453125" style="1" customWidth="1"/>
    <col min="6918" max="6918" width="18.54296875" style="1" customWidth="1"/>
    <col min="6919" max="6919" width="29.81640625" style="1" customWidth="1"/>
    <col min="6920" max="6920" width="23.54296875" style="1" customWidth="1"/>
    <col min="6921" max="6921" width="31.453125" style="1" customWidth="1"/>
    <col min="6922" max="7162" width="8.7265625" style="1"/>
    <col min="7163" max="7163" width="7.81640625" style="1" customWidth="1"/>
    <col min="7164" max="7164" width="8.54296875" style="1" customWidth="1"/>
    <col min="7165" max="7165" width="20.1796875" style="1" customWidth="1"/>
    <col min="7166" max="7166" width="16.453125" style="1" customWidth="1"/>
    <col min="7167" max="7167" width="22.26953125" style="1" customWidth="1"/>
    <col min="7168" max="7168" width="17.81640625" style="1" customWidth="1"/>
    <col min="7169" max="7169" width="22.81640625" style="1" customWidth="1"/>
    <col min="7170" max="7170" width="25.453125" style="1" customWidth="1"/>
    <col min="7171" max="7172" width="6.7265625" style="1" customWidth="1"/>
    <col min="7173" max="7173" width="26.453125" style="1" customWidth="1"/>
    <col min="7174" max="7174" width="18.54296875" style="1" customWidth="1"/>
    <col min="7175" max="7175" width="29.81640625" style="1" customWidth="1"/>
    <col min="7176" max="7176" width="23.54296875" style="1" customWidth="1"/>
    <col min="7177" max="7177" width="31.453125" style="1" customWidth="1"/>
    <col min="7178" max="7418" width="8.7265625" style="1"/>
    <col min="7419" max="7419" width="7.81640625" style="1" customWidth="1"/>
    <col min="7420" max="7420" width="8.54296875" style="1" customWidth="1"/>
    <col min="7421" max="7421" width="20.1796875" style="1" customWidth="1"/>
    <col min="7422" max="7422" width="16.453125" style="1" customWidth="1"/>
    <col min="7423" max="7423" width="22.26953125" style="1" customWidth="1"/>
    <col min="7424" max="7424" width="17.81640625" style="1" customWidth="1"/>
    <col min="7425" max="7425" width="22.81640625" style="1" customWidth="1"/>
    <col min="7426" max="7426" width="25.453125" style="1" customWidth="1"/>
    <col min="7427" max="7428" width="6.7265625" style="1" customWidth="1"/>
    <col min="7429" max="7429" width="26.453125" style="1" customWidth="1"/>
    <col min="7430" max="7430" width="18.54296875" style="1" customWidth="1"/>
    <col min="7431" max="7431" width="29.81640625" style="1" customWidth="1"/>
    <col min="7432" max="7432" width="23.54296875" style="1" customWidth="1"/>
    <col min="7433" max="7433" width="31.453125" style="1" customWidth="1"/>
    <col min="7434" max="7674" width="8.7265625" style="1"/>
    <col min="7675" max="7675" width="7.81640625" style="1" customWidth="1"/>
    <col min="7676" max="7676" width="8.54296875" style="1" customWidth="1"/>
    <col min="7677" max="7677" width="20.1796875" style="1" customWidth="1"/>
    <col min="7678" max="7678" width="16.453125" style="1" customWidth="1"/>
    <col min="7679" max="7679" width="22.26953125" style="1" customWidth="1"/>
    <col min="7680" max="7680" width="17.81640625" style="1" customWidth="1"/>
    <col min="7681" max="7681" width="22.81640625" style="1" customWidth="1"/>
    <col min="7682" max="7682" width="25.453125" style="1" customWidth="1"/>
    <col min="7683" max="7684" width="6.7265625" style="1" customWidth="1"/>
    <col min="7685" max="7685" width="26.453125" style="1" customWidth="1"/>
    <col min="7686" max="7686" width="18.54296875" style="1" customWidth="1"/>
    <col min="7687" max="7687" width="29.81640625" style="1" customWidth="1"/>
    <col min="7688" max="7688" width="23.54296875" style="1" customWidth="1"/>
    <col min="7689" max="7689" width="31.453125" style="1" customWidth="1"/>
    <col min="7690" max="7930" width="8.7265625" style="1"/>
    <col min="7931" max="7931" width="7.81640625" style="1" customWidth="1"/>
    <col min="7932" max="7932" width="8.54296875" style="1" customWidth="1"/>
    <col min="7933" max="7933" width="20.1796875" style="1" customWidth="1"/>
    <col min="7934" max="7934" width="16.453125" style="1" customWidth="1"/>
    <col min="7935" max="7935" width="22.26953125" style="1" customWidth="1"/>
    <col min="7936" max="7936" width="17.81640625" style="1" customWidth="1"/>
    <col min="7937" max="7937" width="22.81640625" style="1" customWidth="1"/>
    <col min="7938" max="7938" width="25.453125" style="1" customWidth="1"/>
    <col min="7939" max="7940" width="6.7265625" style="1" customWidth="1"/>
    <col min="7941" max="7941" width="26.453125" style="1" customWidth="1"/>
    <col min="7942" max="7942" width="18.54296875" style="1" customWidth="1"/>
    <col min="7943" max="7943" width="29.81640625" style="1" customWidth="1"/>
    <col min="7944" max="7944" width="23.54296875" style="1" customWidth="1"/>
    <col min="7945" max="7945" width="31.453125" style="1" customWidth="1"/>
    <col min="7946" max="8186" width="8.7265625" style="1"/>
    <col min="8187" max="8187" width="7.81640625" style="1" customWidth="1"/>
    <col min="8188" max="8188" width="8.54296875" style="1" customWidth="1"/>
    <col min="8189" max="8189" width="20.1796875" style="1" customWidth="1"/>
    <col min="8190" max="8190" width="16.453125" style="1" customWidth="1"/>
    <col min="8191" max="8191" width="22.26953125" style="1" customWidth="1"/>
    <col min="8192" max="8192" width="17.81640625" style="1" customWidth="1"/>
    <col min="8193" max="8193" width="22.81640625" style="1" customWidth="1"/>
    <col min="8194" max="8194" width="25.453125" style="1" customWidth="1"/>
    <col min="8195" max="8196" width="6.7265625" style="1" customWidth="1"/>
    <col min="8197" max="8197" width="26.453125" style="1" customWidth="1"/>
    <col min="8198" max="8198" width="18.54296875" style="1" customWidth="1"/>
    <col min="8199" max="8199" width="29.81640625" style="1" customWidth="1"/>
    <col min="8200" max="8200" width="23.54296875" style="1" customWidth="1"/>
    <col min="8201" max="8201" width="31.453125" style="1" customWidth="1"/>
    <col min="8202" max="8442" width="8.7265625" style="1"/>
    <col min="8443" max="8443" width="7.81640625" style="1" customWidth="1"/>
    <col min="8444" max="8444" width="8.54296875" style="1" customWidth="1"/>
    <col min="8445" max="8445" width="20.1796875" style="1" customWidth="1"/>
    <col min="8446" max="8446" width="16.453125" style="1" customWidth="1"/>
    <col min="8447" max="8447" width="22.26953125" style="1" customWidth="1"/>
    <col min="8448" max="8448" width="17.81640625" style="1" customWidth="1"/>
    <col min="8449" max="8449" width="22.81640625" style="1" customWidth="1"/>
    <col min="8450" max="8450" width="25.453125" style="1" customWidth="1"/>
    <col min="8451" max="8452" width="6.7265625" style="1" customWidth="1"/>
    <col min="8453" max="8453" width="26.453125" style="1" customWidth="1"/>
    <col min="8454" max="8454" width="18.54296875" style="1" customWidth="1"/>
    <col min="8455" max="8455" width="29.81640625" style="1" customWidth="1"/>
    <col min="8456" max="8456" width="23.54296875" style="1" customWidth="1"/>
    <col min="8457" max="8457" width="31.453125" style="1" customWidth="1"/>
    <col min="8458" max="8698" width="8.7265625" style="1"/>
    <col min="8699" max="8699" width="7.81640625" style="1" customWidth="1"/>
    <col min="8700" max="8700" width="8.54296875" style="1" customWidth="1"/>
    <col min="8701" max="8701" width="20.1796875" style="1" customWidth="1"/>
    <col min="8702" max="8702" width="16.453125" style="1" customWidth="1"/>
    <col min="8703" max="8703" width="22.26953125" style="1" customWidth="1"/>
    <col min="8704" max="8704" width="17.81640625" style="1" customWidth="1"/>
    <col min="8705" max="8705" width="22.81640625" style="1" customWidth="1"/>
    <col min="8706" max="8706" width="25.453125" style="1" customWidth="1"/>
    <col min="8707" max="8708" width="6.7265625" style="1" customWidth="1"/>
    <col min="8709" max="8709" width="26.453125" style="1" customWidth="1"/>
    <col min="8710" max="8710" width="18.54296875" style="1" customWidth="1"/>
    <col min="8711" max="8711" width="29.81640625" style="1" customWidth="1"/>
    <col min="8712" max="8712" width="23.54296875" style="1" customWidth="1"/>
    <col min="8713" max="8713" width="31.453125" style="1" customWidth="1"/>
    <col min="8714" max="8954" width="8.7265625" style="1"/>
    <col min="8955" max="8955" width="7.81640625" style="1" customWidth="1"/>
    <col min="8956" max="8956" width="8.54296875" style="1" customWidth="1"/>
    <col min="8957" max="8957" width="20.1796875" style="1" customWidth="1"/>
    <col min="8958" max="8958" width="16.453125" style="1" customWidth="1"/>
    <col min="8959" max="8959" width="22.26953125" style="1" customWidth="1"/>
    <col min="8960" max="8960" width="17.81640625" style="1" customWidth="1"/>
    <col min="8961" max="8961" width="22.81640625" style="1" customWidth="1"/>
    <col min="8962" max="8962" width="25.453125" style="1" customWidth="1"/>
    <col min="8963" max="8964" width="6.7265625" style="1" customWidth="1"/>
    <col min="8965" max="8965" width="26.453125" style="1" customWidth="1"/>
    <col min="8966" max="8966" width="18.54296875" style="1" customWidth="1"/>
    <col min="8967" max="8967" width="29.81640625" style="1" customWidth="1"/>
    <col min="8968" max="8968" width="23.54296875" style="1" customWidth="1"/>
    <col min="8969" max="8969" width="31.453125" style="1" customWidth="1"/>
    <col min="8970" max="9210" width="8.7265625" style="1"/>
    <col min="9211" max="9211" width="7.81640625" style="1" customWidth="1"/>
    <col min="9212" max="9212" width="8.54296875" style="1" customWidth="1"/>
    <col min="9213" max="9213" width="20.1796875" style="1" customWidth="1"/>
    <col min="9214" max="9214" width="16.453125" style="1" customWidth="1"/>
    <col min="9215" max="9215" width="22.26953125" style="1" customWidth="1"/>
    <col min="9216" max="9216" width="17.81640625" style="1" customWidth="1"/>
    <col min="9217" max="9217" width="22.81640625" style="1" customWidth="1"/>
    <col min="9218" max="9218" width="25.453125" style="1" customWidth="1"/>
    <col min="9219" max="9220" width="6.7265625" style="1" customWidth="1"/>
    <col min="9221" max="9221" width="26.453125" style="1" customWidth="1"/>
    <col min="9222" max="9222" width="18.54296875" style="1" customWidth="1"/>
    <col min="9223" max="9223" width="29.81640625" style="1" customWidth="1"/>
    <col min="9224" max="9224" width="23.54296875" style="1" customWidth="1"/>
    <col min="9225" max="9225" width="31.453125" style="1" customWidth="1"/>
    <col min="9226" max="9466" width="8.7265625" style="1"/>
    <col min="9467" max="9467" width="7.81640625" style="1" customWidth="1"/>
    <col min="9468" max="9468" width="8.54296875" style="1" customWidth="1"/>
    <col min="9469" max="9469" width="20.1796875" style="1" customWidth="1"/>
    <col min="9470" max="9470" width="16.453125" style="1" customWidth="1"/>
    <col min="9471" max="9471" width="22.26953125" style="1" customWidth="1"/>
    <col min="9472" max="9472" width="17.81640625" style="1" customWidth="1"/>
    <col min="9473" max="9473" width="22.81640625" style="1" customWidth="1"/>
    <col min="9474" max="9474" width="25.453125" style="1" customWidth="1"/>
    <col min="9475" max="9476" width="6.7265625" style="1" customWidth="1"/>
    <col min="9477" max="9477" width="26.453125" style="1" customWidth="1"/>
    <col min="9478" max="9478" width="18.54296875" style="1" customWidth="1"/>
    <col min="9479" max="9479" width="29.81640625" style="1" customWidth="1"/>
    <col min="9480" max="9480" width="23.54296875" style="1" customWidth="1"/>
    <col min="9481" max="9481" width="31.453125" style="1" customWidth="1"/>
    <col min="9482" max="9722" width="8.7265625" style="1"/>
    <col min="9723" max="9723" width="7.81640625" style="1" customWidth="1"/>
    <col min="9724" max="9724" width="8.54296875" style="1" customWidth="1"/>
    <col min="9725" max="9725" width="20.1796875" style="1" customWidth="1"/>
    <col min="9726" max="9726" width="16.453125" style="1" customWidth="1"/>
    <col min="9727" max="9727" width="22.26953125" style="1" customWidth="1"/>
    <col min="9728" max="9728" width="17.81640625" style="1" customWidth="1"/>
    <col min="9729" max="9729" width="22.81640625" style="1" customWidth="1"/>
    <col min="9730" max="9730" width="25.453125" style="1" customWidth="1"/>
    <col min="9731" max="9732" width="6.7265625" style="1" customWidth="1"/>
    <col min="9733" max="9733" width="26.453125" style="1" customWidth="1"/>
    <col min="9734" max="9734" width="18.54296875" style="1" customWidth="1"/>
    <col min="9735" max="9735" width="29.81640625" style="1" customWidth="1"/>
    <col min="9736" max="9736" width="23.54296875" style="1" customWidth="1"/>
    <col min="9737" max="9737" width="31.453125" style="1" customWidth="1"/>
    <col min="9738" max="9978" width="8.7265625" style="1"/>
    <col min="9979" max="9979" width="7.81640625" style="1" customWidth="1"/>
    <col min="9980" max="9980" width="8.54296875" style="1" customWidth="1"/>
    <col min="9981" max="9981" width="20.1796875" style="1" customWidth="1"/>
    <col min="9982" max="9982" width="16.453125" style="1" customWidth="1"/>
    <col min="9983" max="9983" width="22.26953125" style="1" customWidth="1"/>
    <col min="9984" max="9984" width="17.81640625" style="1" customWidth="1"/>
    <col min="9985" max="9985" width="22.81640625" style="1" customWidth="1"/>
    <col min="9986" max="9986" width="25.453125" style="1" customWidth="1"/>
    <col min="9987" max="9988" width="6.7265625" style="1" customWidth="1"/>
    <col min="9989" max="9989" width="26.453125" style="1" customWidth="1"/>
    <col min="9990" max="9990" width="18.54296875" style="1" customWidth="1"/>
    <col min="9991" max="9991" width="29.81640625" style="1" customWidth="1"/>
    <col min="9992" max="9992" width="23.54296875" style="1" customWidth="1"/>
    <col min="9993" max="9993" width="31.453125" style="1" customWidth="1"/>
    <col min="9994" max="10234" width="8.7265625" style="1"/>
    <col min="10235" max="10235" width="7.81640625" style="1" customWidth="1"/>
    <col min="10236" max="10236" width="8.54296875" style="1" customWidth="1"/>
    <col min="10237" max="10237" width="20.1796875" style="1" customWidth="1"/>
    <col min="10238" max="10238" width="16.453125" style="1" customWidth="1"/>
    <col min="10239" max="10239" width="22.26953125" style="1" customWidth="1"/>
    <col min="10240" max="10240" width="17.81640625" style="1" customWidth="1"/>
    <col min="10241" max="10241" width="22.81640625" style="1" customWidth="1"/>
    <col min="10242" max="10242" width="25.453125" style="1" customWidth="1"/>
    <col min="10243" max="10244" width="6.7265625" style="1" customWidth="1"/>
    <col min="10245" max="10245" width="26.453125" style="1" customWidth="1"/>
    <col min="10246" max="10246" width="18.54296875" style="1" customWidth="1"/>
    <col min="10247" max="10247" width="29.81640625" style="1" customWidth="1"/>
    <col min="10248" max="10248" width="23.54296875" style="1" customWidth="1"/>
    <col min="10249" max="10249" width="31.453125" style="1" customWidth="1"/>
    <col min="10250" max="10490" width="8.7265625" style="1"/>
    <col min="10491" max="10491" width="7.81640625" style="1" customWidth="1"/>
    <col min="10492" max="10492" width="8.54296875" style="1" customWidth="1"/>
    <col min="10493" max="10493" width="20.1796875" style="1" customWidth="1"/>
    <col min="10494" max="10494" width="16.453125" style="1" customWidth="1"/>
    <col min="10495" max="10495" width="22.26953125" style="1" customWidth="1"/>
    <col min="10496" max="10496" width="17.81640625" style="1" customWidth="1"/>
    <col min="10497" max="10497" width="22.81640625" style="1" customWidth="1"/>
    <col min="10498" max="10498" width="25.453125" style="1" customWidth="1"/>
    <col min="10499" max="10500" width="6.7265625" style="1" customWidth="1"/>
    <col min="10501" max="10501" width="26.453125" style="1" customWidth="1"/>
    <col min="10502" max="10502" width="18.54296875" style="1" customWidth="1"/>
    <col min="10503" max="10503" width="29.81640625" style="1" customWidth="1"/>
    <col min="10504" max="10504" width="23.54296875" style="1" customWidth="1"/>
    <col min="10505" max="10505" width="31.453125" style="1" customWidth="1"/>
    <col min="10506" max="10746" width="8.7265625" style="1"/>
    <col min="10747" max="10747" width="7.81640625" style="1" customWidth="1"/>
    <col min="10748" max="10748" width="8.54296875" style="1" customWidth="1"/>
    <col min="10749" max="10749" width="20.1796875" style="1" customWidth="1"/>
    <col min="10750" max="10750" width="16.453125" style="1" customWidth="1"/>
    <col min="10751" max="10751" width="22.26953125" style="1" customWidth="1"/>
    <col min="10752" max="10752" width="17.81640625" style="1" customWidth="1"/>
    <col min="10753" max="10753" width="22.81640625" style="1" customWidth="1"/>
    <col min="10754" max="10754" width="25.453125" style="1" customWidth="1"/>
    <col min="10755" max="10756" width="6.7265625" style="1" customWidth="1"/>
    <col min="10757" max="10757" width="26.453125" style="1" customWidth="1"/>
    <col min="10758" max="10758" width="18.54296875" style="1" customWidth="1"/>
    <col min="10759" max="10759" width="29.81640625" style="1" customWidth="1"/>
    <col min="10760" max="10760" width="23.54296875" style="1" customWidth="1"/>
    <col min="10761" max="10761" width="31.453125" style="1" customWidth="1"/>
    <col min="10762" max="11002" width="8.7265625" style="1"/>
    <col min="11003" max="11003" width="7.81640625" style="1" customWidth="1"/>
    <col min="11004" max="11004" width="8.54296875" style="1" customWidth="1"/>
    <col min="11005" max="11005" width="20.1796875" style="1" customWidth="1"/>
    <col min="11006" max="11006" width="16.453125" style="1" customWidth="1"/>
    <col min="11007" max="11007" width="22.26953125" style="1" customWidth="1"/>
    <col min="11008" max="11008" width="17.81640625" style="1" customWidth="1"/>
    <col min="11009" max="11009" width="22.81640625" style="1" customWidth="1"/>
    <col min="11010" max="11010" width="25.453125" style="1" customWidth="1"/>
    <col min="11011" max="11012" width="6.7265625" style="1" customWidth="1"/>
    <col min="11013" max="11013" width="26.453125" style="1" customWidth="1"/>
    <col min="11014" max="11014" width="18.54296875" style="1" customWidth="1"/>
    <col min="11015" max="11015" width="29.81640625" style="1" customWidth="1"/>
    <col min="11016" max="11016" width="23.54296875" style="1" customWidth="1"/>
    <col min="11017" max="11017" width="31.453125" style="1" customWidth="1"/>
    <col min="11018" max="11258" width="8.7265625" style="1"/>
    <col min="11259" max="11259" width="7.81640625" style="1" customWidth="1"/>
    <col min="11260" max="11260" width="8.54296875" style="1" customWidth="1"/>
    <col min="11261" max="11261" width="20.1796875" style="1" customWidth="1"/>
    <col min="11262" max="11262" width="16.453125" style="1" customWidth="1"/>
    <col min="11263" max="11263" width="22.26953125" style="1" customWidth="1"/>
    <col min="11264" max="11264" width="17.81640625" style="1" customWidth="1"/>
    <col min="11265" max="11265" width="22.81640625" style="1" customWidth="1"/>
    <col min="11266" max="11266" width="25.453125" style="1" customWidth="1"/>
    <col min="11267" max="11268" width="6.7265625" style="1" customWidth="1"/>
    <col min="11269" max="11269" width="26.453125" style="1" customWidth="1"/>
    <col min="11270" max="11270" width="18.54296875" style="1" customWidth="1"/>
    <col min="11271" max="11271" width="29.81640625" style="1" customWidth="1"/>
    <col min="11272" max="11272" width="23.54296875" style="1" customWidth="1"/>
    <col min="11273" max="11273" width="31.453125" style="1" customWidth="1"/>
    <col min="11274" max="11514" width="8.7265625" style="1"/>
    <col min="11515" max="11515" width="7.81640625" style="1" customWidth="1"/>
    <col min="11516" max="11516" width="8.54296875" style="1" customWidth="1"/>
    <col min="11517" max="11517" width="20.1796875" style="1" customWidth="1"/>
    <col min="11518" max="11518" width="16.453125" style="1" customWidth="1"/>
    <col min="11519" max="11519" width="22.26953125" style="1" customWidth="1"/>
    <col min="11520" max="11520" width="17.81640625" style="1" customWidth="1"/>
    <col min="11521" max="11521" width="22.81640625" style="1" customWidth="1"/>
    <col min="11522" max="11522" width="25.453125" style="1" customWidth="1"/>
    <col min="11523" max="11524" width="6.7265625" style="1" customWidth="1"/>
    <col min="11525" max="11525" width="26.453125" style="1" customWidth="1"/>
    <col min="11526" max="11526" width="18.54296875" style="1" customWidth="1"/>
    <col min="11527" max="11527" width="29.81640625" style="1" customWidth="1"/>
    <col min="11528" max="11528" width="23.54296875" style="1" customWidth="1"/>
    <col min="11529" max="11529" width="31.453125" style="1" customWidth="1"/>
    <col min="11530" max="11770" width="8.7265625" style="1"/>
    <col min="11771" max="11771" width="7.81640625" style="1" customWidth="1"/>
    <col min="11772" max="11772" width="8.54296875" style="1" customWidth="1"/>
    <col min="11773" max="11773" width="20.1796875" style="1" customWidth="1"/>
    <col min="11774" max="11774" width="16.453125" style="1" customWidth="1"/>
    <col min="11775" max="11775" width="22.26953125" style="1" customWidth="1"/>
    <col min="11776" max="11776" width="17.81640625" style="1" customWidth="1"/>
    <col min="11777" max="11777" width="22.81640625" style="1" customWidth="1"/>
    <col min="11778" max="11778" width="25.453125" style="1" customWidth="1"/>
    <col min="11779" max="11780" width="6.7265625" style="1" customWidth="1"/>
    <col min="11781" max="11781" width="26.453125" style="1" customWidth="1"/>
    <col min="11782" max="11782" width="18.54296875" style="1" customWidth="1"/>
    <col min="11783" max="11783" width="29.81640625" style="1" customWidth="1"/>
    <col min="11784" max="11784" width="23.54296875" style="1" customWidth="1"/>
    <col min="11785" max="11785" width="31.453125" style="1" customWidth="1"/>
    <col min="11786" max="12026" width="8.7265625" style="1"/>
    <col min="12027" max="12027" width="7.81640625" style="1" customWidth="1"/>
    <col min="12028" max="12028" width="8.54296875" style="1" customWidth="1"/>
    <col min="12029" max="12029" width="20.1796875" style="1" customWidth="1"/>
    <col min="12030" max="12030" width="16.453125" style="1" customWidth="1"/>
    <col min="12031" max="12031" width="22.26953125" style="1" customWidth="1"/>
    <col min="12032" max="12032" width="17.81640625" style="1" customWidth="1"/>
    <col min="12033" max="12033" width="22.81640625" style="1" customWidth="1"/>
    <col min="12034" max="12034" width="25.453125" style="1" customWidth="1"/>
    <col min="12035" max="12036" width="6.7265625" style="1" customWidth="1"/>
    <col min="12037" max="12037" width="26.453125" style="1" customWidth="1"/>
    <col min="12038" max="12038" width="18.54296875" style="1" customWidth="1"/>
    <col min="12039" max="12039" width="29.81640625" style="1" customWidth="1"/>
    <col min="12040" max="12040" width="23.54296875" style="1" customWidth="1"/>
    <col min="12041" max="12041" width="31.453125" style="1" customWidth="1"/>
    <col min="12042" max="12282" width="8.7265625" style="1"/>
    <col min="12283" max="12283" width="7.81640625" style="1" customWidth="1"/>
    <col min="12284" max="12284" width="8.54296875" style="1" customWidth="1"/>
    <col min="12285" max="12285" width="20.1796875" style="1" customWidth="1"/>
    <col min="12286" max="12286" width="16.453125" style="1" customWidth="1"/>
    <col min="12287" max="12287" width="22.26953125" style="1" customWidth="1"/>
    <col min="12288" max="12288" width="17.81640625" style="1" customWidth="1"/>
    <col min="12289" max="12289" width="22.81640625" style="1" customWidth="1"/>
    <col min="12290" max="12290" width="25.453125" style="1" customWidth="1"/>
    <col min="12291" max="12292" width="6.7265625" style="1" customWidth="1"/>
    <col min="12293" max="12293" width="26.453125" style="1" customWidth="1"/>
    <col min="12294" max="12294" width="18.54296875" style="1" customWidth="1"/>
    <col min="12295" max="12295" width="29.81640625" style="1" customWidth="1"/>
    <col min="12296" max="12296" width="23.54296875" style="1" customWidth="1"/>
    <col min="12297" max="12297" width="31.453125" style="1" customWidth="1"/>
    <col min="12298" max="12538" width="8.7265625" style="1"/>
    <col min="12539" max="12539" width="7.81640625" style="1" customWidth="1"/>
    <col min="12540" max="12540" width="8.54296875" style="1" customWidth="1"/>
    <col min="12541" max="12541" width="20.1796875" style="1" customWidth="1"/>
    <col min="12542" max="12542" width="16.453125" style="1" customWidth="1"/>
    <col min="12543" max="12543" width="22.26953125" style="1" customWidth="1"/>
    <col min="12544" max="12544" width="17.81640625" style="1" customWidth="1"/>
    <col min="12545" max="12545" width="22.81640625" style="1" customWidth="1"/>
    <col min="12546" max="12546" width="25.453125" style="1" customWidth="1"/>
    <col min="12547" max="12548" width="6.7265625" style="1" customWidth="1"/>
    <col min="12549" max="12549" width="26.453125" style="1" customWidth="1"/>
    <col min="12550" max="12550" width="18.54296875" style="1" customWidth="1"/>
    <col min="12551" max="12551" width="29.81640625" style="1" customWidth="1"/>
    <col min="12552" max="12552" width="23.54296875" style="1" customWidth="1"/>
    <col min="12553" max="12553" width="31.453125" style="1" customWidth="1"/>
    <col min="12554" max="12794" width="8.7265625" style="1"/>
    <col min="12795" max="12795" width="7.81640625" style="1" customWidth="1"/>
    <col min="12796" max="12796" width="8.54296875" style="1" customWidth="1"/>
    <col min="12797" max="12797" width="20.1796875" style="1" customWidth="1"/>
    <col min="12798" max="12798" width="16.453125" style="1" customWidth="1"/>
    <col min="12799" max="12799" width="22.26953125" style="1" customWidth="1"/>
    <col min="12800" max="12800" width="17.81640625" style="1" customWidth="1"/>
    <col min="12801" max="12801" width="22.81640625" style="1" customWidth="1"/>
    <col min="12802" max="12802" width="25.453125" style="1" customWidth="1"/>
    <col min="12803" max="12804" width="6.7265625" style="1" customWidth="1"/>
    <col min="12805" max="12805" width="26.453125" style="1" customWidth="1"/>
    <col min="12806" max="12806" width="18.54296875" style="1" customWidth="1"/>
    <col min="12807" max="12807" width="29.81640625" style="1" customWidth="1"/>
    <col min="12808" max="12808" width="23.54296875" style="1" customWidth="1"/>
    <col min="12809" max="12809" width="31.453125" style="1" customWidth="1"/>
    <col min="12810" max="13050" width="8.7265625" style="1"/>
    <col min="13051" max="13051" width="7.81640625" style="1" customWidth="1"/>
    <col min="13052" max="13052" width="8.54296875" style="1" customWidth="1"/>
    <col min="13053" max="13053" width="20.1796875" style="1" customWidth="1"/>
    <col min="13054" max="13054" width="16.453125" style="1" customWidth="1"/>
    <col min="13055" max="13055" width="22.26953125" style="1" customWidth="1"/>
    <col min="13056" max="13056" width="17.81640625" style="1" customWidth="1"/>
    <col min="13057" max="13057" width="22.81640625" style="1" customWidth="1"/>
    <col min="13058" max="13058" width="25.453125" style="1" customWidth="1"/>
    <col min="13059" max="13060" width="6.7265625" style="1" customWidth="1"/>
    <col min="13061" max="13061" width="26.453125" style="1" customWidth="1"/>
    <col min="13062" max="13062" width="18.54296875" style="1" customWidth="1"/>
    <col min="13063" max="13063" width="29.81640625" style="1" customWidth="1"/>
    <col min="13064" max="13064" width="23.54296875" style="1" customWidth="1"/>
    <col min="13065" max="13065" width="31.453125" style="1" customWidth="1"/>
    <col min="13066" max="13306" width="8.7265625" style="1"/>
    <col min="13307" max="13307" width="7.81640625" style="1" customWidth="1"/>
    <col min="13308" max="13308" width="8.54296875" style="1" customWidth="1"/>
    <col min="13309" max="13309" width="20.1796875" style="1" customWidth="1"/>
    <col min="13310" max="13310" width="16.453125" style="1" customWidth="1"/>
    <col min="13311" max="13311" width="22.26953125" style="1" customWidth="1"/>
    <col min="13312" max="13312" width="17.81640625" style="1" customWidth="1"/>
    <col min="13313" max="13313" width="22.81640625" style="1" customWidth="1"/>
    <col min="13314" max="13314" width="25.453125" style="1" customWidth="1"/>
    <col min="13315" max="13316" width="6.7265625" style="1" customWidth="1"/>
    <col min="13317" max="13317" width="26.453125" style="1" customWidth="1"/>
    <col min="13318" max="13318" width="18.54296875" style="1" customWidth="1"/>
    <col min="13319" max="13319" width="29.81640625" style="1" customWidth="1"/>
    <col min="13320" max="13320" width="23.54296875" style="1" customWidth="1"/>
    <col min="13321" max="13321" width="31.453125" style="1" customWidth="1"/>
    <col min="13322" max="13562" width="8.7265625" style="1"/>
    <col min="13563" max="13563" width="7.81640625" style="1" customWidth="1"/>
    <col min="13564" max="13564" width="8.54296875" style="1" customWidth="1"/>
    <col min="13565" max="13565" width="20.1796875" style="1" customWidth="1"/>
    <col min="13566" max="13566" width="16.453125" style="1" customWidth="1"/>
    <col min="13567" max="13567" width="22.26953125" style="1" customWidth="1"/>
    <col min="13568" max="13568" width="17.81640625" style="1" customWidth="1"/>
    <col min="13569" max="13569" width="22.81640625" style="1" customWidth="1"/>
    <col min="13570" max="13570" width="25.453125" style="1" customWidth="1"/>
    <col min="13571" max="13572" width="6.7265625" style="1" customWidth="1"/>
    <col min="13573" max="13573" width="26.453125" style="1" customWidth="1"/>
    <col min="13574" max="13574" width="18.54296875" style="1" customWidth="1"/>
    <col min="13575" max="13575" width="29.81640625" style="1" customWidth="1"/>
    <col min="13576" max="13576" width="23.54296875" style="1" customWidth="1"/>
    <col min="13577" max="13577" width="31.453125" style="1" customWidth="1"/>
    <col min="13578" max="13818" width="8.7265625" style="1"/>
    <col min="13819" max="13819" width="7.81640625" style="1" customWidth="1"/>
    <col min="13820" max="13820" width="8.54296875" style="1" customWidth="1"/>
    <col min="13821" max="13821" width="20.1796875" style="1" customWidth="1"/>
    <col min="13822" max="13822" width="16.453125" style="1" customWidth="1"/>
    <col min="13823" max="13823" width="22.26953125" style="1" customWidth="1"/>
    <col min="13824" max="13824" width="17.81640625" style="1" customWidth="1"/>
    <col min="13825" max="13825" width="22.81640625" style="1" customWidth="1"/>
    <col min="13826" max="13826" width="25.453125" style="1" customWidth="1"/>
    <col min="13827" max="13828" width="6.7265625" style="1" customWidth="1"/>
    <col min="13829" max="13829" width="26.453125" style="1" customWidth="1"/>
    <col min="13830" max="13830" width="18.54296875" style="1" customWidth="1"/>
    <col min="13831" max="13831" width="29.81640625" style="1" customWidth="1"/>
    <col min="13832" max="13832" width="23.54296875" style="1" customWidth="1"/>
    <col min="13833" max="13833" width="31.453125" style="1" customWidth="1"/>
    <col min="13834" max="14074" width="8.7265625" style="1"/>
    <col min="14075" max="14075" width="7.81640625" style="1" customWidth="1"/>
    <col min="14076" max="14076" width="8.54296875" style="1" customWidth="1"/>
    <col min="14077" max="14077" width="20.1796875" style="1" customWidth="1"/>
    <col min="14078" max="14078" width="16.453125" style="1" customWidth="1"/>
    <col min="14079" max="14079" width="22.26953125" style="1" customWidth="1"/>
    <col min="14080" max="14080" width="17.81640625" style="1" customWidth="1"/>
    <col min="14081" max="14081" width="22.81640625" style="1" customWidth="1"/>
    <col min="14082" max="14082" width="25.453125" style="1" customWidth="1"/>
    <col min="14083" max="14084" width="6.7265625" style="1" customWidth="1"/>
    <col min="14085" max="14085" width="26.453125" style="1" customWidth="1"/>
    <col min="14086" max="14086" width="18.54296875" style="1" customWidth="1"/>
    <col min="14087" max="14087" width="29.81640625" style="1" customWidth="1"/>
    <col min="14088" max="14088" width="23.54296875" style="1" customWidth="1"/>
    <col min="14089" max="14089" width="31.453125" style="1" customWidth="1"/>
    <col min="14090" max="14330" width="8.7265625" style="1"/>
    <col min="14331" max="14331" width="7.81640625" style="1" customWidth="1"/>
    <col min="14332" max="14332" width="8.54296875" style="1" customWidth="1"/>
    <col min="14333" max="14333" width="20.1796875" style="1" customWidth="1"/>
    <col min="14334" max="14334" width="16.453125" style="1" customWidth="1"/>
    <col min="14335" max="14335" width="22.26953125" style="1" customWidth="1"/>
    <col min="14336" max="14336" width="17.81640625" style="1" customWidth="1"/>
    <col min="14337" max="14337" width="22.81640625" style="1" customWidth="1"/>
    <col min="14338" max="14338" width="25.453125" style="1" customWidth="1"/>
    <col min="14339" max="14340" width="6.7265625" style="1" customWidth="1"/>
    <col min="14341" max="14341" width="26.453125" style="1" customWidth="1"/>
    <col min="14342" max="14342" width="18.54296875" style="1" customWidth="1"/>
    <col min="14343" max="14343" width="29.81640625" style="1" customWidth="1"/>
    <col min="14344" max="14344" width="23.54296875" style="1" customWidth="1"/>
    <col min="14345" max="14345" width="31.453125" style="1" customWidth="1"/>
    <col min="14346" max="14586" width="8.7265625" style="1"/>
    <col min="14587" max="14587" width="7.81640625" style="1" customWidth="1"/>
    <col min="14588" max="14588" width="8.54296875" style="1" customWidth="1"/>
    <col min="14589" max="14589" width="20.1796875" style="1" customWidth="1"/>
    <col min="14590" max="14590" width="16.453125" style="1" customWidth="1"/>
    <col min="14591" max="14591" width="22.26953125" style="1" customWidth="1"/>
    <col min="14592" max="14592" width="17.81640625" style="1" customWidth="1"/>
    <col min="14593" max="14593" width="22.81640625" style="1" customWidth="1"/>
    <col min="14594" max="14594" width="25.453125" style="1" customWidth="1"/>
    <col min="14595" max="14596" width="6.7265625" style="1" customWidth="1"/>
    <col min="14597" max="14597" width="26.453125" style="1" customWidth="1"/>
    <col min="14598" max="14598" width="18.54296875" style="1" customWidth="1"/>
    <col min="14599" max="14599" width="29.81640625" style="1" customWidth="1"/>
    <col min="14600" max="14600" width="23.54296875" style="1" customWidth="1"/>
    <col min="14601" max="14601" width="31.453125" style="1" customWidth="1"/>
    <col min="14602" max="14842" width="8.7265625" style="1"/>
    <col min="14843" max="14843" width="7.81640625" style="1" customWidth="1"/>
    <col min="14844" max="14844" width="8.54296875" style="1" customWidth="1"/>
    <col min="14845" max="14845" width="20.1796875" style="1" customWidth="1"/>
    <col min="14846" max="14846" width="16.453125" style="1" customWidth="1"/>
    <col min="14847" max="14847" width="22.26953125" style="1" customWidth="1"/>
    <col min="14848" max="14848" width="17.81640625" style="1" customWidth="1"/>
    <col min="14849" max="14849" width="22.81640625" style="1" customWidth="1"/>
    <col min="14850" max="14850" width="25.453125" style="1" customWidth="1"/>
    <col min="14851" max="14852" width="6.7265625" style="1" customWidth="1"/>
    <col min="14853" max="14853" width="26.453125" style="1" customWidth="1"/>
    <col min="14854" max="14854" width="18.54296875" style="1" customWidth="1"/>
    <col min="14855" max="14855" width="29.81640625" style="1" customWidth="1"/>
    <col min="14856" max="14856" width="23.54296875" style="1" customWidth="1"/>
    <col min="14857" max="14857" width="31.453125" style="1" customWidth="1"/>
    <col min="14858" max="15098" width="8.7265625" style="1"/>
    <col min="15099" max="15099" width="7.81640625" style="1" customWidth="1"/>
    <col min="15100" max="15100" width="8.54296875" style="1" customWidth="1"/>
    <col min="15101" max="15101" width="20.1796875" style="1" customWidth="1"/>
    <col min="15102" max="15102" width="16.453125" style="1" customWidth="1"/>
    <col min="15103" max="15103" width="22.26953125" style="1" customWidth="1"/>
    <col min="15104" max="15104" width="17.81640625" style="1" customWidth="1"/>
    <col min="15105" max="15105" width="22.81640625" style="1" customWidth="1"/>
    <col min="15106" max="15106" width="25.453125" style="1" customWidth="1"/>
    <col min="15107" max="15108" width="6.7265625" style="1" customWidth="1"/>
    <col min="15109" max="15109" width="26.453125" style="1" customWidth="1"/>
    <col min="15110" max="15110" width="18.54296875" style="1" customWidth="1"/>
    <col min="15111" max="15111" width="29.81640625" style="1" customWidth="1"/>
    <col min="15112" max="15112" width="23.54296875" style="1" customWidth="1"/>
    <col min="15113" max="15113" width="31.453125" style="1" customWidth="1"/>
    <col min="15114" max="15354" width="8.7265625" style="1"/>
    <col min="15355" max="15355" width="7.81640625" style="1" customWidth="1"/>
    <col min="15356" max="15356" width="8.54296875" style="1" customWidth="1"/>
    <col min="15357" max="15357" width="20.1796875" style="1" customWidth="1"/>
    <col min="15358" max="15358" width="16.453125" style="1" customWidth="1"/>
    <col min="15359" max="15359" width="22.26953125" style="1" customWidth="1"/>
    <col min="15360" max="15360" width="17.81640625" style="1" customWidth="1"/>
    <col min="15361" max="15361" width="22.81640625" style="1" customWidth="1"/>
    <col min="15362" max="15362" width="25.453125" style="1" customWidth="1"/>
    <col min="15363" max="15364" width="6.7265625" style="1" customWidth="1"/>
    <col min="15365" max="15365" width="26.453125" style="1" customWidth="1"/>
    <col min="15366" max="15366" width="18.54296875" style="1" customWidth="1"/>
    <col min="15367" max="15367" width="29.81640625" style="1" customWidth="1"/>
    <col min="15368" max="15368" width="23.54296875" style="1" customWidth="1"/>
    <col min="15369" max="15369" width="31.453125" style="1" customWidth="1"/>
    <col min="15370" max="15610" width="8.7265625" style="1"/>
    <col min="15611" max="15611" width="7.81640625" style="1" customWidth="1"/>
    <col min="15612" max="15612" width="8.54296875" style="1" customWidth="1"/>
    <col min="15613" max="15613" width="20.1796875" style="1" customWidth="1"/>
    <col min="15614" max="15614" width="16.453125" style="1" customWidth="1"/>
    <col min="15615" max="15615" width="22.26953125" style="1" customWidth="1"/>
    <col min="15616" max="15616" width="17.81640625" style="1" customWidth="1"/>
    <col min="15617" max="15617" width="22.81640625" style="1" customWidth="1"/>
    <col min="15618" max="15618" width="25.453125" style="1" customWidth="1"/>
    <col min="15619" max="15620" width="6.7265625" style="1" customWidth="1"/>
    <col min="15621" max="15621" width="26.453125" style="1" customWidth="1"/>
    <col min="15622" max="15622" width="18.54296875" style="1" customWidth="1"/>
    <col min="15623" max="15623" width="29.81640625" style="1" customWidth="1"/>
    <col min="15624" max="15624" width="23.54296875" style="1" customWidth="1"/>
    <col min="15625" max="15625" width="31.453125" style="1" customWidth="1"/>
    <col min="15626" max="15866" width="8.7265625" style="1"/>
    <col min="15867" max="15867" width="7.81640625" style="1" customWidth="1"/>
    <col min="15868" max="15868" width="8.54296875" style="1" customWidth="1"/>
    <col min="15869" max="15869" width="20.1796875" style="1" customWidth="1"/>
    <col min="15870" max="15870" width="16.453125" style="1" customWidth="1"/>
    <col min="15871" max="15871" width="22.26953125" style="1" customWidth="1"/>
    <col min="15872" max="15872" width="17.81640625" style="1" customWidth="1"/>
    <col min="15873" max="15873" width="22.81640625" style="1" customWidth="1"/>
    <col min="15874" max="15874" width="25.453125" style="1" customWidth="1"/>
    <col min="15875" max="15876" width="6.7265625" style="1" customWidth="1"/>
    <col min="15877" max="15877" width="26.453125" style="1" customWidth="1"/>
    <col min="15878" max="15878" width="18.54296875" style="1" customWidth="1"/>
    <col min="15879" max="15879" width="29.81640625" style="1" customWidth="1"/>
    <col min="15880" max="15880" width="23.54296875" style="1" customWidth="1"/>
    <col min="15881" max="15881" width="31.453125" style="1" customWidth="1"/>
    <col min="15882" max="16122" width="8.7265625" style="1"/>
    <col min="16123" max="16123" width="7.81640625" style="1" customWidth="1"/>
    <col min="16124" max="16124" width="8.54296875" style="1" customWidth="1"/>
    <col min="16125" max="16125" width="20.1796875" style="1" customWidth="1"/>
    <col min="16126" max="16126" width="16.453125" style="1" customWidth="1"/>
    <col min="16127" max="16127" width="22.26953125" style="1" customWidth="1"/>
    <col min="16128" max="16128" width="17.81640625" style="1" customWidth="1"/>
    <col min="16129" max="16129" width="22.81640625" style="1" customWidth="1"/>
    <col min="16130" max="16130" width="25.453125" style="1" customWidth="1"/>
    <col min="16131" max="16132" width="6.7265625" style="1" customWidth="1"/>
    <col min="16133" max="16133" width="26.453125" style="1" customWidth="1"/>
    <col min="16134" max="16134" width="18.54296875" style="1" customWidth="1"/>
    <col min="16135" max="16135" width="29.81640625" style="1" customWidth="1"/>
    <col min="16136" max="16136" width="23.54296875" style="1" customWidth="1"/>
    <col min="16137" max="16137" width="31.453125" style="1" customWidth="1"/>
    <col min="16138" max="16384" width="8.7265625" style="1"/>
  </cols>
  <sheetData>
    <row r="1" spans="1:11" ht="17.25" customHeight="1">
      <c r="A1" s="64" t="s">
        <v>114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7.25" customHeight="1">
      <c r="A2" s="64" t="str">
        <f>Transpor_rapat!A2</f>
        <v>BULAN JANUARI 2026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" customHeight="1">
      <c r="C4" s="4" t="s">
        <v>0</v>
      </c>
      <c r="D4" s="5" t="str">
        <f>Transpor_pendamping!D4</f>
        <v>: ____________________________</v>
      </c>
      <c r="F4" s="6"/>
      <c r="G4" s="7"/>
      <c r="H4" s="7"/>
      <c r="I4" s="4" t="s">
        <v>26</v>
      </c>
      <c r="J4" s="4" t="s">
        <v>43</v>
      </c>
    </row>
    <row r="5" spans="1:11" ht="15" customHeight="1">
      <c r="C5" s="4" t="s">
        <v>2</v>
      </c>
      <c r="D5" s="5" t="str">
        <f>Transpor_pendamping!D5</f>
        <v>: SD NEGERI LEBAKLEUNGSIR</v>
      </c>
      <c r="F5" s="6"/>
      <c r="H5" s="8"/>
      <c r="I5" s="4" t="s">
        <v>27</v>
      </c>
      <c r="J5" s="6" t="s">
        <v>116</v>
      </c>
    </row>
    <row r="6" spans="1:11" ht="15" customHeight="1">
      <c r="C6" s="4" t="s">
        <v>3</v>
      </c>
      <c r="D6" s="5" t="str">
        <f>Transpor_pendamping!D6</f>
        <v>: Cikalongwetan</v>
      </c>
      <c r="F6" s="6"/>
      <c r="H6" s="8"/>
      <c r="I6" s="8" t="s">
        <v>28</v>
      </c>
      <c r="J6" s="4" t="s">
        <v>64</v>
      </c>
    </row>
    <row r="7" spans="1:11" ht="15" customHeight="1">
      <c r="C7" s="4" t="s">
        <v>5</v>
      </c>
      <c r="D7" s="5" t="str">
        <f>Transpor_pendamping!D7</f>
        <v>: Bandung Barat</v>
      </c>
      <c r="F7" s="6"/>
      <c r="H7" s="8"/>
      <c r="I7" s="4" t="s">
        <v>7</v>
      </c>
      <c r="J7" s="30" t="s">
        <v>48</v>
      </c>
    </row>
    <row r="8" spans="1:11" ht="15" customHeight="1">
      <c r="H8" s="8"/>
      <c r="I8" s="8"/>
      <c r="J8" s="8"/>
    </row>
    <row r="9" spans="1:11" ht="30" customHeight="1">
      <c r="A9" s="9" t="s">
        <v>8</v>
      </c>
      <c r="B9" s="65" t="s">
        <v>9</v>
      </c>
      <c r="C9" s="66"/>
      <c r="D9" s="9" t="s">
        <v>10</v>
      </c>
      <c r="E9" s="10" t="s">
        <v>58</v>
      </c>
      <c r="F9" s="9" t="s">
        <v>45</v>
      </c>
      <c r="G9" s="9" t="s">
        <v>24</v>
      </c>
      <c r="H9" s="10" t="s">
        <v>13</v>
      </c>
      <c r="I9" s="10" t="s">
        <v>14</v>
      </c>
      <c r="J9" s="69" t="s">
        <v>17</v>
      </c>
      <c r="K9" s="71"/>
    </row>
    <row r="10" spans="1:11" ht="20.25" customHeight="1">
      <c r="A10" s="11">
        <v>1</v>
      </c>
      <c r="B10" s="12" t="s">
        <v>53</v>
      </c>
      <c r="C10" s="13"/>
      <c r="D10" s="13" t="s">
        <v>33</v>
      </c>
      <c r="E10" s="34" t="s">
        <v>62</v>
      </c>
      <c r="F10" s="14">
        <v>1</v>
      </c>
      <c r="G10" s="14" t="s">
        <v>49</v>
      </c>
      <c r="H10" s="15">
        <v>105000</v>
      </c>
      <c r="I10" s="16">
        <f>F10*H10</f>
        <v>105000</v>
      </c>
      <c r="J10" s="54">
        <v>1</v>
      </c>
      <c r="K10" s="56">
        <v>2</v>
      </c>
    </row>
    <row r="11" spans="1:11" ht="20.25" customHeight="1">
      <c r="A11" s="11">
        <v>2</v>
      </c>
      <c r="B11" s="12"/>
      <c r="C11" s="13"/>
      <c r="D11" s="13"/>
      <c r="E11" s="34"/>
      <c r="F11" s="14"/>
      <c r="G11" s="14"/>
      <c r="H11" s="15"/>
      <c r="I11" s="16">
        <f t="shared" ref="I11:I17" si="0">F11*H11</f>
        <v>0</v>
      </c>
      <c r="J11" s="55"/>
      <c r="K11" s="57"/>
    </row>
    <row r="12" spans="1:11" ht="20.25" hidden="1" customHeight="1">
      <c r="A12" s="11">
        <v>3</v>
      </c>
      <c r="B12" s="12"/>
      <c r="C12" s="13"/>
      <c r="D12" s="13"/>
      <c r="E12" s="34"/>
      <c r="F12" s="14"/>
      <c r="G12" s="14"/>
      <c r="H12" s="15"/>
      <c r="I12" s="16">
        <f t="shared" si="0"/>
        <v>0</v>
      </c>
      <c r="J12" s="54">
        <v>3</v>
      </c>
      <c r="K12" s="56">
        <v>4</v>
      </c>
    </row>
    <row r="13" spans="1:11" ht="20.25" hidden="1" customHeight="1">
      <c r="A13" s="11">
        <v>4</v>
      </c>
      <c r="B13" s="12"/>
      <c r="C13" s="13"/>
      <c r="D13" s="13"/>
      <c r="E13" s="34"/>
      <c r="F13" s="14"/>
      <c r="G13" s="14"/>
      <c r="H13" s="15"/>
      <c r="I13" s="16">
        <f t="shared" si="0"/>
        <v>0</v>
      </c>
      <c r="J13" s="55"/>
      <c r="K13" s="57"/>
    </row>
    <row r="14" spans="1:11" ht="20.25" hidden="1" customHeight="1">
      <c r="A14" s="11">
        <v>5</v>
      </c>
      <c r="B14" s="12"/>
      <c r="C14" s="13"/>
      <c r="D14" s="13"/>
      <c r="E14" s="34"/>
      <c r="F14" s="14"/>
      <c r="G14" s="14"/>
      <c r="H14" s="15"/>
      <c r="I14" s="16">
        <f t="shared" ref="I14:I15" si="1">F14*H14</f>
        <v>0</v>
      </c>
      <c r="J14" s="54">
        <v>5</v>
      </c>
      <c r="K14" s="56">
        <v>6</v>
      </c>
    </row>
    <row r="15" spans="1:11" ht="20.25" hidden="1" customHeight="1">
      <c r="A15" s="11">
        <v>6</v>
      </c>
      <c r="B15" s="12"/>
      <c r="C15" s="13"/>
      <c r="D15" s="13"/>
      <c r="E15" s="34"/>
      <c r="F15" s="14"/>
      <c r="G15" s="14"/>
      <c r="H15" s="15"/>
      <c r="I15" s="16">
        <f t="shared" si="1"/>
        <v>0</v>
      </c>
      <c r="J15" s="55"/>
      <c r="K15" s="57"/>
    </row>
    <row r="16" spans="1:11" ht="20.25" hidden="1" customHeight="1">
      <c r="A16" s="11">
        <v>7</v>
      </c>
      <c r="B16" s="12"/>
      <c r="C16" s="13"/>
      <c r="D16" s="13"/>
      <c r="E16" s="34"/>
      <c r="F16" s="14"/>
      <c r="G16" s="14"/>
      <c r="H16" s="15"/>
      <c r="I16" s="16">
        <f t="shared" si="0"/>
        <v>0</v>
      </c>
      <c r="J16" s="54">
        <v>7</v>
      </c>
      <c r="K16" s="56">
        <v>8</v>
      </c>
    </row>
    <row r="17" spans="1:14" ht="20.25" hidden="1" customHeight="1">
      <c r="A17" s="11">
        <v>8</v>
      </c>
      <c r="B17" s="12"/>
      <c r="C17" s="13"/>
      <c r="D17" s="13"/>
      <c r="E17" s="14"/>
      <c r="F17" s="14"/>
      <c r="G17" s="14"/>
      <c r="H17" s="15"/>
      <c r="I17" s="16">
        <f t="shared" si="0"/>
        <v>0</v>
      </c>
      <c r="J17" s="55"/>
      <c r="K17" s="57"/>
    </row>
    <row r="18" spans="1:14" s="21" customFormat="1" ht="22.5" customHeight="1">
      <c r="A18" s="69" t="s">
        <v>20</v>
      </c>
      <c r="B18" s="70"/>
      <c r="C18" s="70"/>
      <c r="D18" s="70"/>
      <c r="E18" s="70"/>
      <c r="F18" s="70"/>
      <c r="G18" s="70"/>
      <c r="H18" s="71"/>
      <c r="I18" s="18">
        <f>SUM(I10:I17)</f>
        <v>105000</v>
      </c>
      <c r="J18" s="20"/>
      <c r="K18" s="20"/>
      <c r="N18" s="22"/>
    </row>
    <row r="19" spans="1:14" ht="12" customHeight="1">
      <c r="A19" s="7"/>
      <c r="B19" s="7"/>
      <c r="C19" s="7"/>
      <c r="D19" s="7"/>
      <c r="E19" s="7"/>
      <c r="F19" s="7"/>
      <c r="G19" s="7"/>
      <c r="H19" s="23"/>
      <c r="I19" s="23"/>
    </row>
    <row r="20" spans="1:14">
      <c r="A20" s="8"/>
      <c r="B20" s="8"/>
      <c r="C20" s="8"/>
      <c r="D20" s="8"/>
      <c r="E20" s="8"/>
      <c r="F20" s="8"/>
      <c r="G20" s="8"/>
      <c r="H20" s="8"/>
      <c r="J20" s="24" t="str">
        <f>Transpor_rapat!J16</f>
        <v>Cikalongwetan, 23 Januari 2025</v>
      </c>
    </row>
    <row r="21" spans="1:14">
      <c r="A21" s="8"/>
      <c r="C21" s="24" t="s">
        <v>21</v>
      </c>
      <c r="D21" s="24"/>
      <c r="E21" s="24"/>
      <c r="F21" s="24"/>
      <c r="G21" s="8"/>
      <c r="H21" s="8"/>
      <c r="J21" s="24" t="str">
        <f>Transpor_rapat!J17</f>
        <v>Dibayar Lunas Tgl. 4 Februari 2026</v>
      </c>
    </row>
    <row r="22" spans="1:14">
      <c r="A22" s="8"/>
      <c r="C22" s="24" t="s">
        <v>22</v>
      </c>
      <c r="D22" s="24"/>
      <c r="E22" s="24"/>
      <c r="F22" s="24"/>
      <c r="G22" s="8"/>
      <c r="H22" s="8"/>
      <c r="J22" s="24" t="s">
        <v>23</v>
      </c>
    </row>
    <row r="23" spans="1:14">
      <c r="A23" s="8"/>
      <c r="C23" s="24"/>
      <c r="D23" s="24"/>
      <c r="E23" s="24"/>
      <c r="F23" s="24"/>
      <c r="G23" s="8"/>
      <c r="H23" s="8"/>
      <c r="J23" s="25"/>
      <c r="N23" s="26"/>
    </row>
    <row r="24" spans="1:14">
      <c r="A24" s="8"/>
      <c r="C24" s="24"/>
      <c r="D24" s="24"/>
      <c r="E24" s="24"/>
      <c r="F24" s="24"/>
      <c r="G24" s="8"/>
      <c r="H24" s="8"/>
      <c r="J24" s="25"/>
    </row>
    <row r="25" spans="1:14">
      <c r="A25" s="8"/>
      <c r="C25" s="24"/>
      <c r="D25" s="24"/>
      <c r="E25" s="24"/>
      <c r="F25" s="24"/>
      <c r="G25" s="8"/>
      <c r="H25" s="8"/>
      <c r="J25" s="25"/>
    </row>
    <row r="26" spans="1:14">
      <c r="A26" s="8"/>
      <c r="C26" s="24"/>
      <c r="D26" s="24"/>
      <c r="E26" s="24"/>
      <c r="F26" s="24"/>
      <c r="G26" s="8"/>
      <c r="H26" s="8"/>
      <c r="J26" s="25"/>
    </row>
    <row r="27" spans="1:14" ht="15" customHeight="1">
      <c r="A27" s="8"/>
      <c r="C27" s="27" t="str">
        <f>Honor_guru!C27</f>
        <v>BADRUDDIN, S.Ag.</v>
      </c>
      <c r="D27" s="28"/>
      <c r="E27" s="28"/>
      <c r="F27" s="8"/>
      <c r="G27" s="8"/>
      <c r="J27" s="27" t="str">
        <f>Honor_guru!P27</f>
        <v>DEDE GUNAWAN, S.Pd.</v>
      </c>
    </row>
    <row r="28" spans="1:14" ht="13.5" customHeight="1">
      <c r="A28" s="8"/>
      <c r="C28" s="33" t="str">
        <f>Honor_guru!C28</f>
        <v>NIP. 197405082014121002</v>
      </c>
      <c r="D28" s="25"/>
      <c r="E28" s="25"/>
      <c r="F28" s="8"/>
      <c r="G28" s="8"/>
      <c r="J28" s="33" t="str">
        <f>Honor_guru!P28</f>
        <v>NIP. 198507172020121003</v>
      </c>
    </row>
    <row r="43" spans="1:11" ht="17.25" customHeight="1">
      <c r="A43" s="64" t="str">
        <f>A1</f>
        <v>DAFTAR PENERIMA KUOTA/PULSA INTERNET OPERATOR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7.25" customHeight="1">
      <c r="A44" s="64" t="str">
        <f>Transpor_rapat!A34</f>
        <v>BULAN FEBRUARI 2026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7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>
      <c r="C46" s="4" t="s">
        <v>0</v>
      </c>
      <c r="D46" s="5" t="str">
        <f>D4</f>
        <v>: ____________________________</v>
      </c>
      <c r="F46" s="6"/>
      <c r="G46" s="7"/>
      <c r="H46" s="7"/>
      <c r="I46" s="4" t="s">
        <v>26</v>
      </c>
      <c r="J46" s="4" t="str">
        <f>J4</f>
        <v>: 06 Pengembangan Standar Pengelolaan</v>
      </c>
    </row>
    <row r="47" spans="1:11" ht="15" customHeight="1">
      <c r="C47" s="4" t="s">
        <v>2</v>
      </c>
      <c r="D47" s="5" t="str">
        <f t="shared" ref="D47:D49" si="2">D5</f>
        <v>: SD NEGERI LEBAKLEUNGSIR</v>
      </c>
      <c r="F47" s="6"/>
      <c r="H47" s="8"/>
      <c r="I47" s="4" t="s">
        <v>27</v>
      </c>
      <c r="J47" s="45" t="str">
        <f>J5</f>
        <v>: Pengisian Pulsa Internet</v>
      </c>
    </row>
    <row r="48" spans="1:11" ht="15" customHeight="1">
      <c r="C48" s="4" t="s">
        <v>3</v>
      </c>
      <c r="D48" s="5" t="str">
        <f t="shared" si="2"/>
        <v>: Cikalongwetan</v>
      </c>
      <c r="F48" s="6"/>
      <c r="H48" s="8"/>
      <c r="I48" s="8" t="s">
        <v>28</v>
      </c>
      <c r="J48" s="46" t="str">
        <f t="shared" ref="J48:J49" si="3">J6</f>
        <v>: 5.1.02.02.01.0063</v>
      </c>
    </row>
    <row r="49" spans="1:14" ht="15" customHeight="1">
      <c r="C49" s="4" t="s">
        <v>5</v>
      </c>
      <c r="D49" s="5" t="str">
        <f t="shared" si="2"/>
        <v>: Bandung Barat</v>
      </c>
      <c r="F49" s="6"/>
      <c r="H49" s="8"/>
      <c r="I49" s="4" t="s">
        <v>7</v>
      </c>
      <c r="J49" s="46" t="str">
        <f t="shared" si="3"/>
        <v>: 7</v>
      </c>
    </row>
    <row r="50" spans="1:14" ht="15" customHeight="1">
      <c r="H50" s="8"/>
      <c r="I50" s="8"/>
      <c r="J50" s="8"/>
    </row>
    <row r="51" spans="1:14" ht="30" customHeight="1">
      <c r="A51" s="9" t="s">
        <v>8</v>
      </c>
      <c r="B51" s="65" t="s">
        <v>9</v>
      </c>
      <c r="C51" s="66"/>
      <c r="D51" s="9" t="s">
        <v>10</v>
      </c>
      <c r="E51" s="10" t="s">
        <v>58</v>
      </c>
      <c r="F51" s="9" t="s">
        <v>45</v>
      </c>
      <c r="G51" s="9" t="s">
        <v>24</v>
      </c>
      <c r="H51" s="10" t="s">
        <v>13</v>
      </c>
      <c r="I51" s="10" t="s">
        <v>14</v>
      </c>
      <c r="J51" s="69" t="s">
        <v>17</v>
      </c>
      <c r="K51" s="71"/>
    </row>
    <row r="52" spans="1:14" ht="20.25" customHeight="1">
      <c r="A52" s="11">
        <v>1</v>
      </c>
      <c r="B52" s="12" t="str">
        <f>B10</f>
        <v>RISNA MARSELA HARTINI</v>
      </c>
      <c r="C52" s="13"/>
      <c r="D52" s="13" t="str">
        <f>D10</f>
        <v>Operator</v>
      </c>
      <c r="E52" s="34" t="str">
        <f>E10</f>
        <v>+62 882-2908-8313</v>
      </c>
      <c r="F52" s="14">
        <v>1</v>
      </c>
      <c r="G52" s="14" t="s">
        <v>49</v>
      </c>
      <c r="H52" s="15">
        <v>105000</v>
      </c>
      <c r="I52" s="16">
        <f>F52*H52</f>
        <v>105000</v>
      </c>
      <c r="J52" s="54">
        <v>1</v>
      </c>
      <c r="K52" s="56">
        <v>2</v>
      </c>
    </row>
    <row r="53" spans="1:14" ht="20.25" customHeight="1">
      <c r="A53" s="11">
        <v>2</v>
      </c>
      <c r="B53" s="12"/>
      <c r="C53" s="13"/>
      <c r="D53" s="13"/>
      <c r="E53" s="34"/>
      <c r="F53" s="14"/>
      <c r="G53" s="14"/>
      <c r="H53" s="15"/>
      <c r="I53" s="16">
        <f t="shared" ref="I53" si="4">F53*H53</f>
        <v>0</v>
      </c>
      <c r="J53" s="55"/>
      <c r="K53" s="57"/>
    </row>
    <row r="54" spans="1:14" s="21" customFormat="1" ht="22.5" customHeight="1">
      <c r="A54" s="69" t="s">
        <v>20</v>
      </c>
      <c r="B54" s="70"/>
      <c r="C54" s="70"/>
      <c r="D54" s="70"/>
      <c r="E54" s="70"/>
      <c r="F54" s="70"/>
      <c r="G54" s="70"/>
      <c r="H54" s="71"/>
      <c r="I54" s="18">
        <f>SUM(I52:I53)</f>
        <v>105000</v>
      </c>
      <c r="J54" s="20"/>
      <c r="K54" s="20"/>
      <c r="N54" s="22"/>
    </row>
    <row r="55" spans="1:14" ht="12" customHeight="1">
      <c r="A55" s="7"/>
      <c r="B55" s="7"/>
      <c r="C55" s="7"/>
      <c r="D55" s="7"/>
      <c r="E55" s="7"/>
      <c r="F55" s="7"/>
      <c r="G55" s="7"/>
      <c r="H55" s="23"/>
      <c r="I55" s="23"/>
    </row>
    <row r="56" spans="1:14">
      <c r="A56" s="8"/>
      <c r="B56" s="8"/>
      <c r="C56" s="8"/>
      <c r="D56" s="8"/>
      <c r="E56" s="8"/>
      <c r="F56" s="8"/>
      <c r="G56" s="8"/>
      <c r="H56" s="8"/>
      <c r="J56" s="24" t="str">
        <f>Transpor_rapat!J48</f>
        <v>Cikalongwetan, 4 Februari 2026</v>
      </c>
    </row>
    <row r="57" spans="1:14">
      <c r="A57" s="8"/>
      <c r="C57" s="24" t="s">
        <v>21</v>
      </c>
      <c r="D57" s="24"/>
      <c r="E57" s="24"/>
      <c r="F57" s="24"/>
      <c r="G57" s="8"/>
      <c r="H57" s="8"/>
      <c r="J57" s="24" t="str">
        <f>Transpor_rapat!J49</f>
        <v>Dibayar Lunas Tgl. 4 Februari 2026</v>
      </c>
    </row>
    <row r="58" spans="1:14">
      <c r="A58" s="8"/>
      <c r="C58" s="24" t="s">
        <v>22</v>
      </c>
      <c r="D58" s="24"/>
      <c r="E58" s="24"/>
      <c r="F58" s="24"/>
      <c r="G58" s="8"/>
      <c r="H58" s="8"/>
      <c r="J58" s="24" t="s">
        <v>23</v>
      </c>
    </row>
    <row r="59" spans="1:14">
      <c r="A59" s="8"/>
      <c r="C59" s="24"/>
      <c r="D59" s="24"/>
      <c r="E59" s="24"/>
      <c r="F59" s="24"/>
      <c r="G59" s="8"/>
      <c r="H59" s="8"/>
      <c r="J59" s="25"/>
      <c r="N59" s="26"/>
    </row>
    <row r="60" spans="1:14">
      <c r="A60" s="8"/>
      <c r="C60" s="24"/>
      <c r="D60" s="24"/>
      <c r="E60" s="24"/>
      <c r="F60" s="24"/>
      <c r="G60" s="8"/>
      <c r="H60" s="8"/>
      <c r="J60" s="25"/>
    </row>
    <row r="61" spans="1:14">
      <c r="A61" s="8"/>
      <c r="C61" s="24"/>
      <c r="D61" s="24"/>
      <c r="E61" s="24"/>
      <c r="F61" s="24"/>
      <c r="G61" s="8"/>
      <c r="H61" s="8"/>
      <c r="J61" s="25"/>
    </row>
    <row r="62" spans="1:14">
      <c r="A62" s="8"/>
      <c r="C62" s="24"/>
      <c r="D62" s="24"/>
      <c r="E62" s="24"/>
      <c r="F62" s="24"/>
      <c r="G62" s="8"/>
      <c r="H62" s="8"/>
      <c r="J62" s="25"/>
    </row>
    <row r="63" spans="1:14" ht="15" customHeight="1">
      <c r="A63" s="8"/>
      <c r="C63" s="27" t="str">
        <f>C27</f>
        <v>BADRUDDIN, S.Ag.</v>
      </c>
      <c r="D63" s="28"/>
      <c r="E63" s="28"/>
      <c r="F63" s="8"/>
      <c r="G63" s="8"/>
      <c r="J63" s="27" t="str">
        <f>J27</f>
        <v>DEDE GUNAWAN, S.Pd.</v>
      </c>
    </row>
    <row r="64" spans="1:14" ht="13.5" customHeight="1">
      <c r="A64" s="8"/>
      <c r="C64" s="33" t="str">
        <f>C28</f>
        <v>NIP. 197405082014121002</v>
      </c>
      <c r="D64" s="25"/>
      <c r="E64" s="25"/>
      <c r="F64" s="8"/>
      <c r="G64" s="8"/>
      <c r="J64" s="33" t="str">
        <f>J28</f>
        <v>NIP. 198507172020121003</v>
      </c>
    </row>
    <row r="79" spans="1:11" ht="17.25" customHeight="1">
      <c r="A79" s="64" t="str">
        <f>A43</f>
        <v>DAFTAR PENERIMA KUOTA/PULSA INTERNET OPERATOR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7.25" customHeight="1">
      <c r="A80" s="64" t="str">
        <f>Transpor_rapat!A66</f>
        <v>BULAN MARET 2026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4" ht="7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4" ht="15" customHeight="1">
      <c r="C82" s="4" t="s">
        <v>0</v>
      </c>
      <c r="D82" s="5" t="str">
        <f>D46</f>
        <v>: ____________________________</v>
      </c>
      <c r="F82" s="6"/>
      <c r="G82" s="7"/>
      <c r="H82" s="7"/>
      <c r="I82" s="4" t="s">
        <v>26</v>
      </c>
      <c r="J82" s="4" t="str">
        <f>J46</f>
        <v>: 06 Pengembangan Standar Pengelolaan</v>
      </c>
    </row>
    <row r="83" spans="1:14" ht="15" customHeight="1">
      <c r="C83" s="4" t="s">
        <v>2</v>
      </c>
      <c r="D83" s="5" t="str">
        <f t="shared" ref="D83:D85" si="5">D47</f>
        <v>: SD NEGERI LEBAKLEUNGSIR</v>
      </c>
      <c r="F83" s="6"/>
      <c r="H83" s="8"/>
      <c r="I83" s="4" t="s">
        <v>27</v>
      </c>
      <c r="J83" s="6" t="str">
        <f>J47</f>
        <v>: Pengisian Pulsa Internet</v>
      </c>
    </row>
    <row r="84" spans="1:14" ht="15" customHeight="1">
      <c r="C84" s="4" t="s">
        <v>3</v>
      </c>
      <c r="D84" s="5" t="str">
        <f t="shared" si="5"/>
        <v>: Cikalongwetan</v>
      </c>
      <c r="F84" s="6"/>
      <c r="H84" s="8"/>
      <c r="I84" s="8" t="s">
        <v>28</v>
      </c>
      <c r="J84" s="46" t="str">
        <f t="shared" ref="J84:J85" si="6">J48</f>
        <v>: 5.1.02.02.01.0063</v>
      </c>
    </row>
    <row r="85" spans="1:14" ht="15" customHeight="1">
      <c r="C85" s="4" t="s">
        <v>5</v>
      </c>
      <c r="D85" s="5" t="str">
        <f t="shared" si="5"/>
        <v>: Bandung Barat</v>
      </c>
      <c r="F85" s="6"/>
      <c r="H85" s="8"/>
      <c r="I85" s="4" t="s">
        <v>7</v>
      </c>
      <c r="J85" s="46" t="str">
        <f t="shared" si="6"/>
        <v>: 7</v>
      </c>
    </row>
    <row r="86" spans="1:14" ht="15" customHeight="1">
      <c r="H86" s="8"/>
      <c r="I86" s="8"/>
      <c r="J86" s="8"/>
    </row>
    <row r="87" spans="1:14" ht="30" customHeight="1">
      <c r="A87" s="9" t="s">
        <v>8</v>
      </c>
      <c r="B87" s="65" t="s">
        <v>9</v>
      </c>
      <c r="C87" s="66"/>
      <c r="D87" s="9" t="s">
        <v>10</v>
      </c>
      <c r="E87" s="10" t="s">
        <v>58</v>
      </c>
      <c r="F87" s="9" t="s">
        <v>45</v>
      </c>
      <c r="G87" s="9" t="s">
        <v>24</v>
      </c>
      <c r="H87" s="10" t="s">
        <v>13</v>
      </c>
      <c r="I87" s="10" t="s">
        <v>14</v>
      </c>
      <c r="J87" s="69" t="s">
        <v>17</v>
      </c>
      <c r="K87" s="71"/>
    </row>
    <row r="88" spans="1:14" ht="20.25" customHeight="1">
      <c r="A88" s="11">
        <v>1</v>
      </c>
      <c r="B88" s="12" t="str">
        <f>B52</f>
        <v>RISNA MARSELA HARTINI</v>
      </c>
      <c r="C88" s="12"/>
      <c r="D88" s="12" t="str">
        <f t="shared" ref="D88:E88" si="7">D52</f>
        <v>Operator</v>
      </c>
      <c r="E88" s="11" t="str">
        <f t="shared" si="7"/>
        <v>+62 882-2908-8313</v>
      </c>
      <c r="F88" s="14">
        <v>1</v>
      </c>
      <c r="G88" s="14" t="s">
        <v>49</v>
      </c>
      <c r="H88" s="15">
        <v>105000</v>
      </c>
      <c r="I88" s="16">
        <f>F88*H88</f>
        <v>105000</v>
      </c>
      <c r="J88" s="54">
        <v>1</v>
      </c>
      <c r="K88" s="56">
        <v>2</v>
      </c>
    </row>
    <row r="89" spans="1:14" ht="20.25" customHeight="1">
      <c r="A89" s="11">
        <v>2</v>
      </c>
      <c r="B89" s="12"/>
      <c r="C89" s="13"/>
      <c r="D89" s="13"/>
      <c r="E89" s="34"/>
      <c r="F89" s="14"/>
      <c r="G89" s="14"/>
      <c r="H89" s="15"/>
      <c r="I89" s="16">
        <f t="shared" ref="I89:I95" si="8">F89*H89</f>
        <v>0</v>
      </c>
      <c r="J89" s="55"/>
      <c r="K89" s="57"/>
    </row>
    <row r="90" spans="1:14" ht="20.25" hidden="1" customHeight="1">
      <c r="A90" s="11">
        <v>3</v>
      </c>
      <c r="B90" s="12"/>
      <c r="C90" s="13"/>
      <c r="D90" s="13"/>
      <c r="E90" s="34"/>
      <c r="F90" s="14"/>
      <c r="G90" s="14"/>
      <c r="H90" s="15"/>
      <c r="I90" s="16">
        <f t="shared" si="8"/>
        <v>0</v>
      </c>
      <c r="J90" s="54">
        <v>3</v>
      </c>
      <c r="K90" s="56">
        <v>4</v>
      </c>
    </row>
    <row r="91" spans="1:14" ht="20.25" hidden="1" customHeight="1">
      <c r="A91" s="11">
        <v>4</v>
      </c>
      <c r="B91" s="12"/>
      <c r="C91" s="13"/>
      <c r="D91" s="13"/>
      <c r="E91" s="34"/>
      <c r="F91" s="14"/>
      <c r="G91" s="14"/>
      <c r="H91" s="15"/>
      <c r="I91" s="16">
        <f t="shared" si="8"/>
        <v>0</v>
      </c>
      <c r="J91" s="55"/>
      <c r="K91" s="57"/>
    </row>
    <row r="92" spans="1:14" ht="20.25" hidden="1" customHeight="1">
      <c r="A92" s="11">
        <v>5</v>
      </c>
      <c r="B92" s="12"/>
      <c r="C92" s="13"/>
      <c r="D92" s="13"/>
      <c r="E92" s="34"/>
      <c r="F92" s="14"/>
      <c r="G92" s="14"/>
      <c r="H92" s="15"/>
      <c r="I92" s="16">
        <f t="shared" si="8"/>
        <v>0</v>
      </c>
      <c r="J92" s="54">
        <v>5</v>
      </c>
      <c r="K92" s="56">
        <v>6</v>
      </c>
    </row>
    <row r="93" spans="1:14" ht="20.25" hidden="1" customHeight="1">
      <c r="A93" s="11">
        <v>6</v>
      </c>
      <c r="B93" s="12"/>
      <c r="C93" s="13"/>
      <c r="D93" s="13"/>
      <c r="E93" s="34"/>
      <c r="F93" s="14"/>
      <c r="G93" s="14"/>
      <c r="H93" s="15"/>
      <c r="I93" s="16">
        <f t="shared" si="8"/>
        <v>0</v>
      </c>
      <c r="J93" s="55"/>
      <c r="K93" s="57"/>
    </row>
    <row r="94" spans="1:14" ht="20.25" hidden="1" customHeight="1">
      <c r="A94" s="11">
        <v>7</v>
      </c>
      <c r="B94" s="12"/>
      <c r="C94" s="13"/>
      <c r="D94" s="13"/>
      <c r="E94" s="34"/>
      <c r="F94" s="14"/>
      <c r="G94" s="14"/>
      <c r="H94" s="15"/>
      <c r="I94" s="16">
        <f t="shared" si="8"/>
        <v>0</v>
      </c>
      <c r="J94" s="54">
        <v>7</v>
      </c>
      <c r="K94" s="56">
        <v>8</v>
      </c>
    </row>
    <row r="95" spans="1:14" ht="20.25" hidden="1" customHeight="1">
      <c r="A95" s="11">
        <v>8</v>
      </c>
      <c r="B95" s="12"/>
      <c r="C95" s="13"/>
      <c r="D95" s="13"/>
      <c r="E95" s="14"/>
      <c r="F95" s="14"/>
      <c r="G95" s="14"/>
      <c r="H95" s="15"/>
      <c r="I95" s="16">
        <f t="shared" si="8"/>
        <v>0</v>
      </c>
      <c r="J95" s="55"/>
      <c r="K95" s="57"/>
    </row>
    <row r="96" spans="1:14" s="21" customFormat="1" ht="22.5" customHeight="1">
      <c r="A96" s="69" t="s">
        <v>20</v>
      </c>
      <c r="B96" s="70"/>
      <c r="C96" s="70"/>
      <c r="D96" s="70"/>
      <c r="E96" s="70"/>
      <c r="F96" s="70"/>
      <c r="G96" s="70"/>
      <c r="H96" s="71"/>
      <c r="I96" s="18">
        <f>SUM(I88:I95)</f>
        <v>105000</v>
      </c>
      <c r="J96" s="20"/>
      <c r="K96" s="20"/>
      <c r="N96" s="22"/>
    </row>
    <row r="97" spans="1:14" ht="12" customHeight="1">
      <c r="A97" s="7"/>
      <c r="B97" s="7"/>
      <c r="C97" s="7"/>
      <c r="D97" s="7"/>
      <c r="E97" s="7"/>
      <c r="F97" s="7"/>
      <c r="G97" s="7"/>
      <c r="H97" s="23"/>
      <c r="I97" s="23"/>
    </row>
    <row r="98" spans="1:14">
      <c r="A98" s="8"/>
      <c r="B98" s="8"/>
      <c r="C98" s="8"/>
      <c r="D98" s="8"/>
      <c r="E98" s="8"/>
      <c r="F98" s="8"/>
      <c r="G98" s="8"/>
      <c r="H98" s="8"/>
      <c r="J98" s="24" t="str">
        <f>Transpor_rapat!J80</f>
        <v>Cikalongwetan, 5 Maret 2026</v>
      </c>
    </row>
    <row r="99" spans="1:14">
      <c r="A99" s="8"/>
      <c r="C99" s="24" t="s">
        <v>21</v>
      </c>
      <c r="D99" s="24"/>
      <c r="E99" s="24"/>
      <c r="F99" s="24"/>
      <c r="G99" s="8"/>
      <c r="H99" s="8"/>
      <c r="J99" s="24" t="str">
        <f>Transpor_rapat!J81</f>
        <v>Dibayar Lunas Tgl. 5 Maret 2026</v>
      </c>
    </row>
    <row r="100" spans="1:14">
      <c r="A100" s="8"/>
      <c r="C100" s="24" t="s">
        <v>22</v>
      </c>
      <c r="D100" s="24"/>
      <c r="E100" s="24"/>
      <c r="F100" s="24"/>
      <c r="G100" s="8"/>
      <c r="H100" s="8"/>
      <c r="J100" s="24" t="s">
        <v>23</v>
      </c>
    </row>
    <row r="101" spans="1:14">
      <c r="A101" s="8"/>
      <c r="C101" s="24"/>
      <c r="D101" s="24"/>
      <c r="E101" s="24"/>
      <c r="F101" s="24"/>
      <c r="G101" s="8"/>
      <c r="H101" s="8"/>
      <c r="J101" s="25"/>
      <c r="N101" s="26"/>
    </row>
    <row r="102" spans="1:14">
      <c r="A102" s="8"/>
      <c r="C102" s="24"/>
      <c r="D102" s="24"/>
      <c r="E102" s="24"/>
      <c r="F102" s="24"/>
      <c r="G102" s="8"/>
      <c r="H102" s="8"/>
      <c r="J102" s="25"/>
    </row>
    <row r="103" spans="1:14">
      <c r="A103" s="8"/>
      <c r="C103" s="24"/>
      <c r="D103" s="24"/>
      <c r="E103" s="24"/>
      <c r="F103" s="24"/>
      <c r="G103" s="8"/>
      <c r="H103" s="8"/>
      <c r="J103" s="25"/>
    </row>
    <row r="104" spans="1:14">
      <c r="A104" s="8"/>
      <c r="C104" s="24"/>
      <c r="D104" s="24"/>
      <c r="E104" s="24"/>
      <c r="F104" s="24"/>
      <c r="G104" s="8"/>
      <c r="H104" s="8"/>
      <c r="J104" s="25"/>
    </row>
    <row r="105" spans="1:14" ht="15" customHeight="1">
      <c r="A105" s="8"/>
      <c r="C105" s="27" t="str">
        <f>C63</f>
        <v>BADRUDDIN, S.Ag.</v>
      </c>
      <c r="D105" s="28"/>
      <c r="E105" s="28"/>
      <c r="F105" s="8"/>
      <c r="G105" s="8"/>
      <c r="J105" s="27" t="str">
        <f>J63</f>
        <v>DEDE GUNAWAN, S.Pd.</v>
      </c>
    </row>
    <row r="106" spans="1:14" ht="13.5" customHeight="1">
      <c r="A106" s="8"/>
      <c r="C106" s="33" t="str">
        <f>C64</f>
        <v>NIP. 197405082014121002</v>
      </c>
      <c r="D106" s="25"/>
      <c r="E106" s="25"/>
      <c r="F106" s="8"/>
      <c r="G106" s="8"/>
      <c r="J106" s="33" t="str">
        <f>J64</f>
        <v>NIP. 198507172020121003</v>
      </c>
    </row>
    <row r="121" spans="1:11" ht="17.25" customHeight="1">
      <c r="A121" s="64" t="str">
        <f>A79</f>
        <v>DAFTAR PENERIMA KUOTA/PULSA INTERNET OPERATOR</v>
      </c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7.25" customHeight="1">
      <c r="A122" s="64" t="str">
        <f>Transpor_rapat!A99</f>
        <v>BULAN APRIL 2026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7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" customHeight="1">
      <c r="C124" s="4" t="s">
        <v>0</v>
      </c>
      <c r="D124" s="5" t="s">
        <v>1</v>
      </c>
      <c r="F124" s="6"/>
      <c r="G124" s="7"/>
      <c r="H124" s="7"/>
      <c r="I124" s="4" t="s">
        <v>26</v>
      </c>
      <c r="J124" s="4" t="str">
        <f>J82</f>
        <v>: 06 Pengembangan Standar Pengelolaan</v>
      </c>
    </row>
    <row r="125" spans="1:11" ht="15" customHeight="1">
      <c r="C125" s="4" t="s">
        <v>2</v>
      </c>
      <c r="D125" s="4" t="str">
        <f>D83</f>
        <v>: SD NEGERI LEBAKLEUNGSIR</v>
      </c>
      <c r="F125" s="6"/>
      <c r="H125" s="8"/>
      <c r="I125" s="4" t="s">
        <v>27</v>
      </c>
      <c r="J125" s="45" t="str">
        <f t="shared" ref="J125:J127" si="9">J83</f>
        <v>: Pengisian Pulsa Internet</v>
      </c>
    </row>
    <row r="126" spans="1:11" ht="15" customHeight="1">
      <c r="C126" s="4" t="s">
        <v>3</v>
      </c>
      <c r="D126" s="4" t="str">
        <f t="shared" ref="D126:D127" si="10">D84</f>
        <v>: Cikalongwetan</v>
      </c>
      <c r="F126" s="6"/>
      <c r="H126" s="8"/>
      <c r="I126" s="8" t="s">
        <v>28</v>
      </c>
      <c r="J126" s="4" t="str">
        <f t="shared" si="9"/>
        <v>: 5.1.02.02.01.0063</v>
      </c>
    </row>
    <row r="127" spans="1:11" ht="15" customHeight="1">
      <c r="C127" s="4" t="s">
        <v>5</v>
      </c>
      <c r="D127" s="4" t="str">
        <f t="shared" si="10"/>
        <v>: Bandung Barat</v>
      </c>
      <c r="F127" s="6"/>
      <c r="H127" s="8"/>
      <c r="I127" s="4" t="s">
        <v>7</v>
      </c>
      <c r="J127" s="4" t="str">
        <f t="shared" si="9"/>
        <v>: 7</v>
      </c>
    </row>
    <row r="128" spans="1:11" ht="15" customHeight="1">
      <c r="H128" s="8"/>
      <c r="I128" s="8"/>
      <c r="J128" s="8"/>
    </row>
    <row r="129" spans="1:14" ht="30" customHeight="1">
      <c r="A129" s="9" t="s">
        <v>8</v>
      </c>
      <c r="B129" s="65" t="s">
        <v>9</v>
      </c>
      <c r="C129" s="66"/>
      <c r="D129" s="9" t="s">
        <v>10</v>
      </c>
      <c r="E129" s="10" t="s">
        <v>58</v>
      </c>
      <c r="F129" s="9" t="s">
        <v>45</v>
      </c>
      <c r="G129" s="9" t="s">
        <v>24</v>
      </c>
      <c r="H129" s="10" t="s">
        <v>13</v>
      </c>
      <c r="I129" s="10" t="s">
        <v>14</v>
      </c>
      <c r="J129" s="69" t="s">
        <v>17</v>
      </c>
      <c r="K129" s="71"/>
    </row>
    <row r="130" spans="1:14" ht="20.25" customHeight="1">
      <c r="A130" s="11">
        <v>1</v>
      </c>
      <c r="B130" s="12" t="str">
        <f>B88</f>
        <v>RISNA MARSELA HARTINI</v>
      </c>
      <c r="C130" s="13"/>
      <c r="D130" s="12" t="str">
        <f t="shared" ref="D130:E130" si="11">D88</f>
        <v>Operator</v>
      </c>
      <c r="E130" s="11" t="str">
        <f t="shared" si="11"/>
        <v>+62 882-2908-8313</v>
      </c>
      <c r="F130" s="14">
        <v>1</v>
      </c>
      <c r="G130" s="14" t="s">
        <v>49</v>
      </c>
      <c r="H130" s="15">
        <v>105000</v>
      </c>
      <c r="I130" s="16">
        <f>F130*H130</f>
        <v>105000</v>
      </c>
      <c r="J130" s="54">
        <v>1</v>
      </c>
      <c r="K130" s="56">
        <v>2</v>
      </c>
    </row>
    <row r="131" spans="1:14" ht="20.25" customHeight="1">
      <c r="A131" s="11">
        <v>2</v>
      </c>
      <c r="B131" s="12"/>
      <c r="C131" s="13"/>
      <c r="D131" s="13"/>
      <c r="E131" s="34"/>
      <c r="F131" s="14"/>
      <c r="G131" s="14"/>
      <c r="H131" s="15"/>
      <c r="I131" s="16">
        <f t="shared" ref="I131" si="12">F131*H131</f>
        <v>0</v>
      </c>
      <c r="J131" s="55"/>
      <c r="K131" s="57"/>
    </row>
    <row r="132" spans="1:14" s="21" customFormat="1" ht="22.5" customHeight="1">
      <c r="A132" s="69" t="s">
        <v>20</v>
      </c>
      <c r="B132" s="70"/>
      <c r="C132" s="70"/>
      <c r="D132" s="70"/>
      <c r="E132" s="70"/>
      <c r="F132" s="70"/>
      <c r="G132" s="70"/>
      <c r="H132" s="71"/>
      <c r="I132" s="18">
        <f>SUM(I130:I131)</f>
        <v>105000</v>
      </c>
      <c r="J132" s="20"/>
      <c r="K132" s="20"/>
      <c r="N132" s="22"/>
    </row>
    <row r="133" spans="1:14" ht="12" customHeight="1">
      <c r="A133" s="7"/>
      <c r="B133" s="7"/>
      <c r="C133" s="7"/>
      <c r="D133" s="7"/>
      <c r="E133" s="7"/>
      <c r="F133" s="7"/>
      <c r="G133" s="7"/>
      <c r="H133" s="23"/>
      <c r="I133" s="23"/>
    </row>
    <row r="134" spans="1:14">
      <c r="A134" s="8"/>
      <c r="B134" s="8"/>
      <c r="C134" s="8"/>
      <c r="D134" s="8"/>
      <c r="E134" s="8"/>
      <c r="F134" s="8"/>
      <c r="G134" s="8"/>
      <c r="H134" s="8"/>
      <c r="J134" s="24" t="s">
        <v>161</v>
      </c>
    </row>
    <row r="135" spans="1:14">
      <c r="A135" s="8"/>
      <c r="C135" s="24" t="s">
        <v>21</v>
      </c>
      <c r="D135" s="24"/>
      <c r="E135" s="24"/>
      <c r="F135" s="24"/>
      <c r="G135" s="8"/>
      <c r="H135" s="8"/>
      <c r="J135" s="24" t="s">
        <v>117</v>
      </c>
    </row>
    <row r="136" spans="1:14">
      <c r="A136" s="8"/>
      <c r="C136" s="24" t="s">
        <v>22</v>
      </c>
      <c r="D136" s="24"/>
      <c r="E136" s="24"/>
      <c r="F136" s="24"/>
      <c r="G136" s="8"/>
      <c r="H136" s="8"/>
      <c r="J136" s="24" t="s">
        <v>23</v>
      </c>
    </row>
    <row r="137" spans="1:14">
      <c r="A137" s="8"/>
      <c r="C137" s="24"/>
      <c r="D137" s="24"/>
      <c r="E137" s="24"/>
      <c r="F137" s="24"/>
      <c r="G137" s="8"/>
      <c r="H137" s="8"/>
      <c r="J137" s="25"/>
      <c r="N137" s="26"/>
    </row>
    <row r="138" spans="1:14">
      <c r="A138" s="8"/>
      <c r="C138" s="24"/>
      <c r="D138" s="24"/>
      <c r="E138" s="24"/>
      <c r="F138" s="24"/>
      <c r="G138" s="8"/>
      <c r="H138" s="8"/>
      <c r="J138" s="25"/>
    </row>
    <row r="139" spans="1:14">
      <c r="A139" s="8"/>
      <c r="C139" s="24"/>
      <c r="D139" s="24"/>
      <c r="E139" s="24"/>
      <c r="F139" s="24"/>
      <c r="G139" s="8"/>
      <c r="H139" s="8"/>
      <c r="J139" s="25"/>
    </row>
    <row r="140" spans="1:14">
      <c r="A140" s="8"/>
      <c r="C140" s="24"/>
      <c r="D140" s="24"/>
      <c r="E140" s="24"/>
      <c r="F140" s="24"/>
      <c r="G140" s="8"/>
      <c r="H140" s="8"/>
      <c r="J140" s="25"/>
    </row>
    <row r="141" spans="1:14" ht="15" customHeight="1">
      <c r="A141" s="8"/>
      <c r="C141" s="27" t="str">
        <f>Transpor_rapat!C121</f>
        <v>BADRUDDIN, S.Ag.</v>
      </c>
      <c r="D141" s="28"/>
      <c r="E141" s="28"/>
      <c r="F141" s="8"/>
      <c r="G141" s="8"/>
      <c r="J141" s="27" t="str">
        <f>J105</f>
        <v>DEDE GUNAWAN, S.Pd.</v>
      </c>
    </row>
    <row r="142" spans="1:14" ht="13.5" customHeight="1">
      <c r="A142" s="8"/>
      <c r="C142" s="43" t="str">
        <f>Transpor_rapat!C122</f>
        <v>NIP. 197405082014121002</v>
      </c>
      <c r="D142" s="25"/>
      <c r="E142" s="25"/>
      <c r="F142" s="8"/>
      <c r="G142" s="8"/>
      <c r="J142" s="33" t="str">
        <f>J106</f>
        <v>NIP. 198507172020121003</v>
      </c>
    </row>
    <row r="157" spans="1:11" ht="17.25" customHeight="1">
      <c r="A157" s="64" t="str">
        <f>A121</f>
        <v>DAFTAR PENERIMA KUOTA/PULSA INTERNET OPERATOR</v>
      </c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7.25" customHeight="1">
      <c r="A158" s="64" t="str">
        <f>Transpor_rapat!A131</f>
        <v>BULAN MEI 2026</v>
      </c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7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" customHeight="1">
      <c r="C160" s="4" t="s">
        <v>0</v>
      </c>
      <c r="D160" s="5" t="str">
        <f>D124</f>
        <v>: ____________________________</v>
      </c>
      <c r="F160" s="6"/>
      <c r="G160" s="7"/>
      <c r="H160" s="7"/>
      <c r="I160" s="4" t="s">
        <v>26</v>
      </c>
      <c r="J160" s="4" t="str">
        <f>J124</f>
        <v>: 06 Pengembangan Standar Pengelolaan</v>
      </c>
    </row>
    <row r="161" spans="1:14" ht="15" customHeight="1">
      <c r="C161" s="4" t="s">
        <v>2</v>
      </c>
      <c r="D161" s="4" t="str">
        <f>D125</f>
        <v>: SD NEGERI LEBAKLEUNGSIR</v>
      </c>
      <c r="F161" s="6"/>
      <c r="H161" s="8"/>
      <c r="I161" s="4" t="s">
        <v>27</v>
      </c>
      <c r="J161" s="45" t="str">
        <f t="shared" ref="J161:J163" si="13">J125</f>
        <v>: Pengisian Pulsa Internet</v>
      </c>
    </row>
    <row r="162" spans="1:14" ht="15" customHeight="1">
      <c r="C162" s="4" t="s">
        <v>3</v>
      </c>
      <c r="D162" s="5" t="str">
        <f t="shared" ref="D162:D163" si="14">D126</f>
        <v>: Cikalongwetan</v>
      </c>
      <c r="F162" s="6"/>
      <c r="H162" s="8"/>
      <c r="I162" s="8" t="s">
        <v>28</v>
      </c>
      <c r="J162" s="4" t="str">
        <f t="shared" si="13"/>
        <v>: 5.1.02.02.01.0063</v>
      </c>
    </row>
    <row r="163" spans="1:14" ht="15" customHeight="1">
      <c r="C163" s="4" t="s">
        <v>5</v>
      </c>
      <c r="D163" s="5" t="str">
        <f t="shared" si="14"/>
        <v>: Bandung Barat</v>
      </c>
      <c r="F163" s="6"/>
      <c r="H163" s="8"/>
      <c r="I163" s="4" t="s">
        <v>7</v>
      </c>
      <c r="J163" s="4" t="str">
        <f t="shared" si="13"/>
        <v>: 7</v>
      </c>
    </row>
    <row r="164" spans="1:14" ht="15" customHeight="1">
      <c r="H164" s="8"/>
      <c r="I164" s="8"/>
      <c r="J164" s="8"/>
    </row>
    <row r="165" spans="1:14" ht="30" customHeight="1">
      <c r="A165" s="9" t="s">
        <v>8</v>
      </c>
      <c r="B165" s="69" t="s">
        <v>9</v>
      </c>
      <c r="C165" s="71"/>
      <c r="D165" s="9" t="s">
        <v>10</v>
      </c>
      <c r="E165" s="10" t="s">
        <v>58</v>
      </c>
      <c r="F165" s="9" t="s">
        <v>45</v>
      </c>
      <c r="G165" s="9" t="s">
        <v>24</v>
      </c>
      <c r="H165" s="10" t="s">
        <v>13</v>
      </c>
      <c r="I165" s="10" t="s">
        <v>14</v>
      </c>
      <c r="J165" s="69" t="s">
        <v>17</v>
      </c>
      <c r="K165" s="71"/>
    </row>
    <row r="166" spans="1:14" ht="20.25" customHeight="1">
      <c r="A166" s="11">
        <v>1</v>
      </c>
      <c r="B166" s="12" t="str">
        <f>B130</f>
        <v>RISNA MARSELA HARTINI</v>
      </c>
      <c r="C166" s="13"/>
      <c r="D166" s="12" t="str">
        <f t="shared" ref="D166:E166" si="15">D130</f>
        <v>Operator</v>
      </c>
      <c r="E166" s="11" t="str">
        <f t="shared" si="15"/>
        <v>+62 882-2908-8313</v>
      </c>
      <c r="F166" s="14">
        <v>1</v>
      </c>
      <c r="G166" s="14" t="s">
        <v>49</v>
      </c>
      <c r="H166" s="15">
        <v>105000</v>
      </c>
      <c r="I166" s="16">
        <f>F166*H166</f>
        <v>105000</v>
      </c>
      <c r="J166" s="54">
        <v>1</v>
      </c>
      <c r="K166" s="56">
        <v>2</v>
      </c>
    </row>
    <row r="167" spans="1:14" ht="20.25" customHeight="1">
      <c r="A167" s="11">
        <v>2</v>
      </c>
      <c r="B167" s="12"/>
      <c r="C167" s="13"/>
      <c r="D167" s="13"/>
      <c r="E167" s="34"/>
      <c r="F167" s="14"/>
      <c r="G167" s="14"/>
      <c r="H167" s="15"/>
      <c r="I167" s="16">
        <f t="shared" ref="I167:I173" si="16">F167*H167</f>
        <v>0</v>
      </c>
      <c r="J167" s="55"/>
      <c r="K167" s="57"/>
    </row>
    <row r="168" spans="1:14" ht="20.25" hidden="1" customHeight="1">
      <c r="A168" s="11">
        <v>3</v>
      </c>
      <c r="B168" s="12"/>
      <c r="C168" s="13"/>
      <c r="D168" s="13"/>
      <c r="E168" s="34"/>
      <c r="F168" s="14"/>
      <c r="G168" s="14"/>
      <c r="H168" s="15"/>
      <c r="I168" s="16">
        <f t="shared" si="16"/>
        <v>0</v>
      </c>
      <c r="J168" s="54">
        <v>3</v>
      </c>
      <c r="K168" s="56">
        <v>4</v>
      </c>
    </row>
    <row r="169" spans="1:14" ht="20.25" hidden="1" customHeight="1">
      <c r="A169" s="11">
        <v>4</v>
      </c>
      <c r="B169" s="12"/>
      <c r="C169" s="13"/>
      <c r="D169" s="13"/>
      <c r="E169" s="34"/>
      <c r="F169" s="14"/>
      <c r="G169" s="14"/>
      <c r="H169" s="15"/>
      <c r="I169" s="16">
        <f t="shared" si="16"/>
        <v>0</v>
      </c>
      <c r="J169" s="55"/>
      <c r="K169" s="57"/>
    </row>
    <row r="170" spans="1:14" ht="20.25" hidden="1" customHeight="1">
      <c r="A170" s="11">
        <v>5</v>
      </c>
      <c r="B170" s="12"/>
      <c r="C170" s="13"/>
      <c r="D170" s="13"/>
      <c r="E170" s="34"/>
      <c r="F170" s="14"/>
      <c r="G170" s="14"/>
      <c r="H170" s="15"/>
      <c r="I170" s="16">
        <f t="shared" si="16"/>
        <v>0</v>
      </c>
      <c r="J170" s="54">
        <v>5</v>
      </c>
      <c r="K170" s="56">
        <v>6</v>
      </c>
    </row>
    <row r="171" spans="1:14" ht="20.25" hidden="1" customHeight="1">
      <c r="A171" s="11">
        <v>6</v>
      </c>
      <c r="B171" s="12"/>
      <c r="C171" s="13"/>
      <c r="D171" s="13"/>
      <c r="E171" s="34"/>
      <c r="F171" s="14"/>
      <c r="G171" s="14"/>
      <c r="H171" s="15"/>
      <c r="I171" s="16">
        <f t="shared" si="16"/>
        <v>0</v>
      </c>
      <c r="J171" s="55"/>
      <c r="K171" s="57"/>
    </row>
    <row r="172" spans="1:14" ht="20.25" hidden="1" customHeight="1">
      <c r="A172" s="11">
        <v>7</v>
      </c>
      <c r="B172" s="12"/>
      <c r="C172" s="13"/>
      <c r="D172" s="13"/>
      <c r="E172" s="34"/>
      <c r="F172" s="14"/>
      <c r="G172" s="14"/>
      <c r="H172" s="15"/>
      <c r="I172" s="16">
        <f t="shared" si="16"/>
        <v>0</v>
      </c>
      <c r="J172" s="54">
        <v>7</v>
      </c>
      <c r="K172" s="56">
        <v>8</v>
      </c>
    </row>
    <row r="173" spans="1:14" ht="20.25" hidden="1" customHeight="1">
      <c r="A173" s="11">
        <v>8</v>
      </c>
      <c r="B173" s="12"/>
      <c r="C173" s="13"/>
      <c r="D173" s="13"/>
      <c r="E173" s="14"/>
      <c r="F173" s="14"/>
      <c r="G173" s="14"/>
      <c r="H173" s="15"/>
      <c r="I173" s="16">
        <f t="shared" si="16"/>
        <v>0</v>
      </c>
      <c r="J173" s="55"/>
      <c r="K173" s="57"/>
    </row>
    <row r="174" spans="1:14" s="21" customFormat="1" ht="22.5" customHeight="1">
      <c r="A174" s="69" t="s">
        <v>20</v>
      </c>
      <c r="B174" s="70"/>
      <c r="C174" s="70"/>
      <c r="D174" s="70"/>
      <c r="E174" s="70"/>
      <c r="F174" s="70"/>
      <c r="G174" s="70"/>
      <c r="H174" s="71"/>
      <c r="I174" s="18">
        <f>SUM(I166:I173)</f>
        <v>105000</v>
      </c>
      <c r="J174" s="20"/>
      <c r="K174" s="20"/>
      <c r="N174" s="22"/>
    </row>
    <row r="175" spans="1:14" ht="12" customHeight="1">
      <c r="A175" s="7"/>
      <c r="B175" s="7"/>
      <c r="C175" s="7"/>
      <c r="D175" s="7"/>
      <c r="E175" s="7"/>
      <c r="F175" s="7"/>
      <c r="G175" s="7"/>
      <c r="H175" s="23"/>
      <c r="I175" s="23"/>
    </row>
    <row r="176" spans="1:14">
      <c r="A176" s="8"/>
      <c r="B176" s="8"/>
      <c r="C176" s="8"/>
      <c r="D176" s="8"/>
      <c r="E176" s="8"/>
      <c r="F176" s="8"/>
      <c r="G176" s="8"/>
      <c r="H176" s="8"/>
      <c r="J176" s="24" t="s">
        <v>162</v>
      </c>
    </row>
    <row r="177" spans="1:14">
      <c r="A177" s="8"/>
      <c r="C177" s="24" t="s">
        <v>21</v>
      </c>
      <c r="D177" s="24"/>
      <c r="E177" s="24"/>
      <c r="F177" s="24"/>
      <c r="G177" s="8"/>
      <c r="H177" s="8"/>
      <c r="J177" s="24" t="s">
        <v>163</v>
      </c>
    </row>
    <row r="178" spans="1:14">
      <c r="A178" s="8"/>
      <c r="C178" s="24" t="s">
        <v>22</v>
      </c>
      <c r="D178" s="24"/>
      <c r="E178" s="24"/>
      <c r="F178" s="24"/>
      <c r="G178" s="8"/>
      <c r="H178" s="8"/>
      <c r="J178" s="24" t="s">
        <v>23</v>
      </c>
    </row>
    <row r="179" spans="1:14">
      <c r="A179" s="8"/>
      <c r="C179" s="24"/>
      <c r="D179" s="24"/>
      <c r="E179" s="24"/>
      <c r="F179" s="24"/>
      <c r="G179" s="8"/>
      <c r="H179" s="8"/>
      <c r="J179" s="25"/>
      <c r="N179" s="26"/>
    </row>
    <row r="180" spans="1:14">
      <c r="A180" s="8"/>
      <c r="C180" s="24"/>
      <c r="D180" s="24"/>
      <c r="E180" s="24"/>
      <c r="F180" s="24"/>
      <c r="G180" s="8"/>
      <c r="H180" s="8"/>
      <c r="J180" s="25"/>
    </row>
    <row r="181" spans="1:14">
      <c r="A181" s="8"/>
      <c r="C181" s="24"/>
      <c r="D181" s="24"/>
      <c r="E181" s="24"/>
      <c r="F181" s="24"/>
      <c r="G181" s="8"/>
      <c r="H181" s="8"/>
      <c r="J181" s="25"/>
    </row>
    <row r="182" spans="1:14">
      <c r="A182" s="8"/>
      <c r="C182" s="24"/>
      <c r="D182" s="24"/>
      <c r="E182" s="24"/>
      <c r="F182" s="24"/>
      <c r="G182" s="8"/>
      <c r="H182" s="8"/>
      <c r="J182" s="25"/>
    </row>
    <row r="183" spans="1:14" ht="15" customHeight="1">
      <c r="A183" s="8"/>
      <c r="C183" s="27" t="str">
        <f>C141</f>
        <v>BADRUDDIN, S.Ag.</v>
      </c>
      <c r="D183" s="28"/>
      <c r="E183" s="28"/>
      <c r="F183" s="8"/>
      <c r="G183" s="8"/>
      <c r="J183" s="27" t="str">
        <f>J141</f>
        <v>DEDE GUNAWAN, S.Pd.</v>
      </c>
    </row>
    <row r="184" spans="1:14" ht="13.5" customHeight="1">
      <c r="A184" s="8"/>
      <c r="C184" s="33" t="str">
        <f>C142</f>
        <v>NIP. 197405082014121002</v>
      </c>
      <c r="D184" s="25"/>
      <c r="E184" s="25"/>
      <c r="F184" s="8"/>
      <c r="G184" s="8"/>
      <c r="J184" s="33" t="str">
        <f>J142</f>
        <v>NIP. 198507172020121003</v>
      </c>
    </row>
    <row r="199" spans="1:11" ht="17.25" customHeight="1">
      <c r="A199" s="64" t="str">
        <f>A157</f>
        <v>DAFTAR PENERIMA KUOTA/PULSA INTERNET OPERATOR</v>
      </c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7.25" customHeight="1">
      <c r="A200" s="64" t="str">
        <f>Transpor_rapat!A163</f>
        <v>BULAN JUNI 2026</v>
      </c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7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" customHeight="1">
      <c r="C202" s="4" t="s">
        <v>0</v>
      </c>
      <c r="D202" s="5" t="str">
        <f>D160</f>
        <v>: ____________________________</v>
      </c>
      <c r="F202" s="6"/>
      <c r="G202" s="7"/>
      <c r="H202" s="7"/>
      <c r="I202" s="4" t="s">
        <v>26</v>
      </c>
      <c r="J202" s="4" t="str">
        <f>J160</f>
        <v>: 06 Pengembangan Standar Pengelolaan</v>
      </c>
    </row>
    <row r="203" spans="1:11" ht="15" customHeight="1">
      <c r="C203" s="4" t="s">
        <v>2</v>
      </c>
      <c r="D203" s="5" t="str">
        <f t="shared" ref="D203:D205" si="17">D161</f>
        <v>: SD NEGERI LEBAKLEUNGSIR</v>
      </c>
      <c r="F203" s="6"/>
      <c r="H203" s="8"/>
      <c r="I203" s="4" t="s">
        <v>27</v>
      </c>
      <c r="J203" s="45" t="str">
        <f t="shared" ref="J203:J205" si="18">J161</f>
        <v>: Pengisian Pulsa Internet</v>
      </c>
    </row>
    <row r="204" spans="1:11" ht="15" customHeight="1">
      <c r="C204" s="4" t="s">
        <v>3</v>
      </c>
      <c r="D204" s="5" t="str">
        <f t="shared" si="17"/>
        <v>: Cikalongwetan</v>
      </c>
      <c r="F204" s="6"/>
      <c r="H204" s="8"/>
      <c r="I204" s="8" t="s">
        <v>28</v>
      </c>
      <c r="J204" s="4" t="str">
        <f t="shared" si="18"/>
        <v>: 5.1.02.02.01.0063</v>
      </c>
    </row>
    <row r="205" spans="1:11" ht="15" customHeight="1">
      <c r="C205" s="4" t="s">
        <v>5</v>
      </c>
      <c r="D205" s="5" t="str">
        <f t="shared" si="17"/>
        <v>: Bandung Barat</v>
      </c>
      <c r="F205" s="6"/>
      <c r="H205" s="8"/>
      <c r="I205" s="4" t="s">
        <v>7</v>
      </c>
      <c r="J205" s="4" t="str">
        <f t="shared" si="18"/>
        <v>: 7</v>
      </c>
    </row>
    <row r="206" spans="1:11" ht="15" customHeight="1">
      <c r="H206" s="8"/>
      <c r="I206" s="8"/>
      <c r="J206" s="8"/>
    </row>
    <row r="207" spans="1:11" ht="30" customHeight="1">
      <c r="A207" s="9" t="s">
        <v>8</v>
      </c>
      <c r="B207" s="65" t="s">
        <v>9</v>
      </c>
      <c r="C207" s="66"/>
      <c r="D207" s="9" t="s">
        <v>10</v>
      </c>
      <c r="E207" s="10" t="s">
        <v>58</v>
      </c>
      <c r="F207" s="9" t="s">
        <v>45</v>
      </c>
      <c r="G207" s="9" t="s">
        <v>24</v>
      </c>
      <c r="H207" s="10" t="s">
        <v>13</v>
      </c>
      <c r="I207" s="10" t="s">
        <v>14</v>
      </c>
      <c r="J207" s="69" t="s">
        <v>17</v>
      </c>
      <c r="K207" s="71"/>
    </row>
    <row r="208" spans="1:11" ht="20.25" customHeight="1">
      <c r="A208" s="11">
        <v>1</v>
      </c>
      <c r="B208" s="12" t="str">
        <f>B166</f>
        <v>RISNA MARSELA HARTINI</v>
      </c>
      <c r="C208" s="13"/>
      <c r="D208" s="12" t="str">
        <f t="shared" ref="D208:E208" si="19">D166</f>
        <v>Operator</v>
      </c>
      <c r="E208" s="11" t="str">
        <f t="shared" si="19"/>
        <v>+62 882-2908-8313</v>
      </c>
      <c r="F208" s="14">
        <v>1</v>
      </c>
      <c r="G208" s="14" t="s">
        <v>49</v>
      </c>
      <c r="H208" s="15">
        <v>105000</v>
      </c>
      <c r="I208" s="16">
        <f>F208*H208</f>
        <v>105000</v>
      </c>
      <c r="J208" s="54">
        <v>1</v>
      </c>
      <c r="K208" s="56">
        <v>2</v>
      </c>
    </row>
    <row r="209" spans="1:14" ht="20.25" customHeight="1">
      <c r="A209" s="11">
        <v>2</v>
      </c>
      <c r="B209" s="12"/>
      <c r="C209" s="13"/>
      <c r="D209" s="13"/>
      <c r="E209" s="34"/>
      <c r="F209" s="14"/>
      <c r="G209" s="14"/>
      <c r="H209" s="15"/>
      <c r="I209" s="16">
        <f t="shared" ref="I209" si="20">F209*H209</f>
        <v>0</v>
      </c>
      <c r="J209" s="55"/>
      <c r="K209" s="57"/>
    </row>
    <row r="210" spans="1:14" s="21" customFormat="1" ht="22.5" customHeight="1">
      <c r="A210" s="69" t="s">
        <v>20</v>
      </c>
      <c r="B210" s="70"/>
      <c r="C210" s="70"/>
      <c r="D210" s="70"/>
      <c r="E210" s="70"/>
      <c r="F210" s="70"/>
      <c r="G210" s="70"/>
      <c r="H210" s="71"/>
      <c r="I210" s="18">
        <f>SUM(I208:I209)</f>
        <v>105000</v>
      </c>
      <c r="J210" s="20"/>
      <c r="K210" s="20"/>
      <c r="N210" s="22"/>
    </row>
    <row r="211" spans="1:14" ht="12" customHeight="1">
      <c r="A211" s="7"/>
      <c r="B211" s="7"/>
      <c r="C211" s="7"/>
      <c r="D211" s="7"/>
      <c r="E211" s="7"/>
      <c r="F211" s="7"/>
      <c r="G211" s="7"/>
      <c r="H211" s="23"/>
      <c r="I211" s="23"/>
    </row>
    <row r="212" spans="1:14">
      <c r="A212" s="8"/>
      <c r="B212" s="8"/>
      <c r="C212" s="8"/>
      <c r="D212" s="8"/>
      <c r="E212" s="8"/>
      <c r="F212" s="8"/>
      <c r="G212" s="8"/>
      <c r="H212" s="8"/>
      <c r="J212" s="24" t="s">
        <v>164</v>
      </c>
    </row>
    <row r="213" spans="1:14">
      <c r="A213" s="8"/>
      <c r="C213" s="24" t="s">
        <v>21</v>
      </c>
      <c r="D213" s="24"/>
      <c r="E213" s="24"/>
      <c r="F213" s="24"/>
      <c r="G213" s="8"/>
      <c r="H213" s="8"/>
      <c r="J213" s="24" t="s">
        <v>165</v>
      </c>
    </row>
    <row r="214" spans="1:14">
      <c r="A214" s="8"/>
      <c r="C214" s="24" t="s">
        <v>22</v>
      </c>
      <c r="D214" s="24"/>
      <c r="E214" s="24"/>
      <c r="F214" s="24"/>
      <c r="G214" s="8"/>
      <c r="H214" s="8"/>
      <c r="J214" s="24" t="s">
        <v>23</v>
      </c>
    </row>
    <row r="215" spans="1:14">
      <c r="A215" s="8"/>
      <c r="C215" s="24"/>
      <c r="D215" s="24"/>
      <c r="E215" s="24"/>
      <c r="F215" s="24"/>
      <c r="G215" s="8"/>
      <c r="H215" s="8"/>
      <c r="J215" s="25"/>
      <c r="N215" s="26"/>
    </row>
    <row r="216" spans="1:14">
      <c r="A216" s="8"/>
      <c r="C216" s="24"/>
      <c r="D216" s="24"/>
      <c r="E216" s="24"/>
      <c r="F216" s="24"/>
      <c r="G216" s="8"/>
      <c r="H216" s="8"/>
      <c r="J216" s="25"/>
    </row>
    <row r="217" spans="1:14">
      <c r="A217" s="8"/>
      <c r="C217" s="24"/>
      <c r="D217" s="24"/>
      <c r="E217" s="24"/>
      <c r="F217" s="24"/>
      <c r="G217" s="8"/>
      <c r="H217" s="8"/>
      <c r="J217" s="25"/>
    </row>
    <row r="218" spans="1:14">
      <c r="A218" s="8"/>
      <c r="C218" s="24"/>
      <c r="D218" s="24"/>
      <c r="E218" s="24"/>
      <c r="F218" s="24"/>
      <c r="G218" s="8"/>
      <c r="H218" s="8"/>
      <c r="J218" s="25"/>
    </row>
    <row r="219" spans="1:14" ht="15" customHeight="1">
      <c r="A219" s="8"/>
      <c r="C219" s="27" t="str">
        <f>C183</f>
        <v>BADRUDDIN, S.Ag.</v>
      </c>
      <c r="D219" s="28"/>
      <c r="E219" s="28"/>
      <c r="F219" s="8"/>
      <c r="G219" s="8"/>
      <c r="J219" s="27" t="str">
        <f>J183</f>
        <v>DEDE GUNAWAN, S.Pd.</v>
      </c>
    </row>
    <row r="220" spans="1:14" ht="13.5" customHeight="1">
      <c r="A220" s="8"/>
      <c r="C220" s="33" t="str">
        <f>C184</f>
        <v>NIP. 197405082014121002</v>
      </c>
      <c r="D220" s="25"/>
      <c r="E220" s="25"/>
      <c r="F220" s="8"/>
      <c r="G220" s="8"/>
      <c r="J220" s="33" t="str">
        <f>J184</f>
        <v>NIP. 198507172020121003</v>
      </c>
    </row>
    <row r="235" spans="1:11" ht="17.25" customHeight="1">
      <c r="A235" s="64" t="str">
        <f>A199</f>
        <v>DAFTAR PENERIMA KUOTA/PULSA INTERNET OPERATOR</v>
      </c>
      <c r="B235" s="64"/>
      <c r="C235" s="64"/>
      <c r="D235" s="64"/>
      <c r="E235" s="64"/>
      <c r="F235" s="64"/>
      <c r="G235" s="64"/>
      <c r="H235" s="64"/>
      <c r="I235" s="64"/>
      <c r="J235" s="64"/>
      <c r="K235" s="64"/>
    </row>
    <row r="236" spans="1:11" ht="17.25" customHeight="1">
      <c r="A236" s="64" t="s">
        <v>75</v>
      </c>
      <c r="B236" s="64"/>
      <c r="C236" s="64"/>
      <c r="D236" s="64"/>
      <c r="E236" s="64"/>
      <c r="F236" s="64"/>
      <c r="G236" s="64"/>
      <c r="H236" s="64"/>
      <c r="I236" s="64"/>
      <c r="J236" s="64"/>
      <c r="K236" s="64"/>
    </row>
    <row r="237" spans="1:11" ht="7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" customHeight="1">
      <c r="C238" s="4" t="s">
        <v>0</v>
      </c>
      <c r="D238" s="5" t="str">
        <f>D202</f>
        <v>: ____________________________</v>
      </c>
      <c r="F238" s="6"/>
      <c r="G238" s="7"/>
      <c r="H238" s="7"/>
      <c r="I238" s="4" t="s">
        <v>26</v>
      </c>
      <c r="J238" s="4" t="str">
        <f>J202</f>
        <v>: 06 Pengembangan Standar Pengelolaan</v>
      </c>
    </row>
    <row r="239" spans="1:11" ht="15" customHeight="1">
      <c r="C239" s="4" t="s">
        <v>2</v>
      </c>
      <c r="D239" s="5" t="str">
        <f t="shared" ref="D239:D241" si="21">D203</f>
        <v>: SD NEGERI LEBAKLEUNGSIR</v>
      </c>
      <c r="F239" s="6"/>
      <c r="H239" s="8"/>
      <c r="I239" s="4" t="s">
        <v>27</v>
      </c>
      <c r="J239" s="45" t="str">
        <f t="shared" ref="J239:J241" si="22">J203</f>
        <v>: Pengisian Pulsa Internet</v>
      </c>
    </row>
    <row r="240" spans="1:11" ht="15" customHeight="1">
      <c r="C240" s="4" t="s">
        <v>3</v>
      </c>
      <c r="D240" s="5" t="str">
        <f t="shared" si="21"/>
        <v>: Cikalongwetan</v>
      </c>
      <c r="F240" s="6"/>
      <c r="H240" s="8"/>
      <c r="I240" s="8" t="s">
        <v>28</v>
      </c>
      <c r="J240" s="4" t="str">
        <f t="shared" si="22"/>
        <v>: 5.1.02.02.01.0063</v>
      </c>
    </row>
    <row r="241" spans="1:14" ht="15" customHeight="1">
      <c r="C241" s="4" t="s">
        <v>5</v>
      </c>
      <c r="D241" s="5" t="str">
        <f t="shared" si="21"/>
        <v>: Bandung Barat</v>
      </c>
      <c r="F241" s="6"/>
      <c r="H241" s="8"/>
      <c r="I241" s="4" t="s">
        <v>7</v>
      </c>
      <c r="J241" s="4" t="str">
        <f t="shared" si="22"/>
        <v>: 7</v>
      </c>
    </row>
    <row r="242" spans="1:14" ht="15" customHeight="1">
      <c r="H242" s="8"/>
      <c r="I242" s="8"/>
      <c r="J242" s="8"/>
    </row>
    <row r="243" spans="1:14" ht="30" customHeight="1">
      <c r="A243" s="9" t="s">
        <v>8</v>
      </c>
      <c r="B243" s="65" t="s">
        <v>9</v>
      </c>
      <c r="C243" s="66"/>
      <c r="D243" s="9" t="s">
        <v>10</v>
      </c>
      <c r="E243" s="10" t="s">
        <v>58</v>
      </c>
      <c r="F243" s="9" t="s">
        <v>45</v>
      </c>
      <c r="G243" s="9" t="s">
        <v>24</v>
      </c>
      <c r="H243" s="10" t="s">
        <v>13</v>
      </c>
      <c r="I243" s="10" t="s">
        <v>14</v>
      </c>
      <c r="J243" s="69" t="s">
        <v>17</v>
      </c>
      <c r="K243" s="71"/>
    </row>
    <row r="244" spans="1:14" ht="20.25" customHeight="1">
      <c r="A244" s="11">
        <v>1</v>
      </c>
      <c r="B244" s="12" t="s">
        <v>53</v>
      </c>
      <c r="C244" s="13"/>
      <c r="D244" s="13" t="s">
        <v>33</v>
      </c>
      <c r="E244" s="34" t="s">
        <v>62</v>
      </c>
      <c r="F244" s="14">
        <v>1</v>
      </c>
      <c r="G244" s="14" t="s">
        <v>49</v>
      </c>
      <c r="H244" s="15">
        <v>105000</v>
      </c>
      <c r="I244" s="16">
        <f>F244*H244</f>
        <v>105000</v>
      </c>
      <c r="J244" s="54">
        <v>1</v>
      </c>
      <c r="K244" s="56">
        <v>2</v>
      </c>
    </row>
    <row r="245" spans="1:14" ht="20.25" customHeight="1">
      <c r="A245" s="11">
        <v>2</v>
      </c>
      <c r="B245" s="12" t="s">
        <v>54</v>
      </c>
      <c r="C245" s="13"/>
      <c r="D245" s="13" t="s">
        <v>166</v>
      </c>
      <c r="E245" s="34" t="s">
        <v>63</v>
      </c>
      <c r="F245" s="14">
        <v>1</v>
      </c>
      <c r="G245" s="14" t="s">
        <v>49</v>
      </c>
      <c r="H245" s="15">
        <v>105000</v>
      </c>
      <c r="I245" s="16">
        <f t="shared" ref="I245" si="23">F245*H245</f>
        <v>105000</v>
      </c>
      <c r="J245" s="55"/>
      <c r="K245" s="57"/>
    </row>
    <row r="246" spans="1:14" s="21" customFormat="1" ht="22.5" customHeight="1">
      <c r="A246" s="69" t="s">
        <v>20</v>
      </c>
      <c r="B246" s="70"/>
      <c r="C246" s="70"/>
      <c r="D246" s="70"/>
      <c r="E246" s="70"/>
      <c r="F246" s="70"/>
      <c r="G246" s="70"/>
      <c r="H246" s="71"/>
      <c r="I246" s="18">
        <f>SUM(I244:I245)</f>
        <v>210000</v>
      </c>
      <c r="J246" s="20"/>
      <c r="K246" s="20"/>
      <c r="N246" s="22"/>
    </row>
    <row r="247" spans="1:14" ht="12" customHeight="1">
      <c r="A247" s="7"/>
      <c r="B247" s="7"/>
      <c r="C247" s="7"/>
      <c r="D247" s="7"/>
      <c r="E247" s="7"/>
      <c r="F247" s="7"/>
      <c r="G247" s="7"/>
      <c r="H247" s="23"/>
      <c r="I247" s="23"/>
    </row>
    <row r="248" spans="1:14">
      <c r="A248" s="8"/>
      <c r="B248" s="8"/>
      <c r="C248" s="8"/>
      <c r="D248" s="8"/>
      <c r="E248" s="8"/>
      <c r="F248" s="8"/>
      <c r="G248" s="8"/>
      <c r="H248" s="8"/>
      <c r="J248" s="24" t="s">
        <v>167</v>
      </c>
    </row>
    <row r="249" spans="1:14">
      <c r="A249" s="8"/>
      <c r="C249" s="24" t="s">
        <v>21</v>
      </c>
      <c r="D249" s="24"/>
      <c r="E249" s="24"/>
      <c r="F249" s="24"/>
      <c r="G249" s="8"/>
      <c r="H249" s="8"/>
      <c r="J249" s="24" t="s">
        <v>157</v>
      </c>
    </row>
    <row r="250" spans="1:14">
      <c r="A250" s="8"/>
      <c r="C250" s="24" t="s">
        <v>22</v>
      </c>
      <c r="D250" s="24"/>
      <c r="E250" s="24"/>
      <c r="F250" s="24"/>
      <c r="G250" s="8"/>
      <c r="H250" s="8"/>
      <c r="J250" s="24" t="s">
        <v>23</v>
      </c>
    </row>
    <row r="251" spans="1:14">
      <c r="A251" s="8"/>
      <c r="C251" s="24"/>
      <c r="D251" s="24"/>
      <c r="E251" s="24"/>
      <c r="F251" s="24"/>
      <c r="G251" s="8"/>
      <c r="H251" s="8"/>
      <c r="J251" s="25"/>
      <c r="N251" s="26"/>
    </row>
    <row r="252" spans="1:14">
      <c r="A252" s="8"/>
      <c r="C252" s="24"/>
      <c r="D252" s="24"/>
      <c r="E252" s="24"/>
      <c r="F252" s="24"/>
      <c r="G252" s="8"/>
      <c r="H252" s="8"/>
      <c r="J252" s="25"/>
    </row>
    <row r="253" spans="1:14">
      <c r="A253" s="8"/>
      <c r="C253" s="24"/>
      <c r="D253" s="24"/>
      <c r="E253" s="24"/>
      <c r="F253" s="24"/>
      <c r="G253" s="8"/>
      <c r="H253" s="8"/>
      <c r="J253" s="25"/>
    </row>
    <row r="254" spans="1:14">
      <c r="A254" s="8"/>
      <c r="C254" s="24"/>
      <c r="D254" s="24"/>
      <c r="E254" s="24"/>
      <c r="F254" s="24"/>
      <c r="G254" s="8"/>
      <c r="H254" s="8"/>
      <c r="J254" s="25"/>
    </row>
    <row r="255" spans="1:14" ht="15" customHeight="1">
      <c r="A255" s="8"/>
      <c r="C255" s="27" t="str">
        <f>C219</f>
        <v>BADRUDDIN, S.Ag.</v>
      </c>
      <c r="D255" s="28"/>
      <c r="E255" s="28"/>
      <c r="F255" s="8"/>
      <c r="G255" s="8"/>
      <c r="J255" s="27" t="s">
        <v>76</v>
      </c>
    </row>
    <row r="256" spans="1:14" ht="13.5" customHeight="1">
      <c r="A256" s="8"/>
      <c r="C256" s="33" t="str">
        <f>C220</f>
        <v>NIP. 197405082014121002</v>
      </c>
      <c r="D256" s="25"/>
      <c r="E256" s="25"/>
      <c r="F256" s="8"/>
      <c r="G256" s="8"/>
      <c r="J256" s="33" t="s">
        <v>77</v>
      </c>
    </row>
    <row r="271" spans="1:11" ht="17.25" customHeight="1">
      <c r="A271" s="64" t="str">
        <f>A235</f>
        <v>DAFTAR PENERIMA KUOTA/PULSA INTERNET OPERATOR</v>
      </c>
      <c r="B271" s="64"/>
      <c r="C271" s="64"/>
      <c r="D271" s="64"/>
      <c r="E271" s="64"/>
      <c r="F271" s="64"/>
      <c r="G271" s="64"/>
      <c r="H271" s="64"/>
      <c r="I271" s="64"/>
      <c r="J271" s="64"/>
      <c r="K271" s="64"/>
    </row>
    <row r="272" spans="1:11" ht="17.25" customHeight="1">
      <c r="A272" s="64" t="str">
        <f>Transpor_rapat!A231</f>
        <v>BULAN AGUSTUS 2025</v>
      </c>
      <c r="B272" s="64"/>
      <c r="C272" s="64"/>
      <c r="D272" s="64"/>
      <c r="E272" s="64"/>
      <c r="F272" s="64"/>
      <c r="G272" s="64"/>
      <c r="H272" s="64"/>
      <c r="I272" s="64"/>
      <c r="J272" s="64"/>
      <c r="K272" s="64"/>
    </row>
    <row r="273" spans="1:14" ht="7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4" ht="15" customHeight="1">
      <c r="C274" s="4" t="s">
        <v>0</v>
      </c>
      <c r="D274" s="5" t="str">
        <f>D238</f>
        <v>: ____________________________</v>
      </c>
      <c r="F274" s="6"/>
      <c r="G274" s="7"/>
      <c r="H274" s="7"/>
      <c r="I274" s="4" t="s">
        <v>26</v>
      </c>
      <c r="J274" s="4" t="str">
        <f>J238</f>
        <v>: 06 Pengembangan Standar Pengelolaan</v>
      </c>
    </row>
    <row r="275" spans="1:14" ht="15" customHeight="1">
      <c r="C275" s="4" t="s">
        <v>2</v>
      </c>
      <c r="D275" s="5" t="str">
        <f t="shared" ref="D275:D277" si="24">D239</f>
        <v>: SD NEGERI LEBAKLEUNGSIR</v>
      </c>
      <c r="F275" s="6"/>
      <c r="H275" s="8"/>
      <c r="I275" s="4" t="s">
        <v>27</v>
      </c>
      <c r="J275" s="45" t="str">
        <f t="shared" ref="J275:J277" si="25">J239</f>
        <v>: Pengisian Pulsa Internet</v>
      </c>
    </row>
    <row r="276" spans="1:14" ht="15" customHeight="1">
      <c r="C276" s="4" t="s">
        <v>3</v>
      </c>
      <c r="D276" s="5" t="str">
        <f t="shared" si="24"/>
        <v>: Cikalongwetan</v>
      </c>
      <c r="F276" s="6"/>
      <c r="H276" s="8"/>
      <c r="I276" s="8" t="s">
        <v>28</v>
      </c>
      <c r="J276" s="4" t="str">
        <f t="shared" si="25"/>
        <v>: 5.1.02.02.01.0063</v>
      </c>
    </row>
    <row r="277" spans="1:14" ht="15" customHeight="1">
      <c r="C277" s="4" t="s">
        <v>5</v>
      </c>
      <c r="D277" s="5" t="str">
        <f t="shared" si="24"/>
        <v>: Bandung Barat</v>
      </c>
      <c r="F277" s="6"/>
      <c r="H277" s="8"/>
      <c r="I277" s="4" t="s">
        <v>7</v>
      </c>
      <c r="J277" s="4" t="str">
        <f t="shared" si="25"/>
        <v>: 7</v>
      </c>
    </row>
    <row r="278" spans="1:14" ht="15" customHeight="1">
      <c r="H278" s="8"/>
      <c r="I278" s="8"/>
      <c r="J278" s="8"/>
    </row>
    <row r="279" spans="1:14" ht="30" customHeight="1">
      <c r="A279" s="9" t="s">
        <v>8</v>
      </c>
      <c r="B279" s="65" t="s">
        <v>9</v>
      </c>
      <c r="C279" s="66"/>
      <c r="D279" s="9" t="s">
        <v>10</v>
      </c>
      <c r="E279" s="10" t="s">
        <v>58</v>
      </c>
      <c r="F279" s="9" t="s">
        <v>45</v>
      </c>
      <c r="G279" s="9" t="s">
        <v>24</v>
      </c>
      <c r="H279" s="10" t="s">
        <v>13</v>
      </c>
      <c r="I279" s="10" t="s">
        <v>14</v>
      </c>
      <c r="J279" s="69" t="s">
        <v>17</v>
      </c>
      <c r="K279" s="71"/>
    </row>
    <row r="280" spans="1:14" ht="20.25" customHeight="1">
      <c r="A280" s="11">
        <v>1</v>
      </c>
      <c r="B280" s="12" t="str">
        <f>B244</f>
        <v>RISNA MARSELA HARTINI</v>
      </c>
      <c r="C280" s="13"/>
      <c r="D280" s="12" t="str">
        <f t="shared" ref="D280:E280" si="26">D244</f>
        <v>Operator</v>
      </c>
      <c r="E280" s="11" t="str">
        <f t="shared" si="26"/>
        <v>+62 882-2908-8313</v>
      </c>
      <c r="F280" s="14">
        <v>1</v>
      </c>
      <c r="G280" s="14" t="s">
        <v>49</v>
      </c>
      <c r="H280" s="15">
        <v>105000</v>
      </c>
      <c r="I280" s="16">
        <f>F280*H280</f>
        <v>105000</v>
      </c>
      <c r="J280" s="54">
        <v>1</v>
      </c>
      <c r="K280" s="56">
        <v>2</v>
      </c>
    </row>
    <row r="281" spans="1:14" ht="20.25" customHeight="1">
      <c r="A281" s="11">
        <v>2</v>
      </c>
      <c r="B281" s="12" t="s">
        <v>54</v>
      </c>
      <c r="C281" s="13"/>
      <c r="D281" s="13" t="s">
        <v>166</v>
      </c>
      <c r="E281" s="34" t="s">
        <v>63</v>
      </c>
      <c r="F281" s="14">
        <v>1</v>
      </c>
      <c r="G281" s="14" t="s">
        <v>49</v>
      </c>
      <c r="H281" s="15">
        <v>105000</v>
      </c>
      <c r="I281" s="16">
        <f t="shared" ref="I281" si="27">F281*H281</f>
        <v>105000</v>
      </c>
      <c r="J281" s="55"/>
      <c r="K281" s="57"/>
    </row>
    <row r="282" spans="1:14" s="21" customFormat="1" ht="22.5" customHeight="1">
      <c r="A282" s="69" t="s">
        <v>20</v>
      </c>
      <c r="B282" s="70"/>
      <c r="C282" s="70"/>
      <c r="D282" s="70"/>
      <c r="E282" s="70"/>
      <c r="F282" s="70"/>
      <c r="G282" s="70"/>
      <c r="H282" s="71"/>
      <c r="I282" s="18">
        <f>SUM(I280:I281)</f>
        <v>210000</v>
      </c>
      <c r="J282" s="20"/>
      <c r="K282" s="20"/>
      <c r="N282" s="22"/>
    </row>
    <row r="283" spans="1:14" ht="12" customHeight="1">
      <c r="A283" s="7"/>
      <c r="B283" s="7"/>
      <c r="C283" s="7"/>
      <c r="D283" s="7"/>
      <c r="E283" s="7"/>
      <c r="F283" s="7"/>
      <c r="G283" s="7"/>
      <c r="H283" s="23"/>
      <c r="I283" s="23"/>
    </row>
    <row r="284" spans="1:14">
      <c r="A284" s="8"/>
      <c r="B284" s="8"/>
      <c r="C284" s="8"/>
      <c r="D284" s="8"/>
      <c r="E284" s="8"/>
      <c r="F284" s="8"/>
      <c r="G284" s="8"/>
      <c r="H284" s="8"/>
      <c r="J284" s="24" t="s">
        <v>106</v>
      </c>
    </row>
    <row r="285" spans="1:14">
      <c r="A285" s="8"/>
      <c r="C285" s="24" t="s">
        <v>21</v>
      </c>
      <c r="D285" s="24"/>
      <c r="E285" s="24"/>
      <c r="F285" s="24"/>
      <c r="G285" s="8"/>
      <c r="H285" s="8"/>
      <c r="J285" s="24" t="s">
        <v>107</v>
      </c>
    </row>
    <row r="286" spans="1:14">
      <c r="A286" s="8"/>
      <c r="C286" s="24" t="s">
        <v>22</v>
      </c>
      <c r="D286" s="24"/>
      <c r="E286" s="24"/>
      <c r="F286" s="24"/>
      <c r="G286" s="8"/>
      <c r="H286" s="8"/>
      <c r="J286" s="24" t="s">
        <v>23</v>
      </c>
    </row>
    <row r="287" spans="1:14">
      <c r="A287" s="8"/>
      <c r="C287" s="24"/>
      <c r="D287" s="24"/>
      <c r="E287" s="24"/>
      <c r="F287" s="24"/>
      <c r="G287" s="8"/>
      <c r="H287" s="8"/>
      <c r="J287" s="25"/>
      <c r="N287" s="26"/>
    </row>
    <row r="288" spans="1:14">
      <c r="A288" s="8"/>
      <c r="C288" s="24"/>
      <c r="D288" s="24"/>
      <c r="E288" s="24"/>
      <c r="F288" s="24"/>
      <c r="G288" s="8"/>
      <c r="H288" s="8"/>
      <c r="J288" s="25"/>
    </row>
    <row r="289" spans="1:10">
      <c r="A289" s="8"/>
      <c r="C289" s="24"/>
      <c r="D289" s="24"/>
      <c r="E289" s="24"/>
      <c r="F289" s="24"/>
      <c r="G289" s="8"/>
      <c r="H289" s="8"/>
      <c r="J289" s="25"/>
    </row>
    <row r="290" spans="1:10">
      <c r="A290" s="8"/>
      <c r="C290" s="24"/>
      <c r="D290" s="24"/>
      <c r="E290" s="24"/>
      <c r="F290" s="24"/>
      <c r="G290" s="8"/>
      <c r="H290" s="8"/>
      <c r="J290" s="25"/>
    </row>
    <row r="291" spans="1:10" ht="15" customHeight="1">
      <c r="A291" s="8"/>
      <c r="C291" s="27" t="str">
        <f>C255</f>
        <v>BADRUDDIN, S.Ag.</v>
      </c>
      <c r="D291" s="28"/>
      <c r="E291" s="28"/>
      <c r="F291" s="8"/>
      <c r="G291" s="8"/>
      <c r="J291" s="27" t="str">
        <f>J255</f>
        <v>DEDE GUNAWAN, S.Pd</v>
      </c>
    </row>
    <row r="292" spans="1:10" ht="13.5" customHeight="1">
      <c r="A292" s="8"/>
      <c r="C292" s="33" t="str">
        <f>C256</f>
        <v>NIP. 197405082014121002</v>
      </c>
      <c r="D292" s="25"/>
      <c r="E292" s="25"/>
      <c r="F292" s="8"/>
      <c r="G292" s="8"/>
      <c r="J292" s="33" t="str">
        <f>J256</f>
        <v>NIP. 198507172020121003</v>
      </c>
    </row>
    <row r="307" spans="1:14" ht="17.25" customHeight="1">
      <c r="A307" s="64" t="str">
        <f>A271</f>
        <v>DAFTAR PENERIMA KUOTA/PULSA INTERNET OPERATOR</v>
      </c>
      <c r="B307" s="64"/>
      <c r="C307" s="64"/>
      <c r="D307" s="64"/>
      <c r="E307" s="64"/>
      <c r="F307" s="64"/>
      <c r="G307" s="64"/>
      <c r="H307" s="64"/>
      <c r="I307" s="64"/>
      <c r="J307" s="64"/>
      <c r="K307" s="64"/>
    </row>
    <row r="308" spans="1:14" ht="17.25" customHeight="1">
      <c r="A308" s="64" t="s">
        <v>78</v>
      </c>
      <c r="B308" s="64"/>
      <c r="C308" s="64"/>
      <c r="D308" s="64"/>
      <c r="E308" s="64"/>
      <c r="F308" s="64"/>
      <c r="G308" s="64"/>
      <c r="H308" s="64"/>
      <c r="I308" s="64"/>
      <c r="J308" s="64"/>
      <c r="K308" s="64"/>
    </row>
    <row r="309" spans="1:14" ht="7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4" ht="15" customHeight="1">
      <c r="C310" s="4" t="s">
        <v>0</v>
      </c>
      <c r="D310" s="5" t="str">
        <f>D274</f>
        <v>: ____________________________</v>
      </c>
      <c r="F310" s="6"/>
      <c r="G310" s="7"/>
      <c r="H310" s="7"/>
      <c r="I310" s="4" t="s">
        <v>26</v>
      </c>
      <c r="J310" s="4" t="str">
        <f>J274</f>
        <v>: 06 Pengembangan Standar Pengelolaan</v>
      </c>
    </row>
    <row r="311" spans="1:14" ht="15" customHeight="1">
      <c r="C311" s="4" t="s">
        <v>2</v>
      </c>
      <c r="D311" s="5" t="str">
        <f t="shared" ref="D311:D313" si="28">D275</f>
        <v>: SD NEGERI LEBAKLEUNGSIR</v>
      </c>
      <c r="F311" s="6"/>
      <c r="H311" s="8"/>
      <c r="I311" s="4" t="s">
        <v>27</v>
      </c>
      <c r="J311" s="45" t="str">
        <f t="shared" ref="J311:J313" si="29">J275</f>
        <v>: Pengisian Pulsa Internet</v>
      </c>
    </row>
    <row r="312" spans="1:14" ht="15" customHeight="1">
      <c r="C312" s="4" t="s">
        <v>3</v>
      </c>
      <c r="D312" s="5" t="str">
        <f t="shared" si="28"/>
        <v>: Cikalongwetan</v>
      </c>
      <c r="F312" s="6"/>
      <c r="H312" s="8"/>
      <c r="I312" s="8" t="s">
        <v>28</v>
      </c>
      <c r="J312" s="4" t="str">
        <f t="shared" si="29"/>
        <v>: 5.1.02.02.01.0063</v>
      </c>
    </row>
    <row r="313" spans="1:14" ht="15" customHeight="1">
      <c r="C313" s="4" t="s">
        <v>5</v>
      </c>
      <c r="D313" s="5" t="str">
        <f t="shared" si="28"/>
        <v>: Bandung Barat</v>
      </c>
      <c r="F313" s="6"/>
      <c r="H313" s="8"/>
      <c r="I313" s="4" t="s">
        <v>7</v>
      </c>
      <c r="J313" s="4" t="str">
        <f t="shared" si="29"/>
        <v>: 7</v>
      </c>
    </row>
    <row r="314" spans="1:14" ht="15" customHeight="1">
      <c r="H314" s="8"/>
      <c r="I314" s="8"/>
      <c r="J314" s="8"/>
    </row>
    <row r="315" spans="1:14" ht="30" customHeight="1">
      <c r="A315" s="9" t="s">
        <v>8</v>
      </c>
      <c r="B315" s="65" t="s">
        <v>9</v>
      </c>
      <c r="C315" s="66"/>
      <c r="D315" s="9" t="s">
        <v>10</v>
      </c>
      <c r="E315" s="10" t="s">
        <v>58</v>
      </c>
      <c r="F315" s="9" t="s">
        <v>45</v>
      </c>
      <c r="G315" s="9" t="s">
        <v>24</v>
      </c>
      <c r="H315" s="10" t="s">
        <v>13</v>
      </c>
      <c r="I315" s="10" t="s">
        <v>14</v>
      </c>
      <c r="J315" s="69" t="s">
        <v>17</v>
      </c>
      <c r="K315" s="71"/>
    </row>
    <row r="316" spans="1:14" ht="20.25" customHeight="1">
      <c r="A316" s="11">
        <v>1</v>
      </c>
      <c r="B316" s="12" t="str">
        <f>B280</f>
        <v>RISNA MARSELA HARTINI</v>
      </c>
      <c r="C316" s="13"/>
      <c r="D316" s="12" t="str">
        <f t="shared" ref="D316:E316" si="30">D280</f>
        <v>Operator</v>
      </c>
      <c r="E316" s="11" t="str">
        <f t="shared" si="30"/>
        <v>+62 882-2908-8313</v>
      </c>
      <c r="F316" s="14">
        <v>1</v>
      </c>
      <c r="G316" s="14" t="s">
        <v>49</v>
      </c>
      <c r="H316" s="15">
        <v>105000</v>
      </c>
      <c r="I316" s="16">
        <f>F316*H316</f>
        <v>105000</v>
      </c>
      <c r="J316" s="54">
        <v>1</v>
      </c>
      <c r="K316" s="56">
        <v>2</v>
      </c>
    </row>
    <row r="317" spans="1:14" ht="20.25" customHeight="1">
      <c r="A317" s="11"/>
      <c r="B317" s="12"/>
      <c r="C317" s="13"/>
      <c r="D317" s="13"/>
      <c r="E317" s="34"/>
      <c r="F317" s="14"/>
      <c r="G317" s="14"/>
      <c r="H317" s="15"/>
      <c r="I317" s="16">
        <f t="shared" ref="I317" si="31">F317*H317</f>
        <v>0</v>
      </c>
      <c r="J317" s="55"/>
      <c r="K317" s="57"/>
    </row>
    <row r="318" spans="1:14" s="21" customFormat="1" ht="22.5" customHeight="1">
      <c r="A318" s="69" t="s">
        <v>20</v>
      </c>
      <c r="B318" s="70"/>
      <c r="C318" s="70"/>
      <c r="D318" s="70"/>
      <c r="E318" s="70"/>
      <c r="F318" s="70"/>
      <c r="G318" s="70"/>
      <c r="H318" s="71"/>
      <c r="I318" s="18">
        <f>SUM(I316:I317)</f>
        <v>105000</v>
      </c>
      <c r="J318" s="20"/>
      <c r="K318" s="20"/>
      <c r="N318" s="22"/>
    </row>
    <row r="319" spans="1:14" ht="12" customHeight="1">
      <c r="A319" s="7"/>
      <c r="B319" s="7"/>
      <c r="C319" s="7"/>
      <c r="D319" s="7"/>
      <c r="E319" s="7"/>
      <c r="F319" s="7"/>
      <c r="G319" s="7"/>
      <c r="H319" s="23"/>
      <c r="I319" s="23"/>
    </row>
    <row r="320" spans="1:14">
      <c r="A320" s="8"/>
      <c r="B320" s="8"/>
      <c r="C320" s="8"/>
      <c r="D320" s="8"/>
      <c r="E320" s="8"/>
      <c r="F320" s="8"/>
      <c r="G320" s="8"/>
      <c r="H320" s="8"/>
      <c r="J320" s="24" t="s">
        <v>110</v>
      </c>
    </row>
    <row r="321" spans="1:14">
      <c r="A321" s="8"/>
      <c r="C321" s="24" t="s">
        <v>21</v>
      </c>
      <c r="D321" s="24"/>
      <c r="E321" s="24"/>
      <c r="F321" s="24"/>
      <c r="G321" s="8"/>
      <c r="H321" s="8"/>
      <c r="J321" s="24" t="s">
        <v>111</v>
      </c>
    </row>
    <row r="322" spans="1:14">
      <c r="A322" s="8"/>
      <c r="C322" s="24" t="s">
        <v>22</v>
      </c>
      <c r="D322" s="24"/>
      <c r="E322" s="24"/>
      <c r="F322" s="24"/>
      <c r="G322" s="8"/>
      <c r="H322" s="8"/>
      <c r="J322" s="24" t="s">
        <v>23</v>
      </c>
    </row>
    <row r="323" spans="1:14">
      <c r="A323" s="8"/>
      <c r="C323" s="24"/>
      <c r="D323" s="24"/>
      <c r="E323" s="24"/>
      <c r="F323" s="24"/>
      <c r="G323" s="8"/>
      <c r="H323" s="8"/>
      <c r="J323" s="25"/>
      <c r="N323" s="26"/>
    </row>
    <row r="324" spans="1:14">
      <c r="A324" s="8"/>
      <c r="C324" s="24"/>
      <c r="D324" s="24"/>
      <c r="E324" s="24"/>
      <c r="F324" s="24"/>
      <c r="G324" s="8"/>
      <c r="H324" s="8"/>
      <c r="J324" s="25"/>
    </row>
    <row r="325" spans="1:14">
      <c r="A325" s="8"/>
      <c r="C325" s="24"/>
      <c r="D325" s="24"/>
      <c r="E325" s="24"/>
      <c r="F325" s="24"/>
      <c r="G325" s="8"/>
      <c r="H325" s="8"/>
      <c r="J325" s="25"/>
    </row>
    <row r="326" spans="1:14">
      <c r="A326" s="8"/>
      <c r="C326" s="24"/>
      <c r="D326" s="24"/>
      <c r="E326" s="24"/>
      <c r="F326" s="24"/>
      <c r="G326" s="8"/>
      <c r="H326" s="8"/>
      <c r="J326" s="25"/>
    </row>
    <row r="327" spans="1:14" ht="15" customHeight="1">
      <c r="A327" s="8"/>
      <c r="C327" s="27" t="str">
        <f>C291</f>
        <v>BADRUDDIN, S.Ag.</v>
      </c>
      <c r="D327" s="28"/>
      <c r="E327" s="28"/>
      <c r="F327" s="8"/>
      <c r="G327" s="8"/>
      <c r="J327" s="27" t="str">
        <f>J291</f>
        <v>DEDE GUNAWAN, S.Pd</v>
      </c>
    </row>
    <row r="328" spans="1:14" ht="13.5" customHeight="1">
      <c r="A328" s="8"/>
      <c r="C328" s="33" t="str">
        <f>C292</f>
        <v>NIP. 197405082014121002</v>
      </c>
      <c r="D328" s="25"/>
      <c r="E328" s="25"/>
      <c r="F328" s="8"/>
      <c r="G328" s="8"/>
      <c r="J328" s="33" t="str">
        <f>J292</f>
        <v>NIP. 198507172020121003</v>
      </c>
    </row>
    <row r="343" spans="1:11" ht="17.25" customHeight="1">
      <c r="A343" s="64" t="str">
        <f>A307</f>
        <v>DAFTAR PENERIMA KUOTA/PULSA INTERNET OPERATOR</v>
      </c>
      <c r="B343" s="64"/>
      <c r="C343" s="64"/>
      <c r="D343" s="64"/>
      <c r="E343" s="64"/>
      <c r="F343" s="64"/>
      <c r="G343" s="64"/>
      <c r="H343" s="64"/>
      <c r="I343" s="64"/>
      <c r="J343" s="64"/>
      <c r="K343" s="64"/>
    </row>
    <row r="344" spans="1:11" ht="17.25" customHeight="1">
      <c r="A344" s="64" t="s">
        <v>80</v>
      </c>
      <c r="B344" s="64"/>
      <c r="C344" s="64"/>
      <c r="D344" s="64"/>
      <c r="E344" s="64"/>
      <c r="F344" s="64"/>
      <c r="G344" s="64"/>
      <c r="H344" s="64"/>
      <c r="I344" s="64"/>
      <c r="J344" s="64"/>
      <c r="K344" s="64"/>
    </row>
    <row r="345" spans="1:11" ht="7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" customHeight="1">
      <c r="C346" s="4" t="s">
        <v>0</v>
      </c>
      <c r="D346" s="5" t="str">
        <f>D310</f>
        <v>: ____________________________</v>
      </c>
      <c r="F346" s="6"/>
      <c r="G346" s="7"/>
      <c r="H346" s="7"/>
      <c r="I346" s="4" t="s">
        <v>26</v>
      </c>
      <c r="J346" s="4" t="str">
        <f>J310</f>
        <v>: 06 Pengembangan Standar Pengelolaan</v>
      </c>
    </row>
    <row r="347" spans="1:11" ht="15" customHeight="1">
      <c r="C347" s="4" t="s">
        <v>2</v>
      </c>
      <c r="D347" s="5" t="str">
        <f t="shared" ref="D347:D349" si="32">D311</f>
        <v>: SD NEGERI LEBAKLEUNGSIR</v>
      </c>
      <c r="F347" s="6"/>
      <c r="H347" s="8"/>
      <c r="I347" s="4" t="s">
        <v>27</v>
      </c>
      <c r="J347" s="45" t="str">
        <f t="shared" ref="J347:J349" si="33">J311</f>
        <v>: Pengisian Pulsa Internet</v>
      </c>
    </row>
    <row r="348" spans="1:11" ht="15" customHeight="1">
      <c r="C348" s="4" t="s">
        <v>3</v>
      </c>
      <c r="D348" s="5" t="str">
        <f t="shared" si="32"/>
        <v>: Cikalongwetan</v>
      </c>
      <c r="F348" s="6"/>
      <c r="H348" s="8"/>
      <c r="I348" s="8" t="s">
        <v>28</v>
      </c>
      <c r="J348" s="4" t="str">
        <f t="shared" si="33"/>
        <v>: 5.1.02.02.01.0063</v>
      </c>
    </row>
    <row r="349" spans="1:11" ht="15" customHeight="1">
      <c r="C349" s="4" t="s">
        <v>5</v>
      </c>
      <c r="D349" s="5" t="str">
        <f t="shared" si="32"/>
        <v>: Bandung Barat</v>
      </c>
      <c r="F349" s="6"/>
      <c r="H349" s="8"/>
      <c r="I349" s="4" t="s">
        <v>7</v>
      </c>
      <c r="J349" s="4" t="str">
        <f t="shared" si="33"/>
        <v>: 7</v>
      </c>
    </row>
    <row r="350" spans="1:11" ht="15" customHeight="1">
      <c r="H350" s="8"/>
      <c r="I350" s="8"/>
      <c r="J350" s="8"/>
    </row>
    <row r="351" spans="1:11" ht="30" customHeight="1">
      <c r="A351" s="9" t="s">
        <v>8</v>
      </c>
      <c r="B351" s="65" t="s">
        <v>9</v>
      </c>
      <c r="C351" s="66"/>
      <c r="D351" s="9" t="s">
        <v>10</v>
      </c>
      <c r="E351" s="10" t="s">
        <v>58</v>
      </c>
      <c r="F351" s="9" t="s">
        <v>45</v>
      </c>
      <c r="G351" s="9" t="s">
        <v>24</v>
      </c>
      <c r="H351" s="10" t="s">
        <v>13</v>
      </c>
      <c r="I351" s="10" t="s">
        <v>14</v>
      </c>
      <c r="J351" s="69" t="s">
        <v>17</v>
      </c>
      <c r="K351" s="71"/>
    </row>
    <row r="352" spans="1:11" ht="20.25" customHeight="1">
      <c r="A352" s="11">
        <v>1</v>
      </c>
      <c r="B352" s="12" t="str">
        <f>B316</f>
        <v>RISNA MARSELA HARTINI</v>
      </c>
      <c r="C352" s="13"/>
      <c r="D352" s="12" t="str">
        <f t="shared" ref="D352:E352" si="34">D316</f>
        <v>Operator</v>
      </c>
      <c r="E352" s="11" t="str">
        <f t="shared" si="34"/>
        <v>+62 882-2908-8313</v>
      </c>
      <c r="F352" s="14">
        <v>1</v>
      </c>
      <c r="G352" s="14" t="s">
        <v>49</v>
      </c>
      <c r="H352" s="15">
        <v>105000</v>
      </c>
      <c r="I352" s="16">
        <f>F352*H352</f>
        <v>105000</v>
      </c>
      <c r="J352" s="54">
        <v>1</v>
      </c>
      <c r="K352" s="56">
        <v>2</v>
      </c>
    </row>
    <row r="353" spans="1:14" ht="20.25" customHeight="1">
      <c r="A353" s="11">
        <v>2</v>
      </c>
      <c r="B353" s="12"/>
      <c r="C353" s="13"/>
      <c r="D353" s="13"/>
      <c r="E353" s="34"/>
      <c r="F353" s="14"/>
      <c r="G353" s="14"/>
      <c r="H353" s="15"/>
      <c r="I353" s="16">
        <f t="shared" ref="I353" si="35">F353*H353</f>
        <v>0</v>
      </c>
      <c r="J353" s="55"/>
      <c r="K353" s="57"/>
    </row>
    <row r="354" spans="1:14" s="21" customFormat="1" ht="22.5" customHeight="1">
      <c r="A354" s="69" t="s">
        <v>20</v>
      </c>
      <c r="B354" s="70"/>
      <c r="C354" s="70"/>
      <c r="D354" s="70"/>
      <c r="E354" s="70"/>
      <c r="F354" s="70"/>
      <c r="G354" s="70"/>
      <c r="H354" s="71"/>
      <c r="I354" s="18">
        <f>SUM(I352:I353)</f>
        <v>105000</v>
      </c>
      <c r="J354" s="20"/>
      <c r="K354" s="20"/>
      <c r="N354" s="22"/>
    </row>
    <row r="355" spans="1:14" ht="12" customHeight="1">
      <c r="A355" s="7"/>
      <c r="B355" s="7"/>
      <c r="C355" s="7"/>
      <c r="D355" s="7"/>
      <c r="E355" s="7"/>
      <c r="F355" s="7"/>
      <c r="G355" s="7"/>
      <c r="H355" s="23"/>
      <c r="I355" s="23"/>
    </row>
    <row r="356" spans="1:14">
      <c r="A356" s="8"/>
      <c r="B356" s="8"/>
      <c r="C356" s="8"/>
      <c r="D356" s="8"/>
      <c r="E356" s="8"/>
      <c r="F356" s="8"/>
      <c r="G356" s="8"/>
      <c r="H356" s="8"/>
      <c r="J356" s="24" t="s">
        <v>112</v>
      </c>
    </row>
    <row r="357" spans="1:14">
      <c r="A357" s="8"/>
      <c r="C357" s="24" t="s">
        <v>21</v>
      </c>
      <c r="D357" s="24"/>
      <c r="E357" s="24"/>
      <c r="F357" s="24"/>
      <c r="G357" s="8"/>
      <c r="H357" s="8"/>
      <c r="J357" s="24" t="s">
        <v>113</v>
      </c>
    </row>
    <row r="358" spans="1:14">
      <c r="A358" s="8"/>
      <c r="C358" s="24" t="s">
        <v>22</v>
      </c>
      <c r="D358" s="24"/>
      <c r="E358" s="24"/>
      <c r="F358" s="24"/>
      <c r="G358" s="8"/>
      <c r="H358" s="8"/>
      <c r="J358" s="24" t="s">
        <v>23</v>
      </c>
    </row>
    <row r="359" spans="1:14">
      <c r="A359" s="8"/>
      <c r="C359" s="24"/>
      <c r="D359" s="24"/>
      <c r="E359" s="24"/>
      <c r="F359" s="24"/>
      <c r="G359" s="8"/>
      <c r="H359" s="8"/>
      <c r="J359" s="25"/>
      <c r="N359" s="26"/>
    </row>
    <row r="360" spans="1:14">
      <c r="A360" s="8"/>
      <c r="C360" s="24"/>
      <c r="D360" s="24"/>
      <c r="E360" s="24"/>
      <c r="F360" s="24"/>
      <c r="G360" s="8"/>
      <c r="H360" s="8"/>
      <c r="J360" s="25"/>
    </row>
    <row r="361" spans="1:14">
      <c r="A361" s="8"/>
      <c r="C361" s="24"/>
      <c r="D361" s="24"/>
      <c r="E361" s="24"/>
      <c r="F361" s="24"/>
      <c r="G361" s="8"/>
      <c r="H361" s="8"/>
      <c r="J361" s="25"/>
    </row>
    <row r="362" spans="1:14">
      <c r="A362" s="8"/>
      <c r="C362" s="24"/>
      <c r="D362" s="24"/>
      <c r="E362" s="24"/>
      <c r="F362" s="24"/>
      <c r="G362" s="8"/>
      <c r="H362" s="8"/>
      <c r="J362" s="25"/>
    </row>
    <row r="363" spans="1:14" ht="15" customHeight="1">
      <c r="A363" s="8"/>
      <c r="C363" s="27" t="str">
        <f>C327</f>
        <v>BADRUDDIN, S.Ag.</v>
      </c>
      <c r="D363" s="28"/>
      <c r="E363" s="28"/>
      <c r="F363" s="8"/>
      <c r="G363" s="8"/>
      <c r="J363" s="27" t="str">
        <f>J327</f>
        <v>DEDE GUNAWAN, S.Pd</v>
      </c>
    </row>
    <row r="364" spans="1:14" ht="13.5" customHeight="1">
      <c r="A364" s="8"/>
      <c r="C364" s="43" t="str">
        <f>C328</f>
        <v>NIP. 197405082014121002</v>
      </c>
      <c r="D364" s="25"/>
      <c r="E364" s="25"/>
      <c r="F364" s="8"/>
      <c r="G364" s="8"/>
      <c r="J364" s="43" t="str">
        <f>J328</f>
        <v>NIP. 198507172020121003</v>
      </c>
    </row>
    <row r="379" spans="1:11" ht="17.25" customHeight="1">
      <c r="A379" s="64" t="str">
        <f>A343</f>
        <v>DAFTAR PENERIMA KUOTA/PULSA INTERNET OPERATOR</v>
      </c>
      <c r="B379" s="64"/>
      <c r="C379" s="64"/>
      <c r="D379" s="64"/>
      <c r="E379" s="64"/>
      <c r="F379" s="64"/>
      <c r="G379" s="64"/>
      <c r="H379" s="64"/>
      <c r="I379" s="64"/>
      <c r="J379" s="64"/>
      <c r="K379" s="64"/>
    </row>
    <row r="380" spans="1:11" ht="17.25" customHeight="1">
      <c r="A380" s="64" t="s">
        <v>82</v>
      </c>
      <c r="B380" s="64"/>
      <c r="C380" s="64"/>
      <c r="D380" s="64"/>
      <c r="E380" s="64"/>
      <c r="F380" s="64"/>
      <c r="G380" s="64"/>
      <c r="H380" s="64"/>
      <c r="I380" s="64"/>
      <c r="J380" s="64"/>
      <c r="K380" s="64"/>
    </row>
    <row r="381" spans="1:11" ht="7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" customHeight="1">
      <c r="C382" s="4" t="s">
        <v>0</v>
      </c>
      <c r="D382" s="5" t="str">
        <f>D346</f>
        <v>: ____________________________</v>
      </c>
      <c r="F382" s="6"/>
      <c r="G382" s="7"/>
      <c r="H382" s="7"/>
      <c r="I382" s="4" t="s">
        <v>26</v>
      </c>
      <c r="J382" s="4" t="str">
        <f>J346</f>
        <v>: 06 Pengembangan Standar Pengelolaan</v>
      </c>
    </row>
    <row r="383" spans="1:11" ht="15" customHeight="1">
      <c r="C383" s="4" t="s">
        <v>2</v>
      </c>
      <c r="D383" s="5" t="str">
        <f t="shared" ref="D383:D385" si="36">D347</f>
        <v>: SD NEGERI LEBAKLEUNGSIR</v>
      </c>
      <c r="F383" s="6"/>
      <c r="H383" s="8"/>
      <c r="I383" s="4" t="s">
        <v>27</v>
      </c>
      <c r="J383" s="45" t="str">
        <f t="shared" ref="J383:J385" si="37">J347</f>
        <v>: Pengisian Pulsa Internet</v>
      </c>
    </row>
    <row r="384" spans="1:11" ht="15" customHeight="1">
      <c r="C384" s="4" t="s">
        <v>3</v>
      </c>
      <c r="D384" s="5" t="str">
        <f t="shared" si="36"/>
        <v>: Cikalongwetan</v>
      </c>
      <c r="F384" s="6"/>
      <c r="H384" s="8"/>
      <c r="I384" s="8" t="s">
        <v>28</v>
      </c>
      <c r="J384" s="4" t="str">
        <f t="shared" si="37"/>
        <v>: 5.1.02.02.01.0063</v>
      </c>
    </row>
    <row r="385" spans="1:14" ht="15" customHeight="1">
      <c r="C385" s="4" t="s">
        <v>5</v>
      </c>
      <c r="D385" s="5" t="str">
        <f t="shared" si="36"/>
        <v>: Bandung Barat</v>
      </c>
      <c r="F385" s="6"/>
      <c r="H385" s="8"/>
      <c r="I385" s="4" t="s">
        <v>7</v>
      </c>
      <c r="J385" s="4" t="str">
        <f t="shared" si="37"/>
        <v>: 7</v>
      </c>
    </row>
    <row r="386" spans="1:14" ht="15" customHeight="1">
      <c r="H386" s="8"/>
      <c r="I386" s="8"/>
      <c r="J386" s="8"/>
    </row>
    <row r="387" spans="1:14" ht="30" customHeight="1">
      <c r="A387" s="9" t="s">
        <v>8</v>
      </c>
      <c r="B387" s="65" t="s">
        <v>9</v>
      </c>
      <c r="C387" s="66"/>
      <c r="D387" s="9" t="s">
        <v>10</v>
      </c>
      <c r="E387" s="10" t="s">
        <v>58</v>
      </c>
      <c r="F387" s="9" t="s">
        <v>45</v>
      </c>
      <c r="G387" s="9" t="s">
        <v>24</v>
      </c>
      <c r="H387" s="10" t="s">
        <v>13</v>
      </c>
      <c r="I387" s="10" t="s">
        <v>14</v>
      </c>
      <c r="J387" s="69" t="s">
        <v>17</v>
      </c>
      <c r="K387" s="71"/>
    </row>
    <row r="388" spans="1:14" ht="20.25" customHeight="1">
      <c r="A388" s="11">
        <v>1</v>
      </c>
      <c r="B388" s="12" t="str">
        <f>B352</f>
        <v>RISNA MARSELA HARTINI</v>
      </c>
      <c r="C388" s="13"/>
      <c r="D388" s="12" t="str">
        <f t="shared" ref="D388:E388" si="38">D352</f>
        <v>Operator</v>
      </c>
      <c r="E388" s="11" t="str">
        <f t="shared" si="38"/>
        <v>+62 882-2908-8313</v>
      </c>
      <c r="F388" s="14">
        <v>1</v>
      </c>
      <c r="G388" s="14" t="s">
        <v>49</v>
      </c>
      <c r="H388" s="15">
        <v>105000</v>
      </c>
      <c r="I388" s="16">
        <f>F388*H388</f>
        <v>105000</v>
      </c>
      <c r="J388" s="54">
        <v>1</v>
      </c>
      <c r="K388" s="56">
        <v>2</v>
      </c>
    </row>
    <row r="389" spans="1:14" ht="20.25" customHeight="1">
      <c r="A389" s="11">
        <v>2</v>
      </c>
      <c r="B389" s="12"/>
      <c r="C389" s="13"/>
      <c r="D389" s="13"/>
      <c r="E389" s="34"/>
      <c r="F389" s="14"/>
      <c r="G389" s="14"/>
      <c r="H389" s="15"/>
      <c r="I389" s="16">
        <f t="shared" ref="I389" si="39">F389*H389</f>
        <v>0</v>
      </c>
      <c r="J389" s="55"/>
      <c r="K389" s="57"/>
    </row>
    <row r="390" spans="1:14" s="21" customFormat="1" ht="22.5" customHeight="1">
      <c r="A390" s="69" t="s">
        <v>20</v>
      </c>
      <c r="B390" s="70"/>
      <c r="C390" s="70"/>
      <c r="D390" s="70"/>
      <c r="E390" s="70"/>
      <c r="F390" s="70"/>
      <c r="G390" s="70"/>
      <c r="H390" s="71"/>
      <c r="I390" s="18">
        <f>SUM(I388:I389)</f>
        <v>105000</v>
      </c>
      <c r="J390" s="20"/>
      <c r="K390" s="20"/>
      <c r="N390" s="22"/>
    </row>
    <row r="391" spans="1:14" ht="12" customHeight="1">
      <c r="A391" s="7"/>
      <c r="B391" s="7"/>
      <c r="C391" s="7"/>
      <c r="D391" s="7"/>
      <c r="E391" s="7"/>
      <c r="F391" s="7"/>
      <c r="G391" s="7"/>
      <c r="H391" s="23"/>
      <c r="I391" s="23"/>
    </row>
    <row r="392" spans="1:14">
      <c r="A392" s="8"/>
      <c r="B392" s="8"/>
      <c r="C392" s="8"/>
      <c r="D392" s="8"/>
      <c r="E392" s="8"/>
      <c r="F392" s="8"/>
      <c r="G392" s="8"/>
      <c r="H392" s="8"/>
      <c r="J392" s="24" t="s">
        <v>118</v>
      </c>
    </row>
    <row r="393" spans="1:14">
      <c r="A393" s="8"/>
      <c r="C393" s="24" t="s">
        <v>21</v>
      </c>
      <c r="D393" s="24"/>
      <c r="E393" s="24"/>
      <c r="F393" s="24"/>
      <c r="G393" s="8"/>
      <c r="H393" s="8"/>
      <c r="J393" s="24" t="s">
        <v>89</v>
      </c>
    </row>
    <row r="394" spans="1:14">
      <c r="A394" s="8"/>
      <c r="C394" s="24" t="s">
        <v>22</v>
      </c>
      <c r="D394" s="24"/>
      <c r="E394" s="24"/>
      <c r="F394" s="24"/>
      <c r="G394" s="8"/>
      <c r="H394" s="8"/>
      <c r="J394" s="24" t="s">
        <v>23</v>
      </c>
    </row>
    <row r="395" spans="1:14">
      <c r="A395" s="8"/>
      <c r="C395" s="24"/>
      <c r="D395" s="24"/>
      <c r="E395" s="24"/>
      <c r="F395" s="24"/>
      <c r="G395" s="8"/>
      <c r="H395" s="8"/>
      <c r="J395" s="25"/>
      <c r="N395" s="26"/>
    </row>
    <row r="396" spans="1:14">
      <c r="A396" s="8"/>
      <c r="C396" s="24"/>
      <c r="D396" s="24"/>
      <c r="E396" s="24"/>
      <c r="F396" s="24"/>
      <c r="G396" s="8"/>
      <c r="H396" s="8"/>
      <c r="J396" s="25"/>
    </row>
    <row r="397" spans="1:14">
      <c r="A397" s="8"/>
      <c r="C397" s="24"/>
      <c r="D397" s="24"/>
      <c r="E397" s="24"/>
      <c r="F397" s="24"/>
      <c r="G397" s="8"/>
      <c r="H397" s="8"/>
      <c r="J397" s="25"/>
    </row>
    <row r="398" spans="1:14">
      <c r="A398" s="8"/>
      <c r="C398" s="24"/>
      <c r="D398" s="24"/>
      <c r="E398" s="24"/>
      <c r="F398" s="24"/>
      <c r="G398" s="8"/>
      <c r="H398" s="8"/>
      <c r="J398" s="25"/>
    </row>
    <row r="399" spans="1:14" ht="15" customHeight="1">
      <c r="A399" s="8"/>
    </row>
    <row r="400" spans="1:14" ht="13.5" customHeight="1">
      <c r="A400" s="8"/>
      <c r="C400" s="27" t="str">
        <f>C363</f>
        <v>BADRUDDIN, S.Ag.</v>
      </c>
      <c r="D400" s="28"/>
      <c r="E400" s="28"/>
      <c r="F400" s="8"/>
      <c r="G400" s="8"/>
      <c r="J400" s="27" t="str">
        <f>J363</f>
        <v>DEDE GUNAWAN, S.Pd</v>
      </c>
    </row>
    <row r="401" spans="1:11">
      <c r="C401" s="33" t="str">
        <f>C364</f>
        <v>NIP. 197405082014121002</v>
      </c>
      <c r="D401" s="25"/>
      <c r="E401" s="25"/>
      <c r="F401" s="8"/>
      <c r="G401" s="8"/>
      <c r="J401" s="33" t="str">
        <f>J364</f>
        <v>NIP. 198507172020121003</v>
      </c>
    </row>
    <row r="415" spans="1:11" ht="17.25" customHeight="1">
      <c r="A415" s="64" t="s">
        <v>65</v>
      </c>
      <c r="B415" s="64"/>
      <c r="C415" s="64"/>
      <c r="D415" s="64"/>
      <c r="E415" s="64"/>
      <c r="F415" s="64"/>
      <c r="G415" s="64"/>
      <c r="H415" s="64"/>
      <c r="I415" s="64"/>
      <c r="J415" s="64"/>
      <c r="K415" s="64"/>
    </row>
    <row r="416" spans="1:11" ht="17.25" customHeight="1">
      <c r="A416" s="64" t="s">
        <v>84</v>
      </c>
      <c r="B416" s="64"/>
      <c r="C416" s="64"/>
      <c r="D416" s="64"/>
      <c r="E416" s="64"/>
      <c r="F416" s="64"/>
      <c r="G416" s="64"/>
      <c r="H416" s="64"/>
      <c r="I416" s="64"/>
      <c r="J416" s="64"/>
      <c r="K416" s="64"/>
    </row>
    <row r="417" spans="1:14" ht="7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4" ht="15" customHeight="1">
      <c r="C418" s="4" t="s">
        <v>0</v>
      </c>
      <c r="D418" s="5" t="str">
        <f>D382</f>
        <v>: ____________________________</v>
      </c>
      <c r="F418" s="6"/>
      <c r="G418" s="7"/>
      <c r="H418" s="7"/>
      <c r="I418" s="4" t="s">
        <v>26</v>
      </c>
      <c r="J418" s="4" t="s">
        <v>122</v>
      </c>
    </row>
    <row r="419" spans="1:14" ht="15" customHeight="1">
      <c r="C419" s="4" t="s">
        <v>2</v>
      </c>
      <c r="D419" s="5" t="str">
        <f t="shared" ref="D419:D421" si="40">D383</f>
        <v>: SD NEGERI LEBAKLEUNGSIR</v>
      </c>
      <c r="F419" s="6"/>
      <c r="H419" s="8"/>
      <c r="I419" s="4" t="s">
        <v>27</v>
      </c>
      <c r="J419" s="45" t="str">
        <f t="shared" ref="J419:J421" si="41">J383</f>
        <v>: Pengisian Pulsa Internet</v>
      </c>
    </row>
    <row r="420" spans="1:14" ht="15" customHeight="1">
      <c r="C420" s="4" t="s">
        <v>3</v>
      </c>
      <c r="D420" s="5" t="str">
        <f t="shared" si="40"/>
        <v>: Cikalongwetan</v>
      </c>
      <c r="F420" s="6"/>
      <c r="H420" s="8"/>
      <c r="I420" s="8" t="s">
        <v>28</v>
      </c>
      <c r="J420" s="4" t="str">
        <f t="shared" si="41"/>
        <v>: 5.1.02.02.01.0063</v>
      </c>
    </row>
    <row r="421" spans="1:14" ht="15" customHeight="1">
      <c r="C421" s="4" t="s">
        <v>5</v>
      </c>
      <c r="D421" s="5" t="str">
        <f t="shared" si="40"/>
        <v>: Bandung Barat</v>
      </c>
      <c r="F421" s="6"/>
      <c r="H421" s="8"/>
      <c r="I421" s="4" t="s">
        <v>7</v>
      </c>
      <c r="J421" s="4" t="str">
        <f t="shared" si="41"/>
        <v>: 7</v>
      </c>
    </row>
    <row r="422" spans="1:14" ht="15" customHeight="1">
      <c r="H422" s="8"/>
      <c r="I422" s="8"/>
      <c r="J422" s="8"/>
    </row>
    <row r="423" spans="1:14" ht="30" customHeight="1">
      <c r="A423" s="9" t="s">
        <v>8</v>
      </c>
      <c r="B423" s="65" t="s">
        <v>9</v>
      </c>
      <c r="C423" s="66"/>
      <c r="D423" s="9" t="s">
        <v>10</v>
      </c>
      <c r="E423" s="10" t="s">
        <v>58</v>
      </c>
      <c r="F423" s="9" t="s">
        <v>45</v>
      </c>
      <c r="G423" s="9" t="s">
        <v>24</v>
      </c>
      <c r="H423" s="10" t="s">
        <v>13</v>
      </c>
      <c r="I423" s="10" t="s">
        <v>14</v>
      </c>
      <c r="J423" s="69" t="s">
        <v>17</v>
      </c>
      <c r="K423" s="71"/>
    </row>
    <row r="424" spans="1:14" ht="20.25" customHeight="1">
      <c r="A424" s="11">
        <v>1</v>
      </c>
      <c r="B424" s="12" t="str">
        <f>B388</f>
        <v>RISNA MARSELA HARTINI</v>
      </c>
      <c r="C424" s="13"/>
      <c r="D424" s="12" t="str">
        <f t="shared" ref="D424:E424" si="42">D388</f>
        <v>Operator</v>
      </c>
      <c r="E424" s="11" t="str">
        <f t="shared" si="42"/>
        <v>+62 882-2908-8313</v>
      </c>
      <c r="F424" s="14">
        <v>1</v>
      </c>
      <c r="G424" s="14" t="s">
        <v>49</v>
      </c>
      <c r="H424" s="15">
        <v>105000</v>
      </c>
      <c r="I424" s="16">
        <f>F424*H424</f>
        <v>105000</v>
      </c>
      <c r="J424" s="54">
        <v>1</v>
      </c>
      <c r="K424" s="56">
        <v>2</v>
      </c>
    </row>
    <row r="425" spans="1:14" ht="20.25" customHeight="1">
      <c r="A425" s="11">
        <v>2</v>
      </c>
      <c r="B425" s="12"/>
      <c r="C425" s="13"/>
      <c r="D425" s="13"/>
      <c r="E425" s="34"/>
      <c r="F425" s="14"/>
      <c r="G425" s="14"/>
      <c r="H425" s="15"/>
      <c r="I425" s="16">
        <f t="shared" ref="I425" si="43">F425*H425</f>
        <v>0</v>
      </c>
      <c r="J425" s="55"/>
      <c r="K425" s="57"/>
    </row>
    <row r="426" spans="1:14" s="21" customFormat="1" ht="22.5" customHeight="1">
      <c r="A426" s="69" t="s">
        <v>20</v>
      </c>
      <c r="B426" s="70"/>
      <c r="C426" s="70"/>
      <c r="D426" s="70"/>
      <c r="E426" s="70"/>
      <c r="F426" s="70"/>
      <c r="G426" s="70"/>
      <c r="H426" s="71"/>
      <c r="I426" s="18">
        <f>SUM(I424:I425)</f>
        <v>105000</v>
      </c>
      <c r="J426" s="20"/>
      <c r="K426" s="20"/>
      <c r="N426" s="22"/>
    </row>
    <row r="427" spans="1:14" ht="12" customHeight="1">
      <c r="A427" s="7"/>
      <c r="B427" s="7"/>
      <c r="C427" s="7"/>
      <c r="D427" s="7"/>
      <c r="E427" s="7"/>
      <c r="F427" s="7"/>
      <c r="G427" s="7"/>
      <c r="H427" s="23"/>
      <c r="I427" s="23"/>
    </row>
    <row r="428" spans="1:14">
      <c r="A428" s="8"/>
      <c r="B428" s="8"/>
      <c r="C428" s="8"/>
      <c r="D428" s="8"/>
      <c r="E428" s="8"/>
      <c r="F428" s="8"/>
      <c r="G428" s="8"/>
      <c r="H428" s="8"/>
      <c r="J428" s="24" t="s">
        <v>119</v>
      </c>
    </row>
    <row r="429" spans="1:14">
      <c r="A429" s="8"/>
      <c r="C429" s="24" t="s">
        <v>21</v>
      </c>
      <c r="D429" s="24"/>
      <c r="E429" s="24"/>
      <c r="F429" s="24"/>
      <c r="G429" s="8"/>
      <c r="H429" s="8"/>
      <c r="J429" s="24" t="s">
        <v>120</v>
      </c>
    </row>
    <row r="430" spans="1:14">
      <c r="A430" s="8"/>
      <c r="C430" s="24" t="s">
        <v>22</v>
      </c>
      <c r="D430" s="24"/>
      <c r="E430" s="24"/>
      <c r="F430" s="24"/>
      <c r="G430" s="8"/>
      <c r="H430" s="8"/>
      <c r="J430" s="24" t="s">
        <v>23</v>
      </c>
    </row>
    <row r="431" spans="1:14">
      <c r="A431" s="8"/>
      <c r="C431" s="24"/>
      <c r="D431" s="24"/>
      <c r="E431" s="24"/>
      <c r="F431" s="24"/>
      <c r="G431" s="8"/>
      <c r="H431" s="8"/>
      <c r="J431" s="25"/>
      <c r="N431" s="26"/>
    </row>
    <row r="432" spans="1:14">
      <c r="A432" s="8"/>
      <c r="C432" s="24"/>
      <c r="D432" s="24"/>
      <c r="E432" s="24"/>
      <c r="F432" s="24"/>
      <c r="G432" s="8"/>
      <c r="H432" s="8"/>
      <c r="J432" s="25"/>
    </row>
    <row r="433" spans="1:10">
      <c r="A433" s="8"/>
      <c r="C433" s="24"/>
      <c r="D433" s="24"/>
      <c r="E433" s="24"/>
      <c r="F433" s="24"/>
      <c r="G433" s="8"/>
      <c r="H433" s="8"/>
      <c r="J433" s="25"/>
    </row>
    <row r="434" spans="1:10">
      <c r="A434" s="8"/>
      <c r="C434" s="24"/>
      <c r="D434" s="24"/>
      <c r="E434" s="24"/>
      <c r="F434" s="24"/>
      <c r="G434" s="8"/>
      <c r="H434" s="8"/>
      <c r="J434" s="25"/>
    </row>
    <row r="435" spans="1:10" ht="15" customHeight="1">
      <c r="A435" s="8"/>
      <c r="D435" s="28"/>
      <c r="E435" s="28"/>
      <c r="F435" s="8"/>
      <c r="G435" s="8"/>
    </row>
    <row r="436" spans="1:10" ht="13.5" customHeight="1">
      <c r="A436" s="8"/>
      <c r="C436" s="27" t="str">
        <f>C400</f>
        <v>BADRUDDIN, S.Ag.</v>
      </c>
      <c r="D436" s="25"/>
      <c r="E436" s="25"/>
      <c r="F436" s="8"/>
      <c r="G436" s="8"/>
      <c r="J436" s="27" t="str">
        <f>J400</f>
        <v>DEDE GUNAWAN, S.Pd</v>
      </c>
    </row>
    <row r="437" spans="1:10">
      <c r="C437" s="33" t="str">
        <f>C401</f>
        <v>NIP. 197405082014121002</v>
      </c>
      <c r="J437" s="33" t="str">
        <f>J401</f>
        <v>NIP. 198507172020121003</v>
      </c>
    </row>
    <row r="451" spans="1:11" ht="17.25" customHeight="1">
      <c r="A451" s="64" t="s">
        <v>168</v>
      </c>
      <c r="B451" s="64"/>
      <c r="C451" s="64"/>
      <c r="D451" s="64"/>
      <c r="E451" s="64"/>
      <c r="F451" s="64"/>
      <c r="G451" s="64"/>
      <c r="H451" s="64"/>
      <c r="I451" s="64"/>
      <c r="J451" s="64"/>
      <c r="K451" s="64"/>
    </row>
    <row r="452" spans="1:11" ht="17.25" customHeight="1">
      <c r="A452" s="64" t="str">
        <f>Transpor_pendamping!A2</f>
        <v>BULAN APRIL 2026</v>
      </c>
      <c r="B452" s="64"/>
      <c r="C452" s="64"/>
      <c r="D452" s="64"/>
      <c r="E452" s="64"/>
      <c r="F452" s="64"/>
      <c r="G452" s="64"/>
      <c r="H452" s="64"/>
      <c r="I452" s="64"/>
      <c r="J452" s="64"/>
      <c r="K452" s="64"/>
    </row>
    <row r="453" spans="1:11" ht="7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" customHeight="1">
      <c r="C454" s="4" t="s">
        <v>0</v>
      </c>
      <c r="D454" s="5" t="str">
        <f>D418</f>
        <v>: ____________________________</v>
      </c>
      <c r="F454" s="6"/>
      <c r="G454" s="7"/>
      <c r="H454" s="7"/>
      <c r="I454" s="4" t="s">
        <v>26</v>
      </c>
      <c r="J454" s="4" t="str">
        <f>J418</f>
        <v>: 04 Stdr. Pendidik &amp; Tenaga Kependidikan</v>
      </c>
    </row>
    <row r="455" spans="1:11" ht="15" customHeight="1">
      <c r="C455" s="4" t="s">
        <v>2</v>
      </c>
      <c r="D455" s="5" t="str">
        <f t="shared" ref="D455:D457" si="44">D419</f>
        <v>: SD NEGERI LEBAKLEUNGSIR</v>
      </c>
      <c r="F455" s="6"/>
      <c r="H455" s="8"/>
      <c r="I455" s="4" t="s">
        <v>27</v>
      </c>
      <c r="J455" s="45" t="str">
        <f t="shared" ref="J455:J457" si="45">J419</f>
        <v>: Pengisian Pulsa Internet</v>
      </c>
    </row>
    <row r="456" spans="1:11" ht="15" customHeight="1">
      <c r="C456" s="4" t="s">
        <v>3</v>
      </c>
      <c r="D456" s="5" t="str">
        <f t="shared" si="44"/>
        <v>: Cikalongwetan</v>
      </c>
      <c r="F456" s="6"/>
      <c r="H456" s="8"/>
      <c r="I456" s="8" t="s">
        <v>28</v>
      </c>
      <c r="J456" s="4" t="str">
        <f t="shared" si="45"/>
        <v>: 5.1.02.02.01.0063</v>
      </c>
    </row>
    <row r="457" spans="1:11" ht="15" customHeight="1">
      <c r="C457" s="4" t="s">
        <v>5</v>
      </c>
      <c r="D457" s="5" t="str">
        <f t="shared" si="44"/>
        <v>: Bandung Barat</v>
      </c>
      <c r="F457" s="6"/>
      <c r="H457" s="8"/>
      <c r="I457" s="4" t="s">
        <v>7</v>
      </c>
      <c r="J457" s="4" t="str">
        <f t="shared" si="45"/>
        <v>: 7</v>
      </c>
    </row>
    <row r="458" spans="1:11" ht="15" customHeight="1">
      <c r="H458" s="8"/>
      <c r="I458" s="8"/>
      <c r="J458" s="8"/>
    </row>
    <row r="459" spans="1:11" ht="30" customHeight="1">
      <c r="A459" s="9" t="s">
        <v>8</v>
      </c>
      <c r="B459" s="65" t="s">
        <v>9</v>
      </c>
      <c r="C459" s="66"/>
      <c r="D459" s="9" t="s">
        <v>10</v>
      </c>
      <c r="E459" s="10" t="s">
        <v>58</v>
      </c>
      <c r="F459" s="9" t="s">
        <v>45</v>
      </c>
      <c r="G459" s="9" t="s">
        <v>24</v>
      </c>
      <c r="H459" s="10" t="s">
        <v>13</v>
      </c>
      <c r="I459" s="10" t="s">
        <v>14</v>
      </c>
      <c r="J459" s="69" t="s">
        <v>17</v>
      </c>
      <c r="K459" s="71"/>
    </row>
    <row r="460" spans="1:11" ht="20.25" customHeight="1">
      <c r="A460" s="11">
        <v>1</v>
      </c>
      <c r="B460" s="12" t="s">
        <v>42</v>
      </c>
      <c r="C460" s="13"/>
      <c r="D460" s="13" t="s">
        <v>52</v>
      </c>
      <c r="E460" s="34" t="s">
        <v>59</v>
      </c>
      <c r="F460" s="14">
        <v>1</v>
      </c>
      <c r="G460" s="14" t="s">
        <v>49</v>
      </c>
      <c r="H460" s="15">
        <v>55000</v>
      </c>
      <c r="I460" s="16">
        <f>F460*H460</f>
        <v>55000</v>
      </c>
      <c r="J460" s="54">
        <v>1</v>
      </c>
      <c r="K460" s="56">
        <v>2</v>
      </c>
    </row>
    <row r="461" spans="1:11" ht="20.25" customHeight="1">
      <c r="A461" s="11">
        <v>2</v>
      </c>
      <c r="B461" s="12" t="s">
        <v>37</v>
      </c>
      <c r="C461" s="13"/>
      <c r="D461" s="13" t="s">
        <v>121</v>
      </c>
      <c r="E461" s="34" t="s">
        <v>60</v>
      </c>
      <c r="F461" s="14">
        <v>1</v>
      </c>
      <c r="G461" s="14" t="s">
        <v>49</v>
      </c>
      <c r="H461" s="15">
        <v>55000</v>
      </c>
      <c r="I461" s="16">
        <f t="shared" ref="I461:I467" si="46">F461*H461</f>
        <v>55000</v>
      </c>
      <c r="J461" s="55"/>
      <c r="K461" s="57"/>
    </row>
    <row r="462" spans="1:11" ht="20.25" customHeight="1">
      <c r="A462" s="11">
        <v>3</v>
      </c>
      <c r="B462" s="12" t="s">
        <v>76</v>
      </c>
      <c r="C462" s="13"/>
      <c r="D462" s="13" t="s">
        <v>52</v>
      </c>
      <c r="E462" s="34" t="s">
        <v>61</v>
      </c>
      <c r="F462" s="14">
        <v>1</v>
      </c>
      <c r="G462" s="14" t="s">
        <v>49</v>
      </c>
      <c r="H462" s="15">
        <v>55000</v>
      </c>
      <c r="I462" s="16">
        <f t="shared" si="46"/>
        <v>55000</v>
      </c>
      <c r="J462" s="54">
        <v>3</v>
      </c>
      <c r="K462" s="56">
        <v>4</v>
      </c>
    </row>
    <row r="463" spans="1:11" ht="20.25" customHeight="1">
      <c r="A463" s="11">
        <v>4</v>
      </c>
      <c r="B463" s="12" t="s">
        <v>36</v>
      </c>
      <c r="C463" s="13"/>
      <c r="D463" s="13" t="s">
        <v>52</v>
      </c>
      <c r="E463" s="34" t="s">
        <v>61</v>
      </c>
      <c r="F463" s="14">
        <v>1</v>
      </c>
      <c r="G463" s="14" t="s">
        <v>49</v>
      </c>
      <c r="H463" s="15">
        <v>55000</v>
      </c>
      <c r="I463" s="16">
        <f t="shared" si="46"/>
        <v>55000</v>
      </c>
      <c r="J463" s="55"/>
      <c r="K463" s="57"/>
    </row>
    <row r="464" spans="1:11" ht="20.25" customHeight="1">
      <c r="A464" s="11">
        <v>5</v>
      </c>
      <c r="B464" s="12" t="s">
        <v>150</v>
      </c>
      <c r="C464" s="13"/>
      <c r="D464" s="13" t="s">
        <v>52</v>
      </c>
      <c r="E464" s="34" t="s">
        <v>62</v>
      </c>
      <c r="F464" s="14">
        <v>1</v>
      </c>
      <c r="G464" s="14" t="s">
        <v>49</v>
      </c>
      <c r="H464" s="15">
        <v>55000</v>
      </c>
      <c r="I464" s="16">
        <f t="shared" si="46"/>
        <v>55000</v>
      </c>
      <c r="J464" s="54">
        <v>5</v>
      </c>
      <c r="K464" s="56">
        <v>6</v>
      </c>
    </row>
    <row r="465" spans="1:14" ht="20.25" customHeight="1">
      <c r="A465" s="11">
        <v>6</v>
      </c>
      <c r="B465" s="12" t="s">
        <v>54</v>
      </c>
      <c r="C465" s="13"/>
      <c r="D465" s="13" t="s">
        <v>52</v>
      </c>
      <c r="E465" s="34" t="s">
        <v>63</v>
      </c>
      <c r="F465" s="14">
        <v>1</v>
      </c>
      <c r="G465" s="14" t="s">
        <v>49</v>
      </c>
      <c r="H465" s="15">
        <v>55000</v>
      </c>
      <c r="I465" s="16">
        <f t="shared" si="46"/>
        <v>55000</v>
      </c>
      <c r="J465" s="55"/>
      <c r="K465" s="57"/>
    </row>
    <row r="466" spans="1:14" ht="20.25" customHeight="1">
      <c r="A466" s="11"/>
      <c r="B466" s="12"/>
      <c r="C466" s="13"/>
      <c r="D466" s="13"/>
      <c r="E466" s="34"/>
      <c r="F466" s="14"/>
      <c r="G466" s="14"/>
      <c r="H466" s="15"/>
      <c r="I466" s="16">
        <f t="shared" si="46"/>
        <v>0</v>
      </c>
      <c r="J466" s="54">
        <v>7</v>
      </c>
      <c r="K466" s="56">
        <v>8</v>
      </c>
    </row>
    <row r="467" spans="1:14" ht="20.25" customHeight="1">
      <c r="A467" s="11"/>
      <c r="B467" s="12"/>
      <c r="C467" s="13"/>
      <c r="D467" s="13"/>
      <c r="E467" s="34"/>
      <c r="F467" s="14"/>
      <c r="G467" s="14"/>
      <c r="H467" s="15"/>
      <c r="I467" s="16">
        <f t="shared" si="46"/>
        <v>0</v>
      </c>
      <c r="J467" s="55"/>
      <c r="K467" s="57"/>
    </row>
    <row r="468" spans="1:14" s="21" customFormat="1" ht="22.5" customHeight="1">
      <c r="A468" s="69" t="s">
        <v>20</v>
      </c>
      <c r="B468" s="70"/>
      <c r="C468" s="70"/>
      <c r="D468" s="70"/>
      <c r="E468" s="70"/>
      <c r="F468" s="70"/>
      <c r="G468" s="70"/>
      <c r="H468" s="71"/>
      <c r="I468" s="18">
        <f>SUM(I460:I467)</f>
        <v>330000</v>
      </c>
      <c r="J468" s="20"/>
      <c r="K468" s="20"/>
      <c r="N468" s="22"/>
    </row>
    <row r="469" spans="1:14" ht="12" customHeight="1">
      <c r="A469" s="7"/>
      <c r="B469" s="7"/>
      <c r="C469" s="7"/>
      <c r="D469" s="7"/>
      <c r="E469" s="7"/>
      <c r="F469" s="7"/>
      <c r="G469" s="7"/>
      <c r="H469" s="23"/>
      <c r="I469" s="23"/>
    </row>
    <row r="470" spans="1:14">
      <c r="A470" s="8"/>
      <c r="B470" s="8"/>
      <c r="C470" s="8"/>
      <c r="D470" s="8"/>
      <c r="E470" s="8"/>
      <c r="F470" s="8"/>
      <c r="G470" s="8"/>
      <c r="H470" s="8"/>
      <c r="J470" s="24" t="s">
        <v>158</v>
      </c>
    </row>
    <row r="471" spans="1:14">
      <c r="A471" s="8"/>
      <c r="C471" s="24" t="s">
        <v>21</v>
      </c>
      <c r="D471" s="24"/>
      <c r="E471" s="24"/>
      <c r="F471" s="24"/>
      <c r="G471" s="8"/>
      <c r="H471" s="8"/>
      <c r="J471" s="24" t="s">
        <v>157</v>
      </c>
    </row>
    <row r="472" spans="1:14">
      <c r="A472" s="8"/>
      <c r="C472" s="24" t="s">
        <v>22</v>
      </c>
      <c r="D472" s="24"/>
      <c r="E472" s="24"/>
      <c r="F472" s="24"/>
      <c r="G472" s="8"/>
      <c r="H472" s="8"/>
      <c r="J472" s="24" t="s">
        <v>23</v>
      </c>
    </row>
    <row r="473" spans="1:14">
      <c r="A473" s="8"/>
      <c r="C473" s="24"/>
      <c r="D473" s="24"/>
      <c r="E473" s="24"/>
      <c r="F473" s="24"/>
      <c r="G473" s="8"/>
      <c r="H473" s="8"/>
      <c r="J473" s="25"/>
      <c r="N473" s="26"/>
    </row>
    <row r="474" spans="1:14">
      <c r="A474" s="8"/>
      <c r="C474" s="24"/>
      <c r="D474" s="24"/>
      <c r="E474" s="24"/>
      <c r="F474" s="24"/>
      <c r="G474" s="8"/>
      <c r="H474" s="8"/>
      <c r="J474" s="25"/>
    </row>
    <row r="475" spans="1:14">
      <c r="A475" s="8"/>
      <c r="C475" s="24"/>
      <c r="D475" s="24"/>
      <c r="E475" s="24"/>
      <c r="F475" s="24"/>
      <c r="G475" s="8"/>
      <c r="H475" s="8"/>
      <c r="J475" s="25"/>
    </row>
    <row r="476" spans="1:14">
      <c r="A476" s="8"/>
      <c r="C476" s="24"/>
      <c r="D476" s="24"/>
      <c r="E476" s="24"/>
      <c r="F476" s="24"/>
      <c r="G476" s="8"/>
      <c r="H476" s="8"/>
      <c r="J476" s="25"/>
    </row>
    <row r="477" spans="1:14" ht="15" customHeight="1">
      <c r="A477" s="8"/>
      <c r="C477" s="27" t="str">
        <f>C436</f>
        <v>BADRUDDIN, S.Ag.</v>
      </c>
      <c r="D477" s="28"/>
      <c r="E477" s="28"/>
      <c r="F477" s="8"/>
      <c r="G477" s="8"/>
      <c r="J477" s="27" t="str">
        <f>J436</f>
        <v>DEDE GUNAWAN, S.Pd</v>
      </c>
    </row>
    <row r="478" spans="1:14" ht="13.5" customHeight="1">
      <c r="A478" s="8"/>
      <c r="C478" s="33" t="str">
        <f>C437</f>
        <v>NIP. 197405082014121002</v>
      </c>
      <c r="D478" s="25"/>
      <c r="E478" s="25"/>
      <c r="F478" s="8"/>
      <c r="G478" s="8"/>
      <c r="J478" s="33" t="str">
        <f>J437</f>
        <v>NIP. 198507172020121003</v>
      </c>
    </row>
  </sheetData>
  <mergeCells count="115">
    <mergeCell ref="A174:H174"/>
    <mergeCell ref="J94:J95"/>
    <mergeCell ref="K94:K95"/>
    <mergeCell ref="J130:J131"/>
    <mergeCell ref="K130:K131"/>
    <mergeCell ref="A132:H132"/>
    <mergeCell ref="A96:H96"/>
    <mergeCell ref="A121:K121"/>
    <mergeCell ref="A122:K122"/>
    <mergeCell ref="B129:C129"/>
    <mergeCell ref="J129:K129"/>
    <mergeCell ref="J168:J169"/>
    <mergeCell ref="K168:K169"/>
    <mergeCell ref="J170:J171"/>
    <mergeCell ref="K170:K171"/>
    <mergeCell ref="J172:J173"/>
    <mergeCell ref="K172:K173"/>
    <mergeCell ref="A157:K157"/>
    <mergeCell ref="A158:K158"/>
    <mergeCell ref="B165:C165"/>
    <mergeCell ref="J165:K165"/>
    <mergeCell ref="J166:J167"/>
    <mergeCell ref="K166:K167"/>
    <mergeCell ref="A80:K80"/>
    <mergeCell ref="B87:C87"/>
    <mergeCell ref="J87:K87"/>
    <mergeCell ref="J88:J89"/>
    <mergeCell ref="K88:K89"/>
    <mergeCell ref="J90:J91"/>
    <mergeCell ref="K90:K91"/>
    <mergeCell ref="J92:J93"/>
    <mergeCell ref="K92:K93"/>
    <mergeCell ref="A1:K1"/>
    <mergeCell ref="A2:K2"/>
    <mergeCell ref="B9:C9"/>
    <mergeCell ref="J9:K9"/>
    <mergeCell ref="J10:J11"/>
    <mergeCell ref="K10:K11"/>
    <mergeCell ref="J14:J15"/>
    <mergeCell ref="K14:K15"/>
    <mergeCell ref="A79:K79"/>
    <mergeCell ref="A54:H54"/>
    <mergeCell ref="J52:J53"/>
    <mergeCell ref="K52:K53"/>
    <mergeCell ref="J51:K51"/>
    <mergeCell ref="A18:H18"/>
    <mergeCell ref="A43:K43"/>
    <mergeCell ref="A44:K44"/>
    <mergeCell ref="B51:C51"/>
    <mergeCell ref="J12:J13"/>
    <mergeCell ref="K12:K13"/>
    <mergeCell ref="J16:J17"/>
    <mergeCell ref="K16:K17"/>
    <mergeCell ref="J208:J209"/>
    <mergeCell ref="K208:K209"/>
    <mergeCell ref="A210:H210"/>
    <mergeCell ref="A235:K235"/>
    <mergeCell ref="A236:K236"/>
    <mergeCell ref="A199:K199"/>
    <mergeCell ref="A200:K200"/>
    <mergeCell ref="B207:C207"/>
    <mergeCell ref="J207:K207"/>
    <mergeCell ref="A246:H246"/>
    <mergeCell ref="B243:C243"/>
    <mergeCell ref="J243:K243"/>
    <mergeCell ref="J244:J245"/>
    <mergeCell ref="K244:K245"/>
    <mergeCell ref="A307:K307"/>
    <mergeCell ref="A308:K308"/>
    <mergeCell ref="B315:C315"/>
    <mergeCell ref="J315:K315"/>
    <mergeCell ref="J316:J317"/>
    <mergeCell ref="K316:K317"/>
    <mergeCell ref="A282:H282"/>
    <mergeCell ref="A271:K271"/>
    <mergeCell ref="A272:K272"/>
    <mergeCell ref="B279:C279"/>
    <mergeCell ref="J279:K279"/>
    <mergeCell ref="J280:J281"/>
    <mergeCell ref="K280:K281"/>
    <mergeCell ref="A318:H318"/>
    <mergeCell ref="A343:K343"/>
    <mergeCell ref="A344:K344"/>
    <mergeCell ref="B351:C351"/>
    <mergeCell ref="J351:K351"/>
    <mergeCell ref="J352:J353"/>
    <mergeCell ref="K352:K353"/>
    <mergeCell ref="A354:H354"/>
    <mergeCell ref="A379:K379"/>
    <mergeCell ref="A380:K380"/>
    <mergeCell ref="B387:C387"/>
    <mergeCell ref="J387:K387"/>
    <mergeCell ref="B423:C423"/>
    <mergeCell ref="J423:K423"/>
    <mergeCell ref="J424:J425"/>
    <mergeCell ref="K424:K425"/>
    <mergeCell ref="A426:H426"/>
    <mergeCell ref="J388:J389"/>
    <mergeCell ref="K388:K389"/>
    <mergeCell ref="A390:H390"/>
    <mergeCell ref="A415:K415"/>
    <mergeCell ref="A416:K416"/>
    <mergeCell ref="A468:H468"/>
    <mergeCell ref="J462:J463"/>
    <mergeCell ref="K462:K463"/>
    <mergeCell ref="J464:J465"/>
    <mergeCell ref="K464:K465"/>
    <mergeCell ref="J466:J467"/>
    <mergeCell ref="K466:K467"/>
    <mergeCell ref="A451:K451"/>
    <mergeCell ref="A452:K452"/>
    <mergeCell ref="B459:C459"/>
    <mergeCell ref="J459:K459"/>
    <mergeCell ref="J460:J461"/>
    <mergeCell ref="K460:K461"/>
  </mergeCells>
  <printOptions horizontalCentered="1"/>
  <pageMargins left="0.87" right="0.85" top="1.1200000000000001" bottom="0.51" header="0.31496062992125984" footer="0.31496062992125984"/>
  <pageSetup paperSize="10000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Data</vt:lpstr>
      <vt:lpstr>Honor_guru</vt:lpstr>
      <vt:lpstr>Honor_tendik</vt:lpstr>
      <vt:lpstr>Honor_Perpus</vt:lpstr>
      <vt:lpstr>Honor_penjaga</vt:lpstr>
      <vt:lpstr>Transpor_bank</vt:lpstr>
      <vt:lpstr>Transpor_koordinasi</vt:lpstr>
      <vt:lpstr>Transpor_rapat</vt:lpstr>
      <vt:lpstr>Transpor_pendamping</vt:lpstr>
      <vt:lpstr>Upah</vt:lpstr>
      <vt:lpstr>Pulsa</vt:lpstr>
      <vt:lpstr>Honor_guru!Print_Area</vt:lpstr>
      <vt:lpstr>Honor_penjaga!Print_Area</vt:lpstr>
      <vt:lpstr>Honor_Perpus!Print_Area</vt:lpstr>
      <vt:lpstr>Honor_tendik!Print_Area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GUNAWAN</dc:creator>
  <cp:lastModifiedBy>Aldy Fahmi Setiawan</cp:lastModifiedBy>
  <cp:lastPrinted>2026-06-08T01:52:41Z</cp:lastPrinted>
  <dcterms:created xsi:type="dcterms:W3CDTF">2017-11-25T05:40:51Z</dcterms:created>
  <dcterms:modified xsi:type="dcterms:W3CDTF">2026-07-07T10:02:34Z</dcterms:modified>
</cp:coreProperties>
</file>
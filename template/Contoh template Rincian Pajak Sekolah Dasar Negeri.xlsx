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project\spj-app\template\"/>
    </mc:Choice>
  </mc:AlternateContent>
  <xr:revisionPtr revIDLastSave="0" documentId="8_{8F6844A0-FF87-40E7-89AC-D5272E432753}" xr6:coauthVersionLast="47" xr6:coauthVersionMax="47" xr10:uidLastSave="{00000000-0000-0000-0000-000000000000}"/>
  <bookViews>
    <workbookView xWindow="240" yWindow="240" windowWidth="28320" windowHeight="15075" xr2:uid="{00000000-000D-0000-FFFF-FFFF00000000}"/>
  </bookViews>
  <sheets>
    <sheet name="SD_SMP" sheetId="3" r:id="rId1"/>
  </sheets>
  <definedNames>
    <definedName name="_xlnm._FilterDatabase" localSheetId="0" hidden="1">SD_SMP!$A$1:$P$33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3" l="1"/>
  <c r="M6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G30" i="3" l="1"/>
  <c r="J30" i="3"/>
  <c r="H30" i="3"/>
  <c r="K30" i="3" l="1"/>
</calcChain>
</file>

<file path=xl/sharedStrings.xml><?xml version="1.0" encoding="utf-8"?>
<sst xmlns="http://schemas.openxmlformats.org/spreadsheetml/2006/main" count="165" uniqueCount="57">
  <si>
    <t>Catatan : tanggal diisi dengan format tanggal</t>
  </si>
  <si>
    <t>NO</t>
  </si>
  <si>
    <t>Nama Sekolah</t>
  </si>
  <si>
    <t>Jenjang</t>
  </si>
  <si>
    <t>BULAN PAJAK</t>
  </si>
  <si>
    <t>URAIAN PAJAK</t>
  </si>
  <si>
    <t>NILAI BELANJA</t>
  </si>
  <si>
    <t>JUMLAH/JENIS SETORAN PAJAK</t>
  </si>
  <si>
    <t>Total</t>
  </si>
  <si>
    <t>TANGGAL BAYAR</t>
  </si>
  <si>
    <t>TANGGAL NTPN</t>
  </si>
  <si>
    <t>NTPN</t>
  </si>
  <si>
    <t>NOMOR KODE BILLING</t>
  </si>
  <si>
    <t>KETERANGAN</t>
  </si>
  <si>
    <t>PPh 21</t>
  </si>
  <si>
    <t>PPh 22</t>
  </si>
  <si>
    <t>PPh 23</t>
  </si>
  <si>
    <t>PPN</t>
  </si>
  <si>
    <t>Ket : Pajak yang di bayar oleh sekolah (tidak dari SIPLAH)</t>
  </si>
  <si>
    <t>Februari</t>
  </si>
  <si>
    <t>SD Negeri Pasirhalang</t>
  </si>
  <si>
    <t>Maret</t>
  </si>
  <si>
    <t>April</t>
  </si>
  <si>
    <t>Mei</t>
  </si>
  <si>
    <t>Juni</t>
  </si>
  <si>
    <t>Penyusunan perencanaan program satuan pendidikan (Visi Misi Sekolah, RKJM, RKT, RKAS)</t>
  </si>
  <si>
    <t>Kegiatan pemberdayaan perpustakaan terutama untuk pengembangan minat baca peserta didik</t>
  </si>
  <si>
    <t>Sekolah Dasar</t>
  </si>
  <si>
    <t>R6NCIAN PAJAK SEKOLAH  TA 2026</t>
  </si>
  <si>
    <t xml:space="preserve"> Pendaftaran Kegiatan KKG/MGMP/KKKS</t>
  </si>
  <si>
    <t xml:space="preserve"> Kegiatan pemberdayaan perpustakaan terutama untuk pengembangan minat baca peserta didik</t>
  </si>
  <si>
    <t>Program Pembinaan Kesiswaan dan Kepemimpinan Siswa</t>
  </si>
  <si>
    <t>Penyusunan Silabus / Tujuan Pembelajaran</t>
  </si>
  <si>
    <t xml:space="preserve"> Penyusunan Pembagian Tugas Guru dan Jadwal Pelajaran</t>
  </si>
  <si>
    <t>Peningkatan Kompetensi Guru untuk keterlibatan orangtua/wali dan masyarakat dalam pembelajaran</t>
  </si>
  <si>
    <t>Peningkatan Kompetensi Guru untuk memperkuat numerasi</t>
  </si>
  <si>
    <t>Tes kemampuan akademik peserta didik</t>
  </si>
  <si>
    <t xml:space="preserve"> Peningkatan Kompetensi Guru untuk memperkuat literasi</t>
  </si>
  <si>
    <t xml:space="preserve"> Peningkatan Kompetensi Guru untuk asesmen, umpan balik dan pelaporan yang berpusat pada peserta didik</t>
  </si>
  <si>
    <t>Pengembangan pembelajaran berbasis projek (termasuk P5)</t>
  </si>
  <si>
    <t>Pengembangan Kegiatan Literasi dan Numerasi</t>
  </si>
  <si>
    <t>Biaya pemeliharaan komputer/laptop Install Ulang Windows Laptop Acer</t>
  </si>
  <si>
    <t xml:space="preserve"> Kegiatan Komunitas Belajar antar sekolah (termasuk KKG, MGMP, MGMPS, MGMPK, KKKS, atau MKKS)</t>
  </si>
  <si>
    <t>Peningkatan Kompetensi Guru untuk meamahami kematangam moral, emosi, dan spiritaul untuk berperilaku sesuai kode etik guru</t>
  </si>
  <si>
    <t>Pelaksanaan Monitoring Program/Kegiatan Sekolah</t>
  </si>
  <si>
    <t xml:space="preserve"> Pelaksanaan Pendaftaran Peserta Didik Baru (PPDB)</t>
  </si>
  <si>
    <t>Pelaksanaan Ekstrakurikuler Kepramukaan</t>
  </si>
  <si>
    <t>A9C931Q1AFSJOVDR</t>
  </si>
  <si>
    <t>042153756556731</t>
  </si>
  <si>
    <t>042141010240085</t>
  </si>
  <si>
    <t>10D241Q1A40NU8IL</t>
  </si>
  <si>
    <t>042131154560380</t>
  </si>
  <si>
    <t>E8C900TJQ08KDPBS</t>
  </si>
  <si>
    <t>042144497443495</t>
  </si>
  <si>
    <t>D9FD731S8JSCHHB8</t>
  </si>
  <si>
    <t>042197493814168</t>
  </si>
  <si>
    <t>619F7684QTG0T4SO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</si>
</sst>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[$-421]dd\ mmmm\ yyyy;@"/>
    <numFmt numFmtId="166" formatCode="[$-409]d\-mmm\-yy;@"/>
    <numFmt numFmtId="167" formatCode="_-* #,##0_-;\-* #,##0_-;_-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charset val="134"/>
    </font>
    <font>
      <b/>
      <i/>
      <sz val="8"/>
      <color theme="1"/>
      <name val="Arial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>
      <alignment vertical="center"/>
    </xf>
    <xf numFmtId="0" fontId="6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0" fontId="2" fillId="2" borderId="7" xfId="2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3" fillId="2" borderId="8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166" fontId="4" fillId="0" borderId="8" xfId="0" applyNumberFormat="1" applyFont="1" applyBorder="1" applyAlignment="1">
      <alignment horizontal="center" vertical="top" wrapText="1"/>
    </xf>
    <xf numFmtId="0" fontId="0" fillId="0" borderId="8" xfId="0" quotePrefix="1" applyBorder="1"/>
    <xf numFmtId="164" fontId="0" fillId="0" borderId="0" xfId="1" applyFont="1" applyAlignment="1"/>
    <xf numFmtId="164" fontId="3" fillId="2" borderId="8" xfId="1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8" xfId="1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164" fontId="0" fillId="0" borderId="8" xfId="0" applyNumberFormat="1" applyBorder="1"/>
    <xf numFmtId="0" fontId="7" fillId="0" borderId="0" xfId="0" applyFont="1" applyAlignment="1">
      <alignment horizontal="left"/>
    </xf>
    <xf numFmtId="0" fontId="0" fillId="0" borderId="8" xfId="0" quotePrefix="1" applyBorder="1" applyAlignment="1">
      <alignment wrapText="1"/>
    </xf>
    <xf numFmtId="164" fontId="0" fillId="3" borderId="8" xfId="1" applyFont="1" applyFill="1" applyBorder="1" applyAlignment="1">
      <alignment horizontal="center"/>
    </xf>
    <xf numFmtId="167" fontId="1" fillId="0" borderId="8" xfId="3" applyNumberFormat="1" applyFont="1" applyBorder="1" applyAlignment="1">
      <alignment vertical="center" wrapText="1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 vertical="center" wrapText="1"/>
    </xf>
    <xf numFmtId="164" fontId="2" fillId="2" borderId="6" xfId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4" fontId="2" fillId="2" borderId="10" xfId="1" applyFont="1" applyFill="1" applyBorder="1" applyAlignment="1">
      <alignment horizontal="center" vertical="center" wrapText="1"/>
    </xf>
    <xf numFmtId="164" fontId="2" fillId="2" borderId="12" xfId="1" applyFont="1" applyFill="1" applyBorder="1" applyAlignment="1">
      <alignment horizontal="center" vertical="center" wrapText="1"/>
    </xf>
    <xf numFmtId="165" fontId="2" fillId="2" borderId="10" xfId="0" applyNumberFormat="1" applyFont="1" applyFill="1" applyBorder="1" applyAlignment="1">
      <alignment horizontal="center" vertical="center" wrapText="1"/>
    </xf>
    <xf numFmtId="165" fontId="2" fillId="2" borderId="1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</cellXfs>
  <cellStyles count="4">
    <cellStyle name="Comma" xfId="3" builtinId="3"/>
    <cellStyle name="Comma [0]" xfId="1" builtinId="6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D5" workbookViewId="0">
      <pane ySplit="1515" activePane="bottomLeft"/>
      <selection activeCell="E5" sqref="E1:E1048576"/>
      <selection pane="bottomLeft" activeCell="K28" sqref="K28"/>
    </sheetView>
  </sheetViews>
  <sheetFormatPr defaultColWidth="9" defaultRowHeight="15"/>
  <cols>
    <col min="1" max="1" width="9" style="12"/>
    <col min="2" max="2" width="24.7109375" bestFit="1" customWidth="1"/>
    <col min="3" max="3" width="13.42578125" style="12" bestFit="1" customWidth="1"/>
    <col min="4" max="4" width="11.7109375" bestFit="1" customWidth="1"/>
    <col min="5" max="5" width="108.7109375" bestFit="1" customWidth="1"/>
    <col min="6" max="6" width="10.5703125" style="9" bestFit="1" customWidth="1"/>
    <col min="7" max="7" width="6.42578125" customWidth="1"/>
    <col min="8" max="8" width="6.7109375" customWidth="1"/>
    <col min="9" max="9" width="10.5703125" bestFit="1" customWidth="1"/>
    <col min="10" max="10" width="8" customWidth="1"/>
    <col min="11" max="11" width="11.5703125" style="9" bestFit="1" customWidth="1"/>
    <col min="14" max="14" width="21.5703125" customWidth="1"/>
    <col min="15" max="15" width="18.85546875" customWidth="1"/>
    <col min="16" max="16" width="11.7109375" customWidth="1"/>
  </cols>
  <sheetData>
    <row r="1" spans="1:16">
      <c r="A1" s="16" t="s">
        <v>28</v>
      </c>
    </row>
    <row r="2" spans="1:16">
      <c r="L2" t="s">
        <v>0</v>
      </c>
    </row>
    <row r="3" spans="1:16">
      <c r="A3" s="26" t="s">
        <v>1</v>
      </c>
      <c r="B3" s="28" t="s">
        <v>2</v>
      </c>
      <c r="C3" s="28" t="s">
        <v>3</v>
      </c>
      <c r="D3" s="28" t="s">
        <v>4</v>
      </c>
      <c r="E3" s="28" t="s">
        <v>5</v>
      </c>
      <c r="F3" s="30" t="s">
        <v>6</v>
      </c>
      <c r="G3" s="23" t="s">
        <v>7</v>
      </c>
      <c r="H3" s="24"/>
      <c r="I3" s="24"/>
      <c r="J3" s="25"/>
      <c r="K3" s="34" t="s">
        <v>8</v>
      </c>
      <c r="L3" s="36" t="s">
        <v>9</v>
      </c>
      <c r="M3" s="36" t="s">
        <v>10</v>
      </c>
      <c r="N3" s="38" t="s">
        <v>11</v>
      </c>
      <c r="O3" s="38" t="s">
        <v>12</v>
      </c>
      <c r="P3" s="32" t="s">
        <v>13</v>
      </c>
    </row>
    <row r="4" spans="1:16">
      <c r="A4" s="27"/>
      <c r="B4" s="29"/>
      <c r="C4" s="29"/>
      <c r="D4" s="29"/>
      <c r="E4" s="29"/>
      <c r="F4" s="31"/>
      <c r="G4" s="1" t="s">
        <v>14</v>
      </c>
      <c r="H4" s="1" t="s">
        <v>15</v>
      </c>
      <c r="I4" s="1" t="s">
        <v>16</v>
      </c>
      <c r="J4" s="1" t="s">
        <v>17</v>
      </c>
      <c r="K4" s="35"/>
      <c r="L4" s="37"/>
      <c r="M4" s="37"/>
      <c r="N4" s="39"/>
      <c r="O4" s="39"/>
      <c r="P4" s="33"/>
    </row>
    <row r="5" spans="1:16">
      <c r="A5" s="2">
        <v>1</v>
      </c>
      <c r="B5" s="2">
        <v>2</v>
      </c>
      <c r="C5" s="2">
        <v>3</v>
      </c>
      <c r="D5" s="2">
        <v>4</v>
      </c>
      <c r="E5" s="2">
        <v>6</v>
      </c>
      <c r="F5" s="10">
        <v>6</v>
      </c>
      <c r="G5" s="2">
        <v>7</v>
      </c>
      <c r="H5" s="2">
        <v>8</v>
      </c>
      <c r="I5" s="2">
        <v>9</v>
      </c>
      <c r="J5" s="2">
        <v>10</v>
      </c>
      <c r="K5" s="10">
        <v>11</v>
      </c>
      <c r="L5" s="2">
        <v>12</v>
      </c>
      <c r="M5" s="2">
        <v>13</v>
      </c>
      <c r="N5" s="5">
        <v>14</v>
      </c>
      <c r="O5" s="6">
        <v>15</v>
      </c>
      <c r="P5" s="2">
        <v>16</v>
      </c>
    </row>
    <row r="6" spans="1:16">
      <c r="A6" s="3">
        <v>1</v>
      </c>
      <c r="B6" s="3" t="s">
        <v>20</v>
      </c>
      <c r="C6" s="3" t="s">
        <v>27</v>
      </c>
      <c r="D6" s="3" t="s">
        <v>19</v>
      </c>
      <c r="E6" s="14" t="s">
        <v>29</v>
      </c>
      <c r="F6" s="11"/>
      <c r="G6" s="11"/>
      <c r="H6" s="13"/>
      <c r="I6" s="18">
        <v>62000</v>
      </c>
      <c r="J6" s="13"/>
      <c r="K6" s="11">
        <f>I6</f>
        <v>62000</v>
      </c>
      <c r="L6" s="7">
        <v>46180</v>
      </c>
      <c r="M6" s="7">
        <f>L6</f>
        <v>46180</v>
      </c>
      <c r="N6" s="4" t="s">
        <v>47</v>
      </c>
      <c r="O6" s="8" t="s">
        <v>48</v>
      </c>
      <c r="P6" s="4"/>
    </row>
    <row r="7" spans="1:16">
      <c r="A7" s="3">
        <v>2</v>
      </c>
      <c r="B7" s="3" t="s">
        <v>20</v>
      </c>
      <c r="C7" s="3" t="s">
        <v>27</v>
      </c>
      <c r="D7" s="3" t="s">
        <v>19</v>
      </c>
      <c r="E7" s="14" t="s">
        <v>30</v>
      </c>
      <c r="F7" s="11"/>
      <c r="G7" s="11"/>
      <c r="H7" s="13"/>
      <c r="I7" s="18">
        <v>24000</v>
      </c>
      <c r="J7" s="13"/>
      <c r="K7" s="11">
        <f t="shared" ref="K7:K29" si="0">I7</f>
        <v>24000</v>
      </c>
      <c r="L7" s="7">
        <v>46180</v>
      </c>
      <c r="M7" s="7">
        <v>46180</v>
      </c>
      <c r="N7" s="4" t="s">
        <v>47</v>
      </c>
      <c r="O7" s="8" t="s">
        <v>48</v>
      </c>
      <c r="P7" s="4"/>
    </row>
    <row r="8" spans="1:16">
      <c r="A8" s="3">
        <v>3</v>
      </c>
      <c r="B8" s="3" t="s">
        <v>20</v>
      </c>
      <c r="C8" s="3" t="s">
        <v>27</v>
      </c>
      <c r="D8" s="3" t="s">
        <v>19</v>
      </c>
      <c r="E8" s="14" t="s">
        <v>31</v>
      </c>
      <c r="F8" s="11"/>
      <c r="G8" s="11"/>
      <c r="H8" s="13"/>
      <c r="I8" s="18">
        <v>24000</v>
      </c>
      <c r="J8" s="13"/>
      <c r="K8" s="11">
        <f t="shared" si="0"/>
        <v>24000</v>
      </c>
      <c r="L8" s="7">
        <v>46180</v>
      </c>
      <c r="M8" s="7">
        <v>46180</v>
      </c>
      <c r="N8" s="4" t="s">
        <v>47</v>
      </c>
      <c r="O8" s="8" t="s">
        <v>48</v>
      </c>
      <c r="P8" s="4"/>
    </row>
    <row r="9" spans="1:16">
      <c r="A9" s="3">
        <v>4</v>
      </c>
      <c r="B9" s="3" t="s">
        <v>20</v>
      </c>
      <c r="C9" s="3" t="s">
        <v>27</v>
      </c>
      <c r="D9" s="3" t="s">
        <v>19</v>
      </c>
      <c r="E9" s="14" t="s">
        <v>32</v>
      </c>
      <c r="F9" s="11"/>
      <c r="G9" s="11"/>
      <c r="H9" s="13"/>
      <c r="I9" s="18">
        <v>24000</v>
      </c>
      <c r="J9" s="13"/>
      <c r="K9" s="11">
        <f t="shared" si="0"/>
        <v>24000</v>
      </c>
      <c r="L9" s="7">
        <v>46180</v>
      </c>
      <c r="M9" s="7">
        <v>46180</v>
      </c>
      <c r="N9" s="4" t="s">
        <v>47</v>
      </c>
      <c r="O9" s="8" t="s">
        <v>48</v>
      </c>
      <c r="P9" s="4"/>
    </row>
    <row r="10" spans="1:16">
      <c r="A10" s="3">
        <v>5</v>
      </c>
      <c r="B10" s="3" t="s">
        <v>20</v>
      </c>
      <c r="C10" s="3" t="s">
        <v>27</v>
      </c>
      <c r="D10" s="3" t="s">
        <v>19</v>
      </c>
      <c r="E10" s="14" t="s">
        <v>26</v>
      </c>
      <c r="F10" s="11"/>
      <c r="G10" s="11"/>
      <c r="H10" s="13"/>
      <c r="I10" s="18">
        <v>24000</v>
      </c>
      <c r="J10" s="13"/>
      <c r="K10" s="11">
        <f t="shared" si="0"/>
        <v>24000</v>
      </c>
      <c r="L10" s="7">
        <v>46180</v>
      </c>
      <c r="M10" s="7">
        <v>46180</v>
      </c>
      <c r="N10" s="4" t="s">
        <v>47</v>
      </c>
      <c r="O10" s="8" t="s">
        <v>48</v>
      </c>
      <c r="P10" s="4"/>
    </row>
    <row r="11" spans="1:16">
      <c r="A11" s="3">
        <v>6</v>
      </c>
      <c r="B11" s="3" t="s">
        <v>20</v>
      </c>
      <c r="C11" s="3" t="s">
        <v>27</v>
      </c>
      <c r="D11" s="3" t="s">
        <v>19</v>
      </c>
      <c r="E11" s="14" t="s">
        <v>33</v>
      </c>
      <c r="F11" s="11"/>
      <c r="G11" s="11"/>
      <c r="H11" s="13"/>
      <c r="I11" s="18">
        <v>24000</v>
      </c>
      <c r="J11" s="13"/>
      <c r="K11" s="11">
        <f t="shared" si="0"/>
        <v>24000</v>
      </c>
      <c r="L11" s="7">
        <v>46180</v>
      </c>
      <c r="M11" s="7">
        <v>46180</v>
      </c>
      <c r="N11" s="4" t="s">
        <v>47</v>
      </c>
      <c r="O11" s="8" t="s">
        <v>48</v>
      </c>
      <c r="P11" s="4"/>
    </row>
    <row r="12" spans="1:16">
      <c r="A12" s="3">
        <v>7</v>
      </c>
      <c r="B12" s="3" t="s">
        <v>20</v>
      </c>
      <c r="C12" s="3" t="s">
        <v>27</v>
      </c>
      <c r="D12" s="3" t="s">
        <v>19</v>
      </c>
      <c r="E12" s="19" t="s">
        <v>34</v>
      </c>
      <c r="F12" s="11"/>
      <c r="G12" s="11"/>
      <c r="H12" s="13"/>
      <c r="I12" s="18">
        <v>24000</v>
      </c>
      <c r="J12" s="13"/>
      <c r="K12" s="11">
        <f t="shared" si="0"/>
        <v>24000</v>
      </c>
      <c r="L12" s="7">
        <v>46180</v>
      </c>
      <c r="M12" s="7">
        <v>46180</v>
      </c>
      <c r="N12" s="4" t="s">
        <v>47</v>
      </c>
      <c r="O12" s="8" t="s">
        <v>48</v>
      </c>
      <c r="P12" s="4"/>
    </row>
    <row r="13" spans="1:16">
      <c r="A13" s="3">
        <v>8</v>
      </c>
      <c r="B13" s="3" t="s">
        <v>20</v>
      </c>
      <c r="C13" s="3" t="s">
        <v>27</v>
      </c>
      <c r="D13" s="3" t="s">
        <v>19</v>
      </c>
      <c r="E13" s="19" t="s">
        <v>25</v>
      </c>
      <c r="F13" s="11"/>
      <c r="G13" s="11"/>
      <c r="H13" s="13"/>
      <c r="I13" s="18">
        <v>24000</v>
      </c>
      <c r="J13" s="13"/>
      <c r="K13" s="11">
        <f t="shared" si="0"/>
        <v>24000</v>
      </c>
      <c r="L13" s="7">
        <v>46180</v>
      </c>
      <c r="M13" s="7">
        <v>46180</v>
      </c>
      <c r="N13" s="4" t="s">
        <v>47</v>
      </c>
      <c r="O13" s="8" t="s">
        <v>48</v>
      </c>
      <c r="P13" s="4"/>
    </row>
    <row r="14" spans="1:16">
      <c r="A14" s="3">
        <v>9</v>
      </c>
      <c r="B14" s="3" t="s">
        <v>20</v>
      </c>
      <c r="C14" s="3" t="s">
        <v>27</v>
      </c>
      <c r="D14" s="3" t="s">
        <v>21</v>
      </c>
      <c r="E14" s="14" t="s">
        <v>35</v>
      </c>
      <c r="F14" s="11"/>
      <c r="G14" s="11"/>
      <c r="H14" s="13"/>
      <c r="I14" s="18">
        <v>24000</v>
      </c>
      <c r="J14" s="13"/>
      <c r="K14" s="11">
        <f t="shared" si="0"/>
        <v>24000</v>
      </c>
      <c r="L14" s="7">
        <v>46180</v>
      </c>
      <c r="M14" s="7">
        <v>46180</v>
      </c>
      <c r="N14" s="4" t="s">
        <v>50</v>
      </c>
      <c r="O14" s="8" t="s">
        <v>49</v>
      </c>
      <c r="P14" s="4"/>
    </row>
    <row r="15" spans="1:16">
      <c r="A15" s="3">
        <v>10</v>
      </c>
      <c r="B15" s="3" t="s">
        <v>20</v>
      </c>
      <c r="C15" s="3" t="s">
        <v>27</v>
      </c>
      <c r="D15" s="3" t="s">
        <v>21</v>
      </c>
      <c r="E15" s="14" t="s">
        <v>36</v>
      </c>
      <c r="F15" s="11"/>
      <c r="G15" s="11"/>
      <c r="H15" s="13"/>
      <c r="I15" s="18">
        <v>24000</v>
      </c>
      <c r="J15" s="13"/>
      <c r="K15" s="11">
        <f t="shared" si="0"/>
        <v>24000</v>
      </c>
      <c r="L15" s="7">
        <v>46180</v>
      </c>
      <c r="M15" s="7">
        <v>46180</v>
      </c>
      <c r="N15" s="4" t="s">
        <v>50</v>
      </c>
      <c r="O15" s="8" t="s">
        <v>49</v>
      </c>
      <c r="P15" s="4"/>
    </row>
    <row r="16" spans="1:16">
      <c r="A16" s="3">
        <v>11</v>
      </c>
      <c r="B16" s="3" t="s">
        <v>20</v>
      </c>
      <c r="C16" s="3" t="s">
        <v>27</v>
      </c>
      <c r="D16" s="3" t="s">
        <v>21</v>
      </c>
      <c r="E16" s="14" t="s">
        <v>37</v>
      </c>
      <c r="F16" s="11"/>
      <c r="G16" s="11"/>
      <c r="H16" s="13"/>
      <c r="I16" s="18">
        <v>24000</v>
      </c>
      <c r="J16" s="13"/>
      <c r="K16" s="11">
        <f t="shared" si="0"/>
        <v>24000</v>
      </c>
      <c r="L16" s="7">
        <v>46180</v>
      </c>
      <c r="M16" s="7">
        <v>46180</v>
      </c>
      <c r="N16" s="4" t="s">
        <v>50</v>
      </c>
      <c r="O16" s="8" t="s">
        <v>49</v>
      </c>
      <c r="P16" s="4"/>
    </row>
    <row r="17" spans="1:16">
      <c r="A17" s="3">
        <v>12</v>
      </c>
      <c r="B17" s="3" t="s">
        <v>20</v>
      </c>
      <c r="C17" s="3" t="s">
        <v>27</v>
      </c>
      <c r="D17" s="3" t="s">
        <v>21</v>
      </c>
      <c r="E17" s="14" t="s">
        <v>35</v>
      </c>
      <c r="F17" s="11"/>
      <c r="G17" s="11"/>
      <c r="H17" s="13"/>
      <c r="I17" s="18">
        <v>24000</v>
      </c>
      <c r="J17" s="13"/>
      <c r="K17" s="11">
        <f t="shared" si="0"/>
        <v>24000</v>
      </c>
      <c r="L17" s="7">
        <v>46180</v>
      </c>
      <c r="M17" s="7">
        <v>46180</v>
      </c>
      <c r="N17" s="4" t="s">
        <v>50</v>
      </c>
      <c r="O17" s="8" t="s">
        <v>49</v>
      </c>
      <c r="P17" s="4"/>
    </row>
    <row r="18" spans="1:16">
      <c r="A18" s="3">
        <v>13</v>
      </c>
      <c r="B18" s="3" t="s">
        <v>20</v>
      </c>
      <c r="C18" s="3" t="s">
        <v>27</v>
      </c>
      <c r="D18" s="3" t="s">
        <v>21</v>
      </c>
      <c r="E18" s="14" t="s">
        <v>38</v>
      </c>
      <c r="F18" s="11"/>
      <c r="G18" s="11"/>
      <c r="H18" s="13"/>
      <c r="I18" s="18">
        <v>24000</v>
      </c>
      <c r="J18" s="13"/>
      <c r="K18" s="11">
        <f t="shared" si="0"/>
        <v>24000</v>
      </c>
      <c r="L18" s="7">
        <v>46180</v>
      </c>
      <c r="M18" s="7">
        <v>46180</v>
      </c>
      <c r="N18" s="4" t="s">
        <v>50</v>
      </c>
      <c r="O18" s="8" t="s">
        <v>49</v>
      </c>
      <c r="P18" s="4"/>
    </row>
    <row r="19" spans="1:16">
      <c r="A19" s="3">
        <v>14</v>
      </c>
      <c r="B19" s="3" t="s">
        <v>20</v>
      </c>
      <c r="C19" s="3" t="s">
        <v>27</v>
      </c>
      <c r="D19" s="3" t="s">
        <v>21</v>
      </c>
      <c r="E19" s="14" t="s">
        <v>39</v>
      </c>
      <c r="F19" s="11"/>
      <c r="G19" s="11"/>
      <c r="H19" s="13"/>
      <c r="I19" s="18">
        <v>24000</v>
      </c>
      <c r="J19" s="13"/>
      <c r="K19" s="11">
        <f t="shared" si="0"/>
        <v>24000</v>
      </c>
      <c r="L19" s="7">
        <v>46180</v>
      </c>
      <c r="M19" s="7">
        <v>46180</v>
      </c>
      <c r="N19" s="4" t="s">
        <v>50</v>
      </c>
      <c r="O19" s="8" t="s">
        <v>49</v>
      </c>
      <c r="P19" s="4"/>
    </row>
    <row r="20" spans="1:16">
      <c r="A20" s="3">
        <v>15</v>
      </c>
      <c r="B20" s="3" t="s">
        <v>20</v>
      </c>
      <c r="C20" s="3" t="s">
        <v>27</v>
      </c>
      <c r="D20" s="3" t="s">
        <v>21</v>
      </c>
      <c r="E20" s="14" t="s">
        <v>40</v>
      </c>
      <c r="F20" s="11"/>
      <c r="G20" s="11"/>
      <c r="H20" s="13"/>
      <c r="I20" s="18">
        <v>24000</v>
      </c>
      <c r="J20" s="13"/>
      <c r="K20" s="11">
        <f t="shared" si="0"/>
        <v>24000</v>
      </c>
      <c r="L20" s="7">
        <v>46180</v>
      </c>
      <c r="M20" s="7">
        <v>46180</v>
      </c>
      <c r="N20" s="4" t="s">
        <v>50</v>
      </c>
      <c r="O20" s="8" t="s">
        <v>49</v>
      </c>
      <c r="P20" s="4"/>
    </row>
    <row r="21" spans="1:16">
      <c r="A21" s="3">
        <v>16</v>
      </c>
      <c r="B21" s="3" t="s">
        <v>20</v>
      </c>
      <c r="C21" s="3" t="s">
        <v>27</v>
      </c>
      <c r="D21" s="3" t="s">
        <v>21</v>
      </c>
      <c r="E21" s="14" t="s">
        <v>41</v>
      </c>
      <c r="F21" s="11"/>
      <c r="G21" s="11"/>
      <c r="H21" s="13"/>
      <c r="I21" s="18">
        <v>24000</v>
      </c>
      <c r="J21" s="13"/>
      <c r="K21" s="11">
        <f t="shared" si="0"/>
        <v>24000</v>
      </c>
      <c r="L21" s="7">
        <v>46180</v>
      </c>
      <c r="M21" s="7">
        <v>46180</v>
      </c>
      <c r="N21" s="4" t="s">
        <v>50</v>
      </c>
      <c r="O21" s="8" t="s">
        <v>49</v>
      </c>
      <c r="P21" s="4"/>
    </row>
    <row r="22" spans="1:16">
      <c r="A22" s="3">
        <v>17</v>
      </c>
      <c r="B22" s="3" t="s">
        <v>20</v>
      </c>
      <c r="C22" s="3" t="s">
        <v>27</v>
      </c>
      <c r="D22" s="3" t="s">
        <v>22</v>
      </c>
      <c r="E22" s="14" t="s">
        <v>42</v>
      </c>
      <c r="F22" s="11"/>
      <c r="G22" s="11"/>
      <c r="H22" s="13"/>
      <c r="I22" s="18">
        <v>24000</v>
      </c>
      <c r="J22" s="13"/>
      <c r="K22" s="11">
        <f t="shared" si="0"/>
        <v>24000</v>
      </c>
      <c r="L22" s="7">
        <v>46180</v>
      </c>
      <c r="M22" s="7">
        <v>46180</v>
      </c>
      <c r="N22" s="4" t="s">
        <v>52</v>
      </c>
      <c r="O22" s="8" t="s">
        <v>51</v>
      </c>
      <c r="P22" s="4"/>
    </row>
    <row r="23" spans="1:16">
      <c r="A23" s="3">
        <v>18</v>
      </c>
      <c r="B23" s="3" t="s">
        <v>20</v>
      </c>
      <c r="C23" s="3" t="s">
        <v>27</v>
      </c>
      <c r="D23" s="3" t="s">
        <v>22</v>
      </c>
      <c r="E23" s="14" t="s">
        <v>43</v>
      </c>
      <c r="F23" s="11"/>
      <c r="G23" s="11"/>
      <c r="H23" s="13"/>
      <c r="I23" s="18">
        <v>24000</v>
      </c>
      <c r="J23" s="13"/>
      <c r="K23" s="11">
        <f t="shared" si="0"/>
        <v>24000</v>
      </c>
      <c r="L23" s="7">
        <v>46180</v>
      </c>
      <c r="M23" s="7">
        <v>46180</v>
      </c>
      <c r="N23" s="4" t="s">
        <v>52</v>
      </c>
      <c r="O23" s="8" t="s">
        <v>51</v>
      </c>
      <c r="P23" s="4"/>
    </row>
    <row r="24" spans="1:16">
      <c r="A24" s="3">
        <v>19</v>
      </c>
      <c r="B24" s="3" t="s">
        <v>20</v>
      </c>
      <c r="C24" s="3" t="s">
        <v>27</v>
      </c>
      <c r="D24" s="3" t="s">
        <v>22</v>
      </c>
      <c r="E24" s="14" t="s">
        <v>29</v>
      </c>
      <c r="F24" s="11"/>
      <c r="G24" s="11"/>
      <c r="H24" s="13"/>
      <c r="I24" s="18">
        <v>24000</v>
      </c>
      <c r="J24" s="13"/>
      <c r="K24" s="11">
        <f t="shared" si="0"/>
        <v>24000</v>
      </c>
      <c r="L24" s="7">
        <v>46180</v>
      </c>
      <c r="M24" s="7">
        <v>46180</v>
      </c>
      <c r="N24" s="4" t="s">
        <v>52</v>
      </c>
      <c r="O24" s="8" t="s">
        <v>51</v>
      </c>
      <c r="P24" s="4"/>
    </row>
    <row r="25" spans="1:16">
      <c r="A25" s="3">
        <v>20</v>
      </c>
      <c r="B25" s="3" t="s">
        <v>20</v>
      </c>
      <c r="C25" s="3" t="s">
        <v>27</v>
      </c>
      <c r="D25" s="3" t="s">
        <v>22</v>
      </c>
      <c r="E25" s="14" t="s">
        <v>36</v>
      </c>
      <c r="F25" s="11"/>
      <c r="G25" s="11"/>
      <c r="H25" s="13"/>
      <c r="I25" s="18">
        <v>24000</v>
      </c>
      <c r="J25" s="13"/>
      <c r="K25" s="11">
        <f t="shared" si="0"/>
        <v>24000</v>
      </c>
      <c r="L25" s="7">
        <v>46180</v>
      </c>
      <c r="M25" s="7">
        <v>46180</v>
      </c>
      <c r="N25" s="4" t="s">
        <v>52</v>
      </c>
      <c r="O25" s="8" t="s">
        <v>51</v>
      </c>
      <c r="P25" s="4"/>
    </row>
    <row r="26" spans="1:16">
      <c r="A26" s="3">
        <v>21</v>
      </c>
      <c r="B26" s="3" t="s">
        <v>20</v>
      </c>
      <c r="C26" s="3" t="s">
        <v>27</v>
      </c>
      <c r="D26" s="3" t="s">
        <v>23</v>
      </c>
      <c r="E26" s="14" t="s">
        <v>44</v>
      </c>
      <c r="F26" s="11"/>
      <c r="G26" s="11"/>
      <c r="H26" s="13"/>
      <c r="I26" s="18">
        <v>24000</v>
      </c>
      <c r="J26" s="13"/>
      <c r="K26" s="11">
        <f t="shared" si="0"/>
        <v>24000</v>
      </c>
      <c r="L26" s="7">
        <v>46180</v>
      </c>
      <c r="M26" s="7">
        <v>46180</v>
      </c>
      <c r="N26" s="4" t="s">
        <v>54</v>
      </c>
      <c r="O26" s="8" t="s">
        <v>53</v>
      </c>
      <c r="P26" s="4"/>
    </row>
    <row r="27" spans="1:16">
      <c r="A27" s="3">
        <v>22</v>
      </c>
      <c r="B27" s="3" t="s">
        <v>20</v>
      </c>
      <c r="C27" s="3" t="s">
        <v>27</v>
      </c>
      <c r="D27" s="3" t="s">
        <v>24</v>
      </c>
      <c r="E27" s="14" t="s">
        <v>44</v>
      </c>
      <c r="F27" s="11"/>
      <c r="G27" s="11"/>
      <c r="H27" s="13"/>
      <c r="I27" s="18">
        <v>24000</v>
      </c>
      <c r="J27" s="13"/>
      <c r="K27" s="11">
        <f t="shared" si="0"/>
        <v>24000</v>
      </c>
      <c r="L27" s="7">
        <v>46202</v>
      </c>
      <c r="M27" s="7">
        <f t="shared" ref="M27" si="1">L27</f>
        <v>46202</v>
      </c>
      <c r="N27" s="4" t="s">
        <v>56</v>
      </c>
      <c r="O27" s="17" t="s">
        <v>55</v>
      </c>
      <c r="P27" s="4"/>
    </row>
    <row r="28" spans="1:16">
      <c r="A28" s="3">
        <v>23</v>
      </c>
      <c r="B28" s="3" t="s">
        <v>20</v>
      </c>
      <c r="C28" s="3" t="s">
        <v>27</v>
      </c>
      <c r="D28" s="3" t="s">
        <v>24</v>
      </c>
      <c r="E28" s="14" t="s">
        <v>45</v>
      </c>
      <c r="F28" s="11"/>
      <c r="G28" s="11"/>
      <c r="H28" s="13"/>
      <c r="I28" s="18">
        <v>24000</v>
      </c>
      <c r="J28" s="13"/>
      <c r="K28" s="11">
        <f t="shared" si="0"/>
        <v>24000</v>
      </c>
      <c r="L28" s="7">
        <v>46202</v>
      </c>
      <c r="M28" s="7">
        <v>46202</v>
      </c>
      <c r="N28" s="4" t="s">
        <v>56</v>
      </c>
      <c r="O28" s="17" t="s">
        <v>55</v>
      </c>
      <c r="P28" s="4"/>
    </row>
    <row r="29" spans="1:16">
      <c r="A29" s="3">
        <v>24</v>
      </c>
      <c r="B29" s="3" t="s">
        <v>20</v>
      </c>
      <c r="C29" s="3" t="s">
        <v>27</v>
      </c>
      <c r="D29" s="3" t="s">
        <v>24</v>
      </c>
      <c r="E29" s="14" t="s">
        <v>46</v>
      </c>
      <c r="F29" s="11"/>
      <c r="G29" s="11"/>
      <c r="H29" s="13"/>
      <c r="I29" s="18">
        <v>24000</v>
      </c>
      <c r="J29" s="13"/>
      <c r="K29" s="11">
        <f t="shared" si="0"/>
        <v>24000</v>
      </c>
      <c r="L29" s="7">
        <v>46202</v>
      </c>
      <c r="M29" s="7">
        <v>46202</v>
      </c>
      <c r="N29" s="4" t="s">
        <v>56</v>
      </c>
      <c r="O29" s="17" t="s">
        <v>55</v>
      </c>
      <c r="P29" s="4"/>
    </row>
    <row r="30" spans="1:16">
      <c r="A30" s="20" t="s">
        <v>8</v>
      </c>
      <c r="B30" s="21"/>
      <c r="C30" s="21"/>
      <c r="D30" s="21"/>
      <c r="E30" s="21"/>
      <c r="F30" s="22"/>
      <c r="G30" s="15">
        <f>SUM(G6:G29)</f>
        <v>0</v>
      </c>
      <c r="H30" s="15">
        <f>SUM(H6:H29)</f>
        <v>0</v>
      </c>
      <c r="I30" s="15"/>
      <c r="J30" s="15">
        <f>SUM(J6:J29)</f>
        <v>0</v>
      </c>
      <c r="K30" s="15">
        <f>SUM(K6:K29)</f>
        <v>614000</v>
      </c>
      <c r="L30" s="7"/>
      <c r="M30" s="7"/>
      <c r="N30" s="4"/>
      <c r="O30" s="4"/>
      <c r="P30" s="4"/>
    </row>
    <row r="33" spans="1:1">
      <c r="A33" s="16" t="s">
        <v>18</v>
      </c>
    </row>
  </sheetData>
  <mergeCells count="14">
    <mergeCell ref="P3:P4"/>
    <mergeCell ref="K3:K4"/>
    <mergeCell ref="L3:L4"/>
    <mergeCell ref="M3:M4"/>
    <mergeCell ref="N3:N4"/>
    <mergeCell ref="O3:O4"/>
    <mergeCell ref="A30:F30"/>
    <mergeCell ref="G3:J3"/>
    <mergeCell ref="A3:A4"/>
    <mergeCell ref="B3:B4"/>
    <mergeCell ref="C3:C4"/>
    <mergeCell ref="D3:D4"/>
    <mergeCell ref="E3:E4"/>
    <mergeCell ref="F3:F4"/>
  </mergeCells>
  <phoneticPr fontId="8" type="noConversion"/>
  <pageMargins left="0.7" right="0.7" top="0.75" bottom="0.75" header="0.3" footer="0.3"/>
  <pageSetup paperSize="9" scale="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SD_SMP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Puspa Triagustin</dc:creator>
  <cp:lastModifiedBy>Susanto Santo</cp:lastModifiedBy>
  <cp:lastPrinted>2026-07-05T17:41:14Z</cp:lastPrinted>
  <dcterms:created xsi:type="dcterms:W3CDTF">2025-04-12T22:03:00Z</dcterms:created>
  <dcterms:modified xsi:type="dcterms:W3CDTF">2026-10-19T02:07:51Z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870C5FF3731E4310A532327FC1B79682_12</vt:lpwstr>
  </property>
  <property fmtid="{D5CDD505-2E9C-101B-9397-08002B2CF9AE}" pid="3" name="KSOProductBuildVer">
    <vt:lpwstr>1033-12.2.0.20782</vt:lpwstr>
  </property>
</Properties>
</file>